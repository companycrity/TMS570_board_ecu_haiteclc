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3452" yWindow="468" windowWidth="13212" windowHeight="11460" tabRatio="690" activeTab="2"/>
  </bookViews>
  <sheets>
    <sheet name="Change Log" sheetId="7" r:id="rId1"/>
    <sheet name="Variable Dictionary" sheetId="26" r:id="rId2"/>
    <sheet name="Calibration Dictionary" sheetId="27" r:id="rId3"/>
    <sheet name="Global Constants" sheetId="10" r:id="rId4"/>
    <sheet name="NVM" sheetId="25" state="hidden" r:id="rId5"/>
    <sheet name="Layered Module List" sheetId="9" state="hidden" r:id="rId6"/>
    <sheet name="Template" sheetId="28" r:id="rId7"/>
    <sheet name="Help" sheetId="11" r:id="rId8"/>
    <sheet name="DataValidationLists" sheetId="30" state="hidden" r:id="rId9"/>
  </sheets>
  <externalReferences>
    <externalReference r:id="rId10"/>
  </externalReferences>
  <definedNames>
    <definedName name="_xlnm._FilterDatabase" localSheetId="2" hidden="1">'Calibration Dictionary'!$A$1:$P$5</definedName>
    <definedName name="_xlnm._FilterDatabase" localSheetId="0" hidden="1">'Change Log'!$A$2:$D$4</definedName>
    <definedName name="_xlnm._FilterDatabase" localSheetId="3" hidden="1">'Global Constants'!$F$4:$BZ$193</definedName>
    <definedName name="_xlnm._FilterDatabase" localSheetId="7" hidden="1">Help!$B$1:$D$2</definedName>
    <definedName name="_xlnm._FilterDatabase" localSheetId="5" hidden="1">'Layered Module List'!$A$1:$F$73</definedName>
    <definedName name="_xlnm._FilterDatabase" localSheetId="4" hidden="1">NVM!$A$1:$J$104</definedName>
    <definedName name="_xlnm._FilterDatabase" localSheetId="1" hidden="1">'Variable Dictionary'!$A$1:$S$5</definedName>
    <definedName name="ComponentDTCMask">'[1]Calibration Dictionary'!#REF!</definedName>
    <definedName name="ComponentFltRsp">'[1]Calibration Dictionary'!#REF!</definedName>
    <definedName name="DataFlow" localSheetId="3">'Global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DataValidationLists!$A$1:$A$141</definedName>
    <definedName name="FltRsp" localSheetId="2">'Calibration Dictionary'!#REF!</definedName>
    <definedName name="FltRsp" localSheetId="4">NVM!#REF!</definedName>
    <definedName name="FltRsp" localSheetId="1">'Variable Dictionary'!#REF!</definedName>
    <definedName name="FltRsp">#REF!</definedName>
    <definedName name="masterFddList" localSheetId="8">DataValidationLists!$A$1:$A$141</definedName>
    <definedName name="OLE_LINK11" localSheetId="2">'Calibration Dictionary'!#REF!</definedName>
    <definedName name="OLE_LINK11" localSheetId="4">NVM!#REF!</definedName>
    <definedName name="OLE_LINK11" localSheetId="1">'Variable Dictionary'!#REF!</definedName>
    <definedName name="OLE_LINK5" localSheetId="2">'Calibration Dictionary'!#REF!</definedName>
    <definedName name="OLE_LINK5" localSheetId="4">NVM!#REF!</definedName>
    <definedName name="OLE_LINK5" localSheetId="1">'Variable Dictionary'!#REF!</definedName>
    <definedName name="_xlnm.Print_Area" localSheetId="2">'Calibration Dictionary'!$A$1:$N$5</definedName>
    <definedName name="_xlnm.Print_Area" localSheetId="4">NVM!$A$1:$J$42</definedName>
    <definedName name="_xlnm.Print_Area" localSheetId="1">'Variable Dictionary'!$A$1:$P$5</definedName>
    <definedName name="_xlnm.Print_Titles" localSheetId="2">'Calibration Dictionary'!$1:$4</definedName>
    <definedName name="_xlnm.Print_Titles" localSheetId="5">'Layered Module List'!$1:$1</definedName>
    <definedName name="_xlnm.Print_Titles" localSheetId="4">NVM!$1:$4</definedName>
    <definedName name="_xlnm.Print_Titles" localSheetId="1">'Variable Dictionary'!$1:$4</definedName>
  </definedNames>
  <calcPr calcId="145621"/>
</workbook>
</file>

<file path=xl/calcChain.xml><?xml version="1.0" encoding="utf-8"?>
<calcChain xmlns="http://schemas.openxmlformats.org/spreadsheetml/2006/main">
  <c r="N594" i="27" l="1"/>
  <c r="N355" i="27" l="1"/>
  <c r="N356" i="27"/>
  <c r="N357" i="27"/>
  <c r="N358" i="27"/>
  <c r="N359" i="27"/>
  <c r="N360" i="27"/>
  <c r="N361" i="27"/>
  <c r="N362" i="27"/>
  <c r="N735" i="27" l="1"/>
  <c r="N731" i="27"/>
  <c r="N732" i="27"/>
  <c r="N7" i="27" l="1"/>
  <c r="N8" i="27"/>
  <c r="N9" i="27"/>
  <c r="N10" i="27"/>
  <c r="N11" i="27"/>
  <c r="N12" i="27"/>
  <c r="N13" i="27"/>
  <c r="N14" i="27"/>
  <c r="N15" i="27"/>
  <c r="N16" i="27"/>
  <c r="N17" i="27"/>
  <c r="N18" i="27"/>
  <c r="N19" i="27"/>
  <c r="N20" i="27"/>
  <c r="N21" i="27"/>
  <c r="N22" i="27"/>
  <c r="N23" i="27"/>
  <c r="N24" i="27"/>
  <c r="N25"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N226" i="27"/>
  <c r="N227" i="27"/>
  <c r="N228" i="27"/>
  <c r="N229" i="27"/>
  <c r="N230" i="27"/>
  <c r="N231" i="27"/>
  <c r="N232" i="27"/>
  <c r="N233" i="27"/>
  <c r="N234" i="27"/>
  <c r="N235" i="27"/>
  <c r="N236" i="27"/>
  <c r="N237" i="27"/>
  <c r="N238" i="27"/>
  <c r="N239" i="27"/>
  <c r="N240" i="27"/>
  <c r="N241" i="27"/>
  <c r="N242" i="27"/>
  <c r="N243" i="27"/>
  <c r="N244" i="27"/>
  <c r="N245" i="27"/>
  <c r="N246" i="27"/>
  <c r="N247" i="27"/>
  <c r="N248" i="27"/>
  <c r="N249" i="27"/>
  <c r="N250" i="27"/>
  <c r="N251" i="27"/>
  <c r="N252" i="27"/>
  <c r="N253" i="27"/>
  <c r="N254" i="27"/>
  <c r="N255" i="27"/>
  <c r="N256" i="27"/>
  <c r="N257" i="27"/>
  <c r="N258" i="27"/>
  <c r="N259" i="27"/>
  <c r="N260" i="27"/>
  <c r="N261" i="27"/>
  <c r="N262" i="27"/>
  <c r="N263" i="27"/>
  <c r="N264" i="27"/>
  <c r="N265" i="27"/>
  <c r="N266" i="27"/>
  <c r="N267" i="27"/>
  <c r="N268" i="27"/>
  <c r="N269" i="27"/>
  <c r="N270" i="27"/>
  <c r="N271" i="27"/>
  <c r="N272" i="27"/>
  <c r="N273" i="27"/>
  <c r="N274" i="27"/>
  <c r="N275" i="27"/>
  <c r="N276" i="27"/>
  <c r="N277" i="27"/>
  <c r="N278" i="27"/>
  <c r="N279" i="27"/>
  <c r="N280" i="27"/>
  <c r="N281" i="27"/>
  <c r="N282" i="27"/>
  <c r="N283" i="27"/>
  <c r="N284" i="27"/>
  <c r="N285" i="27"/>
  <c r="N286" i="27"/>
  <c r="N287" i="27"/>
  <c r="N288" i="27"/>
  <c r="N289" i="27"/>
  <c r="N290" i="27"/>
  <c r="N291" i="27"/>
  <c r="N292" i="27"/>
  <c r="N293" i="27"/>
  <c r="N294" i="27"/>
  <c r="N295" i="27"/>
  <c r="N296" i="27"/>
  <c r="N297" i="27"/>
  <c r="N298" i="27"/>
  <c r="N299" i="27"/>
  <c r="N300" i="27"/>
  <c r="N301" i="27"/>
  <c r="N302" i="27"/>
  <c r="N303" i="27"/>
  <c r="N304" i="27"/>
  <c r="N305" i="27"/>
  <c r="N306" i="27"/>
  <c r="N307" i="27"/>
  <c r="N308" i="27"/>
  <c r="N309" i="27"/>
  <c r="N310" i="27"/>
  <c r="N311" i="27"/>
  <c r="N312" i="27"/>
  <c r="N313" i="27"/>
  <c r="N314" i="27"/>
  <c r="N315" i="27"/>
  <c r="N316" i="27"/>
  <c r="N317" i="27"/>
  <c r="N318" i="27"/>
  <c r="N319" i="27"/>
  <c r="N320" i="27"/>
  <c r="N321" i="27"/>
  <c r="N322" i="27"/>
  <c r="N323" i="27"/>
  <c r="N324" i="27"/>
  <c r="N325" i="27"/>
  <c r="N326" i="27"/>
  <c r="N327" i="27"/>
  <c r="N328" i="27"/>
  <c r="N329" i="27"/>
  <c r="N330" i="27"/>
  <c r="N331" i="27"/>
  <c r="N332" i="27"/>
  <c r="N333" i="27"/>
  <c r="N334" i="27"/>
  <c r="N335" i="27"/>
  <c r="N336" i="27"/>
  <c r="N337" i="27"/>
  <c r="N338" i="27"/>
  <c r="N339" i="27"/>
  <c r="N340" i="27"/>
  <c r="N341" i="27"/>
  <c r="N342" i="27"/>
  <c r="N343" i="27"/>
  <c r="N344" i="27"/>
  <c r="N345" i="27"/>
  <c r="N346" i="27"/>
  <c r="N347" i="27"/>
  <c r="N348" i="27"/>
  <c r="N349" i="27"/>
  <c r="N350" i="27"/>
  <c r="N351" i="27"/>
  <c r="N352" i="27"/>
  <c r="N353" i="27"/>
  <c r="N354" i="27"/>
  <c r="N363" i="27"/>
  <c r="N364" i="27"/>
  <c r="N365" i="27"/>
  <c r="N366" i="27"/>
  <c r="N367" i="27"/>
  <c r="N368" i="27"/>
  <c r="N369" i="27"/>
  <c r="N370" i="27"/>
  <c r="N371" i="27"/>
  <c r="N372" i="27"/>
  <c r="N373" i="27"/>
  <c r="N374" i="27"/>
  <c r="N375" i="27"/>
  <c r="N376" i="27"/>
  <c r="N377" i="27"/>
  <c r="N378" i="27"/>
  <c r="N379" i="27"/>
  <c r="N380" i="27"/>
  <c r="N381" i="27"/>
  <c r="N382" i="27"/>
  <c r="N383" i="27"/>
  <c r="N384" i="27"/>
  <c r="N385" i="27"/>
  <c r="N386" i="27"/>
  <c r="N387" i="27"/>
  <c r="N388" i="27"/>
  <c r="N389" i="27"/>
  <c r="N390" i="27"/>
  <c r="N391" i="27"/>
  <c r="N392" i="27"/>
  <c r="N393" i="27"/>
  <c r="N394" i="27"/>
  <c r="N395" i="27"/>
  <c r="N396" i="27"/>
  <c r="N397" i="27"/>
  <c r="N398" i="27"/>
  <c r="N399" i="27"/>
  <c r="N400" i="27"/>
  <c r="N401" i="27"/>
  <c r="N402" i="27"/>
  <c r="N403" i="27"/>
  <c r="N404" i="27"/>
  <c r="N405" i="27"/>
  <c r="N406" i="27"/>
  <c r="N407" i="27"/>
  <c r="N408" i="27"/>
  <c r="N409" i="27"/>
  <c r="N410" i="27"/>
  <c r="N411" i="27"/>
  <c r="N412" i="27"/>
  <c r="N413" i="27"/>
  <c r="N414" i="27"/>
  <c r="N415" i="27"/>
  <c r="N416" i="27"/>
  <c r="N417" i="27"/>
  <c r="N418" i="27"/>
  <c r="N419" i="27"/>
  <c r="N420" i="27"/>
  <c r="N421" i="27"/>
  <c r="N422" i="27"/>
  <c r="N423" i="27"/>
  <c r="N424" i="27"/>
  <c r="N425" i="27"/>
  <c r="N426" i="27"/>
  <c r="N427" i="27"/>
  <c r="N428" i="27"/>
  <c r="N429" i="27"/>
  <c r="N430" i="27"/>
  <c r="N431" i="27"/>
  <c r="N432" i="27"/>
  <c r="N433" i="27"/>
  <c r="N434" i="27"/>
  <c r="N435" i="27"/>
  <c r="N436" i="27"/>
  <c r="N437" i="27"/>
  <c r="N438" i="27"/>
  <c r="N439" i="27"/>
  <c r="N440" i="27"/>
  <c r="N441" i="27"/>
  <c r="N442" i="27"/>
  <c r="N443" i="27"/>
  <c r="N444" i="27"/>
  <c r="N445" i="27"/>
  <c r="N446" i="27"/>
  <c r="N447" i="27"/>
  <c r="N448" i="27"/>
  <c r="N449" i="27"/>
  <c r="N450" i="27"/>
  <c r="N451" i="27"/>
  <c r="N452" i="27"/>
  <c r="N453" i="27"/>
  <c r="N454" i="27"/>
  <c r="N455" i="27"/>
  <c r="N456" i="27"/>
  <c r="N457" i="27"/>
  <c r="N458" i="27"/>
  <c r="N459" i="27"/>
  <c r="N460" i="27"/>
  <c r="N461" i="27"/>
  <c r="N462" i="27"/>
  <c r="N463" i="27"/>
  <c r="N464" i="27"/>
  <c r="N465" i="27"/>
  <c r="N466" i="27"/>
  <c r="N467" i="27"/>
  <c r="N468" i="27"/>
  <c r="N469" i="27"/>
  <c r="N470" i="27"/>
  <c r="N471" i="27"/>
  <c r="N472" i="27"/>
  <c r="N473" i="27"/>
  <c r="N474" i="27"/>
  <c r="N475" i="27"/>
  <c r="N476" i="27"/>
  <c r="N477" i="27"/>
  <c r="N478" i="27"/>
  <c r="N479" i="27"/>
  <c r="N480" i="27"/>
  <c r="N481" i="27"/>
  <c r="N482" i="27"/>
  <c r="N483" i="27"/>
  <c r="N484" i="27"/>
  <c r="N485" i="27"/>
  <c r="N486" i="27"/>
  <c r="N487" i="27"/>
  <c r="N488" i="27"/>
  <c r="N489" i="27"/>
  <c r="N490" i="27"/>
  <c r="N491" i="27"/>
  <c r="N492" i="27"/>
  <c r="N493" i="27"/>
  <c r="N494" i="27"/>
  <c r="N495" i="27"/>
  <c r="N496" i="27"/>
  <c r="N497" i="27"/>
  <c r="N498" i="27"/>
  <c r="N499" i="27"/>
  <c r="N500" i="27"/>
  <c r="N501" i="27"/>
  <c r="N502" i="27"/>
  <c r="N503" i="27"/>
  <c r="N504" i="27"/>
  <c r="N505" i="27"/>
  <c r="N506" i="27"/>
  <c r="N507" i="27"/>
  <c r="N508" i="27"/>
  <c r="N509" i="27"/>
  <c r="N510" i="27"/>
  <c r="N511" i="27"/>
  <c r="N512" i="27"/>
  <c r="N513" i="27"/>
  <c r="N514" i="27"/>
  <c r="N515" i="27"/>
  <c r="N516" i="27"/>
  <c r="N517" i="27"/>
  <c r="N518" i="27"/>
  <c r="N519" i="27"/>
  <c r="N520" i="27"/>
  <c r="N521" i="27"/>
  <c r="N522" i="27"/>
  <c r="N523" i="27"/>
  <c r="N524" i="27"/>
  <c r="N525" i="27"/>
  <c r="N526" i="27"/>
  <c r="N527" i="27"/>
  <c r="N528" i="27"/>
  <c r="N529" i="27"/>
  <c r="N530" i="27"/>
  <c r="N531" i="27"/>
  <c r="N532" i="27"/>
  <c r="N533" i="27"/>
  <c r="N534" i="27"/>
  <c r="N535" i="27"/>
  <c r="N536" i="27"/>
  <c r="N537" i="27"/>
  <c r="N538" i="27"/>
  <c r="N539" i="27"/>
  <c r="N540" i="27"/>
  <c r="N541" i="27"/>
  <c r="N542" i="27"/>
  <c r="N543" i="27"/>
  <c r="N544" i="27"/>
  <c r="N545" i="27"/>
  <c r="N546" i="27"/>
  <c r="N547" i="27"/>
  <c r="N548" i="27"/>
  <c r="N549" i="27"/>
  <c r="N550" i="27"/>
  <c r="N551" i="27"/>
  <c r="N552" i="27"/>
  <c r="N553" i="27"/>
  <c r="N554" i="27"/>
  <c r="N555" i="27"/>
  <c r="N556" i="27"/>
  <c r="N557" i="27"/>
  <c r="N558" i="27"/>
  <c r="N559" i="27"/>
  <c r="N560" i="27"/>
  <c r="N561" i="27"/>
  <c r="N562" i="27"/>
  <c r="N563" i="27"/>
  <c r="N564" i="27"/>
  <c r="N565" i="27"/>
  <c r="N566" i="27"/>
  <c r="N567" i="27"/>
  <c r="N568" i="27"/>
  <c r="N569" i="27"/>
  <c r="N570" i="27"/>
  <c r="N571" i="27"/>
  <c r="N572" i="27"/>
  <c r="N573" i="27"/>
  <c r="N574" i="27"/>
  <c r="N575" i="27"/>
  <c r="N576" i="27"/>
  <c r="N577" i="27"/>
  <c r="N578" i="27"/>
  <c r="N579" i="27"/>
  <c r="N580" i="27"/>
  <c r="N581" i="27"/>
  <c r="N582" i="27"/>
  <c r="N583" i="27"/>
  <c r="N584" i="27"/>
  <c r="N585" i="27"/>
  <c r="N586" i="27"/>
  <c r="N587" i="27"/>
  <c r="N588" i="27"/>
  <c r="N589" i="27"/>
  <c r="N590" i="27"/>
  <c r="N591" i="27"/>
  <c r="N592" i="27"/>
  <c r="N593" i="27"/>
  <c r="N595" i="27"/>
  <c r="N596" i="27"/>
  <c r="N597" i="27"/>
  <c r="N598" i="27"/>
  <c r="N599" i="27"/>
  <c r="N600" i="27"/>
  <c r="N601" i="27"/>
  <c r="N602" i="27"/>
  <c r="N603" i="27"/>
  <c r="N604" i="27"/>
  <c r="N605" i="27"/>
  <c r="N606" i="27"/>
  <c r="N607" i="27"/>
  <c r="N608" i="27"/>
  <c r="N609" i="27"/>
  <c r="N610" i="27"/>
  <c r="N611" i="27"/>
  <c r="N612" i="27"/>
  <c r="N613" i="27"/>
  <c r="N614" i="27"/>
  <c r="N615" i="27"/>
  <c r="N616" i="27"/>
  <c r="N617" i="27"/>
  <c r="N618" i="27"/>
  <c r="N619" i="27"/>
  <c r="N620" i="27"/>
  <c r="N621" i="27"/>
  <c r="N622" i="27"/>
  <c r="N623" i="27"/>
  <c r="N624" i="27"/>
  <c r="N625" i="27"/>
  <c r="N626" i="27"/>
  <c r="N627" i="27"/>
  <c r="N628" i="27"/>
  <c r="N629" i="27"/>
  <c r="N630" i="27"/>
  <c r="N631" i="27"/>
  <c r="N632" i="27"/>
  <c r="N633" i="27"/>
  <c r="N634" i="27"/>
  <c r="N635" i="27"/>
  <c r="N636" i="27"/>
  <c r="N637" i="27"/>
  <c r="N638" i="27"/>
  <c r="N639" i="27"/>
  <c r="N640" i="27"/>
  <c r="N641" i="27"/>
  <c r="N642" i="27"/>
  <c r="N643" i="27"/>
  <c r="N644" i="27"/>
  <c r="N645" i="27"/>
  <c r="N646" i="27"/>
  <c r="N647" i="27"/>
  <c r="N648" i="27"/>
  <c r="N649" i="27"/>
  <c r="N650" i="27"/>
  <c r="N651" i="27"/>
  <c r="N652" i="27"/>
  <c r="N653" i="27"/>
  <c r="N654" i="27"/>
  <c r="N655" i="27"/>
  <c r="N656" i="27"/>
  <c r="N657" i="27"/>
  <c r="N658" i="27"/>
  <c r="N659" i="27"/>
  <c r="N660" i="27"/>
  <c r="N661" i="27"/>
  <c r="N662" i="27"/>
  <c r="N663" i="27"/>
  <c r="N664" i="27"/>
  <c r="N665" i="27"/>
  <c r="N666" i="27"/>
  <c r="N667" i="27"/>
  <c r="N668" i="27"/>
  <c r="N669" i="27"/>
  <c r="N670" i="27"/>
  <c r="N671" i="27"/>
  <c r="N672" i="27"/>
  <c r="N673" i="27"/>
  <c r="N674" i="27"/>
  <c r="N675" i="27"/>
  <c r="N676" i="27"/>
  <c r="N677" i="27"/>
  <c r="N678" i="27"/>
  <c r="N679" i="27"/>
  <c r="N680" i="27"/>
  <c r="N681" i="27"/>
  <c r="N682" i="27"/>
  <c r="N683" i="27"/>
  <c r="N684" i="27"/>
  <c r="N685" i="27"/>
  <c r="N686" i="27"/>
  <c r="N687" i="27"/>
  <c r="N688" i="27"/>
  <c r="N689" i="27"/>
  <c r="N690" i="27"/>
  <c r="N691" i="27"/>
  <c r="N692" i="27"/>
  <c r="N693" i="27"/>
  <c r="N694" i="27"/>
  <c r="N695" i="27"/>
  <c r="N696" i="27"/>
  <c r="N697" i="27"/>
  <c r="N698" i="27"/>
  <c r="N699" i="27"/>
  <c r="N700" i="27"/>
  <c r="N701" i="27"/>
  <c r="N702" i="27"/>
  <c r="N703" i="27"/>
  <c r="N704" i="27"/>
  <c r="N705" i="27"/>
  <c r="N706" i="27"/>
  <c r="N707" i="27"/>
  <c r="N708" i="27"/>
  <c r="N709" i="27"/>
  <c r="N710" i="27"/>
  <c r="N711" i="27"/>
  <c r="N712" i="27"/>
  <c r="N713" i="27"/>
  <c r="N714" i="27"/>
  <c r="N715" i="27"/>
  <c r="N716" i="27"/>
  <c r="N717" i="27"/>
  <c r="N718" i="27"/>
  <c r="N719" i="27"/>
  <c r="N720" i="27"/>
  <c r="N721" i="27"/>
  <c r="N722" i="27"/>
  <c r="N723" i="27"/>
  <c r="N724" i="27"/>
  <c r="N725" i="27"/>
  <c r="N726" i="27"/>
  <c r="N727" i="27"/>
  <c r="N728" i="27"/>
  <c r="N729" i="27"/>
  <c r="N730" i="27"/>
  <c r="N733" i="27"/>
  <c r="N734" i="27"/>
  <c r="N736" i="27"/>
  <c r="N737" i="27"/>
  <c r="N738" i="27"/>
  <c r="N739" i="27"/>
  <c r="N6" i="27"/>
  <c r="A1" i="7" l="1"/>
  <c r="A1" i="10" s="1"/>
  <c r="R3" i="27"/>
  <c r="R2" i="27"/>
  <c r="R1" i="27"/>
  <c r="A1" i="27" l="1"/>
  <c r="A1" i="26"/>
  <c r="A1" i="25"/>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Owen Tosh (nzx5jd)</author>
  </authors>
  <commentList>
    <comment ref="H4" authorId="0">
      <text>
        <r>
          <rPr>
            <sz val="8"/>
            <color indexed="81"/>
            <rFont val="Tahoma"/>
            <family val="2"/>
          </rPr>
          <t>1X, 1Y, 1Z, 1I, 1BS
2X, 2Y, 2Z, 2I, 2BS
etc</t>
        </r>
      </text>
    </comment>
  </commentList>
</comments>
</file>

<file path=xl/connections.xml><?xml version="1.0" encoding="utf-8"?>
<connections xmlns="http://schemas.openxmlformats.org/spreadsheetml/2006/main">
  <connection id="1" name="Connection" type="4" refreshedVersion="4"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<sst xmlns="http://schemas.openxmlformats.org/spreadsheetml/2006/main" count="21323" uniqueCount="5170">
  <si>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</si>
  <si>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</si>
  <si>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</si>
  <si>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</si>
  <si>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</si>
  <si>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</si>
  <si>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</si>
  <si>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</si>
  <si>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</si>
  <si>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</si>
  <si>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</si>
  <si>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</si>
  <si>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</si>
  <si>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</si>
  <si>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</si>
  <si>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</si>
  <si>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</si>
  <si>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</si>
  <si>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</si>
  <si>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</si>
  <si>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</si>
  <si>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</si>
  <si>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</si>
  <si>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</si>
  <si>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</si>
  <si>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</si>
  <si>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</si>
  <si>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</si>
  <si>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</si>
  <si>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</si>
  <si>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</si>
  <si>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</si>
  <si>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</si>
  <si>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</si>
  <si>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</si>
  <si>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</si>
  <si>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</si>
  <si>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</si>
  <si>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</si>
  <si>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</si>
  <si>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</si>
  <si>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</si>
  <si>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</si>
  <si>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</si>
  <si>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</si>
  <si>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</si>
  <si>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</si>
  <si>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</si>
  <si>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</si>
  <si>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</si>
  <si>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</si>
  <si>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</si>
  <si>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</si>
  <si>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</si>
  <si>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</si>
  <si>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</si>
  <si>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</si>
  <si>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</si>
  <si>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</si>
  <si>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</si>
  <si>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</si>
  <si>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</si>
  <si>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</si>
  <si>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</si>
  <si>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</si>
  <si>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</si>
  <si>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</si>
  <si>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</si>
  <si>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</si>
  <si>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</si>
  <si>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</si>
  <si>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</si>
  <si>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</si>
  <si>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</si>
  <si>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</si>
  <si>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</si>
  <si>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</si>
  <si>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</si>
  <si>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</si>
  <si>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</si>
  <si>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</si>
  <si>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</si>
  <si>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</si>
  <si>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</si>
  <si>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</si>
  <si>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</si>
  <si>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</si>
  <si>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</si>
  <si>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</si>
  <si>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</si>
  <si>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</si>
  <si>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</si>
  <si>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</si>
  <si>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</si>
  <si>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</si>
  <si>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</si>
  <si>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</si>
  <si>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</si>
  <si>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</si>
  <si>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</si>
  <si>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</si>
  <si>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</si>
  <si>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</si>
  <si>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</si>
  <si>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</si>
  <si>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</si>
  <si>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</si>
  <si>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</si>
  <si>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</si>
  <si>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</si>
  <si>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</si>
  <si>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</si>
  <si>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</si>
  <si>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</si>
  <si>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</si>
  <si>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</si>
  <si>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</si>
  <si>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</si>
  <si>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</si>
  <si>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</si>
  <si>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</si>
  <si>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</si>
  <si>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</si>
  <si>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</si>
  <si>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</si>
  <si>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</si>
  <si>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</si>
  <si>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</si>
  <si>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</si>
  <si>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</si>
  <si>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</si>
  <si>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</si>
  <si>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</si>
  <si>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</si>
  <si>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</si>
  <si>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</si>
  <si>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</si>
  <si>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</si>
  <si>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</si>
  <si>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</si>
  <si>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</si>
  <si>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</si>
  <si>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</si>
  <si>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</si>
  <si>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</si>
  <si>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</si>
  <si>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</si>
  <si>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</si>
  <si>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</si>
  <si>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</si>
  <si>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</si>
  <si>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</si>
  <si>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</si>
  <si>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</si>
  <si>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</si>
  <si>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</si>
  <si>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</si>
  <si>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</si>
  <si>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</si>
  <si>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</si>
  <si>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</si>
  <si>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</si>
  <si>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</si>
  <si>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</si>
  <si>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</si>
  <si>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</si>
  <si>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</si>
  <si>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</si>
  <si>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</si>
  <si>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</si>
  <si>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</si>
  <si>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</si>
  <si>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</si>
  <si>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</si>
  <si>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</si>
  <si>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</si>
  <si>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</si>
  <si>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FDD10C StatesandModes</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</si>
  <si>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</si>
  <si>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</si>
  <si>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</si>
  <si>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</si>
  <si>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</si>
  <si>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</si>
  <si>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</si>
  <si>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</si>
  <si>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</si>
  <si>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</si>
  <si>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</si>
  <si>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</si>
  <si>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</si>
  <si>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</si>
  <si>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</si>
  <si>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</si>
  <si>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</si>
  <si>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</si>
  <si>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</si>
  <si>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</si>
  <si>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</si>
  <si>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</si>
  <si>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</si>
  <si>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</si>
  <si>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</si>
  <si>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</si>
  <si>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</si>
  <si>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</si>
  <si>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</si>
  <si>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</si>
  <si>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</si>
  <si>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</si>
  <si>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</si>
  <si>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</si>
  <si>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</si>
  <si>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</si>
  <si>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</si>
  <si>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</si>
  <si>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</si>
  <si>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</si>
  <si>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</si>
  <si>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</si>
  <si>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 xml:space="preserve">None </t>
  </si>
  <si>
    <t>Default Value</t>
  </si>
  <si>
    <t>Graph Settings</t>
  </si>
  <si>
    <t>SER</t>
  </si>
  <si>
    <t>SF00 CommonCalibrations</t>
  </si>
  <si>
    <t>CF01 FordLaneAssist</t>
  </si>
  <si>
    <t>CF02 FordActiveNibbleControl</t>
  </si>
  <si>
    <t>CF03 FordTrailerBackupAssistant</t>
  </si>
  <si>
    <t>CF04 FordArbiterLimiter</t>
  </si>
  <si>
    <t>CF05 ChryslerArbiterLimiter</t>
  </si>
  <si>
    <t>CF06 BMWCurrentLimit</t>
  </si>
  <si>
    <t>FDD04C DigitalHWTorqueSENT</t>
  </si>
  <si>
    <t>FDD05G I2CAbsoluteHandwheelPositionFunction</t>
  </si>
  <si>
    <t>FDD16 OverVoltageMonitor</t>
  </si>
  <si>
    <t>FDD32B uCDiagnostics</t>
  </si>
  <si>
    <t>FDD37B Diagnostic Manager</t>
  </si>
  <si>
    <t>FDD40C TorqueOverlay</t>
  </si>
  <si>
    <t>FDD41A NibbleRejection</t>
  </si>
  <si>
    <t>FDD48 FlexrayErrorIndicationInterface</t>
  </si>
  <si>
    <t>FDD49 SineVoltageGenerationDiagnostics</t>
  </si>
  <si>
    <t>FDD50A DigiMSB</t>
  </si>
  <si>
    <t>FDD98 TurnsCounterReflash</t>
  </si>
  <si>
    <t>DF01 FaultInjection</t>
  </si>
  <si>
    <t>SF23 TuningSelectAuthority</t>
  </si>
  <si>
    <t>SF27 EOTDampingFirewall</t>
  </si>
  <si>
    <t>SF31 TorqueReasonablenessDiagnostic</t>
  </si>
  <si>
    <t>SF33 VehicleSpeedConditioning</t>
  </si>
  <si>
    <t>SF34 AssistFirewall</t>
  </si>
  <si>
    <t>SF35 DampingFirewall</t>
  </si>
  <si>
    <t>SF36 ReturnFirewall</t>
  </si>
  <si>
    <t>SF37 GlobalSignalOverwriteDetection</t>
  </si>
  <si>
    <t>SF38 LimiterConditioning</t>
  </si>
  <si>
    <t>SF39 LearnRackCenter</t>
  </si>
  <si>
    <t>SF40AB MotorVelocity</t>
  </si>
  <si>
    <t>OT</t>
  </si>
  <si>
    <t>Initial Version</t>
  </si>
  <si>
    <t>MtrNm</t>
  </si>
  <si>
    <t>u8p8_T</t>
  </si>
  <si>
    <t>u6p10_T</t>
  </si>
  <si>
    <t>Assist Mech Gear Ratio</t>
  </si>
  <si>
    <t>Uls</t>
  </si>
  <si>
    <t>float32</t>
  </si>
  <si>
    <t>Hz</t>
  </si>
  <si>
    <t>MtrRadpS</t>
  </si>
  <si>
    <t>kph</t>
  </si>
  <si>
    <t>HwNm</t>
  </si>
  <si>
    <t>ms</t>
  </si>
  <si>
    <t>uint16</t>
  </si>
  <si>
    <t>HwDeg</t>
  </si>
  <si>
    <t>k_HwPosAuthorityStep_Uls_f32</t>
  </si>
  <si>
    <t>k_HwPos_Authority_Step</t>
  </si>
  <si>
    <t>Cnt</t>
  </si>
  <si>
    <t>k_KinmIntDiag_Max_Rack_Limit</t>
  </si>
  <si>
    <t>mS</t>
  </si>
  <si>
    <t>k_YawRateFilt_Hz_f32</t>
  </si>
  <si>
    <t>PlCmp_k_YawRateFilt_Hz</t>
  </si>
  <si>
    <t>Filter Frequency for Yaw Rate signal</t>
  </si>
  <si>
    <t>ActivePull</t>
  </si>
  <si>
    <t>k_HwTrqFilt_Hz_f32</t>
  </si>
  <si>
    <t>PlCmp_k_HwTrqFilt_Hz</t>
  </si>
  <si>
    <t>Filter Frequency for Handwheel Torque signal</t>
  </si>
  <si>
    <t>k_STResetHwTrq_HwNm_f32</t>
  </si>
  <si>
    <t>PlCmp_k_STResetHwTrq_HwNm</t>
  </si>
  <si>
    <t>Hw Torque Limit at which the short term compensation will reset to zero</t>
  </si>
  <si>
    <t>k_STResetHwPos_HwDeg_f32</t>
  </si>
  <si>
    <t>PlCmp_k_STResetHwPos_HwDeg</t>
  </si>
  <si>
    <t>Hw Position Limit at which the short term compensation will reset to zero</t>
  </si>
  <si>
    <t>k_STResetYawRate_DegpS_f32</t>
  </si>
  <si>
    <t>PlCmp_k_STResetYawRate_DegpS</t>
  </si>
  <si>
    <t>Yaw Rate Limit at which the short term compensation will reset to zero</t>
  </si>
  <si>
    <t>DegpS</t>
  </si>
  <si>
    <t>k_EnableHwTrqMax_HwNm_f32</t>
  </si>
  <si>
    <t>PlCmp_k_EnableHwTrqMax_HwNm</t>
  </si>
  <si>
    <t>Maximum Hw Torque allowed for learning to be enabled</t>
  </si>
  <si>
    <t>k_EnableHwPosMax_HwDeg_f32</t>
  </si>
  <si>
    <t>PlCmp_k_EnableHwPosMax_HwDeg</t>
  </si>
  <si>
    <t>Maximum Hw Position allowed for learning to be enabled</t>
  </si>
  <si>
    <t>k_EnableHwAuthMin_Uls_f32</t>
  </si>
  <si>
    <t>PlCmp_k_EnableHwAuthMin_Uls</t>
  </si>
  <si>
    <t>Minimum Hw Authority allowed for learning to be enabled</t>
  </si>
  <si>
    <t>Unitless</t>
  </si>
  <si>
    <t>k_EnableHwVelMax_DegpS_f32</t>
  </si>
  <si>
    <t>PlCmp_k_EnableHwVelMax_DegpS</t>
  </si>
  <si>
    <t>Maximum Hw Velocity allowed for learning to be enabled</t>
  </si>
  <si>
    <t>k_EnableVehSpdRateMax_KphpS_f32</t>
  </si>
  <si>
    <t>PlCmp_k_EnableVehSpdRateMax_KphpS</t>
  </si>
  <si>
    <t>Maximum Vehicle Speed rate of change allowed for learning to be enabled</t>
  </si>
  <si>
    <t>KphpS</t>
  </si>
  <si>
    <t>k_EnableVehSpdMin_Kph_f32</t>
  </si>
  <si>
    <t>PlCmp_k_EnableVehSpdMin_Kph</t>
  </si>
  <si>
    <t>Minimum Vehicle Speed allowed for learning to be enabled</t>
  </si>
  <si>
    <t>Kph</t>
  </si>
  <si>
    <t>k_EnableVehSpdMax_Kph_f32</t>
  </si>
  <si>
    <t>PlCmp_k_EnableVehSpdMax_Kph</t>
  </si>
  <si>
    <t>Maximum Vehicle Speed allowed for learning to be enabled</t>
  </si>
  <si>
    <t>k_EnableYawRateMax_DegpS_f32</t>
  </si>
  <si>
    <t>PlCmp_k_EnableYawRateMax_DegpS</t>
  </si>
  <si>
    <t>Maximum Yaw Rate allowed for learning to be enabled</t>
  </si>
  <si>
    <t>k_EnableTime_mS_u32</t>
  </si>
  <si>
    <t>PlCmp_k_EnableTime_S</t>
  </si>
  <si>
    <t>Time for which all of the enable criteria must be valid before learning will be enabled</t>
  </si>
  <si>
    <t>uint32</t>
  </si>
  <si>
    <t>k_STLimit_HwNm_f32</t>
  </si>
  <si>
    <t>PlCmp_k_STLimit_HwNm</t>
  </si>
  <si>
    <t>Maximum allowed short term compensation</t>
  </si>
  <si>
    <t>k_STLearnTimeInc_Sec_f32</t>
  </si>
  <si>
    <t>PlCmp_k_STLearnTimeInc_S</t>
  </si>
  <si>
    <t>Time to learn approximately 75% of a pull, in normal condition (increasing short term)</t>
  </si>
  <si>
    <t>S</t>
  </si>
  <si>
    <t>k_STLearnTimeDec_Sec_f32</t>
  </si>
  <si>
    <t>PlCmp_k_STLearnTimeDec_S</t>
  </si>
  <si>
    <t>Time to learn approximately 75% of a pull, in condition where short term is opposing the driver (decreasing short term). This would normally be a shorter time than the STLearnTimeInc, to reduce the amount of time that the pull comp command opposes the driver.</t>
  </si>
  <si>
    <t>k_STOppSignTime_mS_u32</t>
  </si>
  <si>
    <t>PlCmp_k_STOppSignTime_S</t>
  </si>
  <si>
    <t>Time the driver must be opposing the short term compensation before the system will switch to the STLearnTimeDec learning rate.</t>
  </si>
  <si>
    <t>k_STRampTime_Sec_f32</t>
  </si>
  <si>
    <t>PlCmp_k_STRampTime_S</t>
  </si>
  <si>
    <t>Time over which the short term compensation will ramp down to zero in the event of a short term reset</t>
  </si>
  <si>
    <t>k_STIntInputLimit_HwNm_f32</t>
  </si>
  <si>
    <t>PlCmp_k_STIntInputLimit_HwNm</t>
  </si>
  <si>
    <t>Value to limit the input to the short term integrator. Reduces the learning rate for higher handwheel torque inputs.</t>
  </si>
  <si>
    <t>k_STFilt_Hz_f32</t>
  </si>
  <si>
    <t>PlCmp_k_STFilt_Hz</t>
  </si>
  <si>
    <t>Filter on handwheel torque input to the Short Term Integrator</t>
  </si>
  <si>
    <t>k_FiltDeadband_HwNm_f32</t>
  </si>
  <si>
    <t>PlCmp_k_FiltDeadband_HwNm</t>
  </si>
  <si>
    <t>Deadband on input to both short and long term integrator. When hw torque is below this value, the integrator will not learn any additional compensation</t>
  </si>
  <si>
    <t>k_LTLimit_HwNm_f32</t>
  </si>
  <si>
    <t>PlCmp_k_LTLimit_HwNm</t>
  </si>
  <si>
    <t>Maximum allowed long term compensation</t>
  </si>
  <si>
    <t>k_LTLearnTime_Min_f32</t>
  </si>
  <si>
    <t>PlCmp_k_LTLearnTime_Min</t>
  </si>
  <si>
    <t>Time to learn approximately 75% of a pull into long term compensation</t>
  </si>
  <si>
    <t>k_LTFilt_Hz_f32</t>
  </si>
  <si>
    <t>PlCmp_k_LTFilt_Hz</t>
  </si>
  <si>
    <t>Filter on handwheel torque input to the Long Term Integrator</t>
  </si>
  <si>
    <t>k_LTIntInputLimit_HwNm_f32</t>
  </si>
  <si>
    <t>PlCmp_k_LTIntInputLimit_HwNm</t>
  </si>
  <si>
    <t>Value to limit the input to the long term integrator. Reduces the learning rate for higher handwheel torque inputs.</t>
  </si>
  <si>
    <t>k_TotalLimit_HwNm_f32</t>
  </si>
  <si>
    <t>PlCmp_k_TotalLimit_HwNm</t>
  </si>
  <si>
    <t>Value to limit the total output of pull comp.</t>
  </si>
  <si>
    <t>k_HwNmToMtrNm_Uls_f32</t>
  </si>
  <si>
    <t>PlCmp_k_HwNmToMtrNm_MtrNmpHwNm</t>
  </si>
  <si>
    <t>Scale factor used to convert the compensation command from handwheel torque to motor torque.</t>
  </si>
  <si>
    <t>t_VehSpdScaleTblX_Kph_u9p7[4]</t>
  </si>
  <si>
    <t>PlCmp_t_VehSpdScale</t>
  </si>
  <si>
    <t>Table to scale Pull Comp command with vehicle speed</t>
  </si>
  <si>
    <t>ActivePull.1X</t>
  </si>
  <si>
    <t>{0, 30, 60, 90}</t>
  </si>
  <si>
    <t>u9p7_T</t>
  </si>
  <si>
    <t>t_VehSpdScaleTblY_Uls_u2p14[4]</t>
  </si>
  <si>
    <t>ActivePull.1Y</t>
  </si>
  <si>
    <t>{0, 0.25, 1, 1}</t>
  </si>
  <si>
    <t>u2p14_T</t>
  </si>
  <si>
    <t>k_OutputMaxRate_HwNmpS_f32</t>
  </si>
  <si>
    <t>PlCmp_k_OutputMaxRate_HwNmpS</t>
  </si>
  <si>
    <t>Rate limiter on output of function, to eliminate sudden change in output</t>
  </si>
  <si>
    <t>HwNmpS</t>
  </si>
  <si>
    <t>k_VbattOVTransIntConfig_Cnt_u32</t>
  </si>
  <si>
    <t>k_VbattOVTransIntConfig_Cnt</t>
  </si>
  <si>
    <t>Adc</t>
  </si>
  <si>
    <t>k_MaxADCConvTime_uS_u16</t>
  </si>
  <si>
    <t>k_MaxADCConvTime</t>
  </si>
  <si>
    <t>uS</t>
  </si>
  <si>
    <t>t2_AsstHwtX0_HwNm_u8p8[12][20]</t>
  </si>
  <si>
    <t>Asst_t_HwtX0_HwNm</t>
  </si>
  <si>
    <t>Normal tuning assist table x-variable</t>
  </si>
  <si>
    <t>Assist</t>
  </si>
  <si>
    <t>Assist.1X</t>
  </si>
  <si>
    <t>t2_AsstHwtX1_HwNm_u8p8[12][20]</t>
  </si>
  <si>
    <t>Asst_t_HwtX1_HwNm</t>
  </si>
  <si>
    <t>WIR Active tuning assist table x-variable</t>
  </si>
  <si>
    <t>Assist.2X</t>
  </si>
  <si>
    <t>t2_AsstAsstY0_MtrNm_s4p11[12][20]</t>
  </si>
  <si>
    <t>Asst_t_AsstY0_MtrNm</t>
  </si>
  <si>
    <t>Normal tuning assist table y-variable</t>
  </si>
  <si>
    <t>Assist.1Y</t>
  </si>
  <si>
    <t>s4p11_T</t>
  </si>
  <si>
    <t>t2_AsstAsstY1_MtrNm_s4p11[12][20]</t>
  </si>
  <si>
    <t>Asst_t_AsstY1_MtrNm</t>
  </si>
  <si>
    <t>WIR Active tuning assist table y-variable</t>
  </si>
  <si>
    <t>Assist.2Y</t>
  </si>
  <si>
    <t>t_CmnVehSpd_Kph_u9p7[12]</t>
  </si>
  <si>
    <t>Cmn_t_VehSpd_Kph</t>
  </si>
  <si>
    <t>Vehicle speed 1D table for boundary lookup</t>
  </si>
  <si>
    <t>Assist, Damping, FrqDepDmpnInrtCmp, HighFreqAssist, HystComp</t>
  </si>
  <si>
    <t>SF00 Common Calibrations, SF00 Common Calibrations, None, SF00 Common Calibrations, SF00 Common Calibrations</t>
  </si>
  <si>
    <t>Assist.2Z, Assist.3Z</t>
  </si>
  <si>
    <t>{0, 5, 15, 30, 60, 80, 100, 120, 150, 180, 200, 220}</t>
  </si>
  <si>
    <t>t2_AsstWIRBlndX_MtrNm_u5p11[12][5]</t>
  </si>
  <si>
    <t>Asst_t_WIRBlendX_MtrNm</t>
  </si>
  <si>
    <t>WIR Blend table x-variable</t>
  </si>
  <si>
    <t>Assist.3X</t>
  </si>
  <si>
    <t>u5p11_T</t>
  </si>
  <si>
    <t>t2_AsstWIRBlendY_Uls_u2p14[12][5]</t>
  </si>
  <si>
    <t>Asst_t_WIRBlendY_Uls</t>
  </si>
  <si>
    <t>WIR Blend table y-variable</t>
  </si>
  <si>
    <t>Assist.3Y</t>
  </si>
  <si>
    <t>t_AsstThermSclX_Cnt_u16p0[2]</t>
  </si>
  <si>
    <t>Asst_t_ThermSclX_Cnt</t>
  </si>
  <si>
    <t>Duty Cycle Filter Counts</t>
  </si>
  <si>
    <t>Assist.4X</t>
  </si>
  <si>
    <t>{75, 100}</t>
  </si>
  <si>
    <t>Counts</t>
  </si>
  <si>
    <t>u16p0_T</t>
  </si>
  <si>
    <t>t_AsstThermSclY_Uls_u2p14[2]</t>
  </si>
  <si>
    <t>Asst_t_ThermSclY_Uls</t>
  </si>
  <si>
    <t>Unitless Scale Factor</t>
  </si>
  <si>
    <t>Assist.4Y</t>
  </si>
  <si>
    <t>{1, 1}</t>
  </si>
  <si>
    <t>k_AsstFWInpLimitHysComp_MtrNm_f32</t>
  </si>
  <si>
    <t>AsstFW_k_InpLimitHysComp_MtrNm</t>
  </si>
  <si>
    <t>Input limit applied to Hysteresis_Comp</t>
  </si>
  <si>
    <t>AssistFirewall</t>
  </si>
  <si>
    <t>k_AsstFWInpLimitHFA_MtrNm_f32</t>
  </si>
  <si>
    <t>AsstFW_k_InpLimitHFA_MtrNm</t>
  </si>
  <si>
    <t>Input limit applied to HighFrequencyAssist</t>
  </si>
  <si>
    <t>k_AsstFWInpLimitBaseAsst_MtrNm_f32</t>
  </si>
  <si>
    <t>AsstFW_k_InpLimitBaseAsst_MtrNm</t>
  </si>
  <si>
    <t>Input limit applied to BaseAssist</t>
  </si>
  <si>
    <t>k_AsstFWFiltKn_Hz_f32</t>
  </si>
  <si>
    <t>AsstFW_k_FiltKn_Hz</t>
  </si>
  <si>
    <t>Shared corner frequency for signal-splitting HPF and boundary LP filters</t>
  </si>
  <si>
    <t>k_AsstFWFWActiveLPF_Hz_f32</t>
  </si>
  <si>
    <t>AsstFW_k_FWActiveLPF_Hz</t>
  </si>
  <si>
    <t>Corner frequency of low pass filter applied to AsstFW_Active signal prior to exiting function</t>
  </si>
  <si>
    <t>t_AsstFWVehSpd_Kph_u9p7[8]</t>
  </si>
  <si>
    <t>AsstFW_t_VehSpd_kph</t>
  </si>
  <si>
    <t xml:space="preserve">SF00 Common Calibrations
</t>
  </si>
  <si>
    <t>AssistFirewall.1Z, AssistFirewall.2Z</t>
  </si>
  <si>
    <t>{0, 5, 30, 60, 80, 100, 120, 150}</t>
  </si>
  <si>
    <t>t2_AsstFWUprBoundX_HwNm_s4p11[8][11]</t>
  </si>
  <si>
    <t>AsstFW_t2_UprBoundX_HwNm</t>
  </si>
  <si>
    <t>Upper boundary 2D X-table</t>
  </si>
  <si>
    <t>AssistFirewall.1X</t>
  </si>
  <si>
    <t>{{-10, -1, 0, 1, 2, 3, 4, 5 ,6, 8, 10}, {-10, -1, 0, 1, 2, 3, 4, 5 ,6, 8, 10}, {-10, -1, 0, 1, 2, 3, 4, 5 ,6, 8, 10}, {-10, -1, 0, 1, 2, 3, 4, 5 ,6, 8, 10}, {-10, -1, 0, 1, 2, 3, 4, 5 ,6, 8, 10}, {-10, -1, 0, 1, 2, 3, 4, 5 ,6, 8, 10}, {-10, -1, 0, 1, 2, 3, 4, 5 ,6, 8, 10}, {-10, -1, 0, 1, 2, 3, 4, 5 ,6, 8, 10}}</t>
  </si>
  <si>
    <t>t2_AsstFWUprBoundY_MtrNm_s4p11[8][11]</t>
  </si>
  <si>
    <t>AsstFW_t2_UprBoundY_MtrNm</t>
  </si>
  <si>
    <t>Upper boundary 2D Y-table</t>
  </si>
  <si>
    <t>AssistFirewall.1Y</t>
  </si>
  <si>
    <t>k_AsstFWPstep_Cnt_u16</t>
  </si>
  <si>
    <t>AsstFW_k_Pstep_Cnt</t>
  </si>
  <si>
    <t>Pstep/Nstep stepsize - positive direction</t>
  </si>
  <si>
    <t>k_AsstFWNstep_Cnt_u16</t>
  </si>
  <si>
    <t>AsstFW_k_Nstep_Cnt</t>
  </si>
  <si>
    <t>Pstep/Nstep stepsize - negative direction</t>
  </si>
  <si>
    <t>t_AsstFWPstepNstepThresh_Cnt_u16[2]</t>
  </si>
  <si>
    <t>AsstFW_t_PstepNstepThresh_Cnt</t>
  </si>
  <si>
    <t>Pstep/Nstep threshold values.  Two values, allows for a "hysteresis" of logic switching</t>
  </si>
  <si>
    <t>{50, 100}</t>
  </si>
  <si>
    <t>t_AsstFWDefltAssistX_HwNm_u8p8[20]</t>
  </si>
  <si>
    <t>AsstFW_t_DefltAssistX_HwNm</t>
  </si>
  <si>
    <t>Table of HwTrq values</t>
  </si>
  <si>
    <t>{0, 0.15, 0.3, 0.4, 0.6, 0.8, 1, 1.3, 1.55, 1.8, 2.05, 2.3, 2.55, 2.8, 3.05, 3.3, 3.55, 3.8, 5, 10}</t>
  </si>
  <si>
    <t>t_AsstFWDefltAssistY_MtrNm_s4p11[20]</t>
  </si>
  <si>
    <t>AsstFW_t_DefltAssistY_MtrNm</t>
  </si>
  <si>
    <t>Table of assist values for default operation</t>
  </si>
  <si>
    <t>{0, 0, 0.015, 0.028, 0.065, 0.11, 0.158, 0.24, 0.32, 0.41, 0.51, 0.62, 0.74, 0.86, 1, 1.15, 1.31, 1.47, 2.3, 5.7}</t>
  </si>
  <si>
    <t>k_RestoreThresh_MtrNm_f32</t>
  </si>
  <si>
    <t>AsstFW_k_RestoreThresh_MtrNm</t>
  </si>
  <si>
    <t>Allowable difference in torque command when function reverts from default assist table to normal operation</t>
  </si>
  <si>
    <t>k_SumLimPlCmpLimit_MtrNm_f32</t>
  </si>
  <si>
    <t>SumLim_k_PlCmpLimit_MtrNm</t>
  </si>
  <si>
    <t>Calibration to firewall limit the pull compensation command</t>
  </si>
  <si>
    <t>AstLmt_CM</t>
  </si>
  <si>
    <t>SF04B AssistSummationandLimiting</t>
  </si>
  <si>
    <t>t_FrHystHwAPts_HwDeg_f32[4]</t>
  </si>
  <si>
    <t>FricLrn_t_FrHystHwAPts_HwDeg</t>
  </si>
  <si>
    <t>Hand wheel angle table</t>
  </si>
  <si>
    <t>AvgFricLrn</t>
  </si>
  <si>
    <t>SF07 AverageFrictionLearning</t>
  </si>
  <si>
    <t>{-15, -5, 5, 15}</t>
  </si>
  <si>
    <t>t2_VehSpd_Kph_f32[4][2]</t>
  </si>
  <si>
    <t>FricLrn_t2_VehSpd_kph</t>
  </si>
  <si>
    <t>Vehicle speed interval limits</t>
  </si>
  <si>
    <t>{{0, 5}, {60, 80}, {80, 100}, {100, 120}}</t>
  </si>
  <si>
    <t>t_MskVehSpd_Cnt_lgc[4]</t>
  </si>
  <si>
    <t>FricLrn_t_MskVehSpd_Uls</t>
  </si>
  <si>
    <t>Mask to include/exclude the frictions for the particular vehicle speed in the final average friction change detection</t>
  </si>
  <si>
    <t>{1, 1, 1, 1}</t>
  </si>
  <si>
    <t>boolean</t>
  </si>
  <si>
    <t>t_FricChgWeight_Uls_f32[4]</t>
  </si>
  <si>
    <t>FricLrn_t_FricChgWeight_Uls</t>
  </si>
  <si>
    <t>Weight  factor of the vehicle speed dependent frictions</t>
  </si>
  <si>
    <t>t_InvRatioX_HwDeg_u11p5[10]</t>
  </si>
  <si>
    <t>FricLrn_t_InvRatioX_HwDeg</t>
  </si>
  <si>
    <t>Inverse transmission ratio lookup take Handwheel angle</t>
  </si>
  <si>
    <t>AvgFricLrn.1X</t>
  </si>
  <si>
    <t>{0, 30, 60, 90, 120, 180, 270, 360, 450, 540}</t>
  </si>
  <si>
    <t>u11p5_T</t>
  </si>
  <si>
    <t>t_InvRatioY_HwNmpMtrNm_u6p10[10]</t>
  </si>
  <si>
    <t>FricLrn_t_InvRatioY_HwNmpMtrNm</t>
  </si>
  <si>
    <t>Inverse transmission ratio lookup take ratio</t>
  </si>
  <si>
    <t>AvgFricLrn.1Y</t>
  </si>
  <si>
    <t>{23.7, 23.7, 23.7, 23.7, 23.7, 23.7, 23.7, 23.7, 23.7, 23.7}</t>
  </si>
  <si>
    <t>HwNmpMtrNm</t>
  </si>
  <si>
    <t>k_LearningGain_Uls_f32</t>
  </si>
  <si>
    <t>FricLrn_k_LearningGain_Uls</t>
  </si>
  <si>
    <t>Learning gain</t>
  </si>
  <si>
    <t>k_LearningThreshold_Cnt_u32</t>
  </si>
  <si>
    <t>FricLrn_k_LearningThreshold_Cnt</t>
  </si>
  <si>
    <t>Learning occurrence threshold for average friction calculation</t>
  </si>
  <si>
    <t>k_RangeCounterLimit_Cnt_u16</t>
  </si>
  <si>
    <t>FricLrn_k_RangeCounterLimit_Cnt</t>
  </si>
  <si>
    <t>Resetting range counter threshold</t>
  </si>
  <si>
    <t>k_AvgFricLPFKn_Hz_f32</t>
  </si>
  <si>
    <t>FricLrn_k_AvgFricLPFKn_Hz</t>
  </si>
  <si>
    <t>Average  friction low pass filter cutoff frequency</t>
  </si>
  <si>
    <t>k_HwPosAuthMin_Uls_f32</t>
  </si>
  <si>
    <t>FricLrn_k_HwPosAuthMin_Uls</t>
  </si>
  <si>
    <t>Hand wheel position authority constraint</t>
  </si>
  <si>
    <t>k_HwVelConstLimit_HwDegpS_f32</t>
  </si>
  <si>
    <t>FricLrn_k_HwVelConstLimit_DegpSec</t>
  </si>
  <si>
    <t>Hand wheel velocity constancy constraint</t>
  </si>
  <si>
    <t>HwDegpS</t>
  </si>
  <si>
    <t>k_HwVelMax_HwDegpS_f32</t>
  </si>
  <si>
    <t>FricLrn_k_HwVelMax_DegpSec</t>
  </si>
  <si>
    <t>Maximum hand wheel velocity</t>
  </si>
  <si>
    <t>k_HwVelMin_HwDegpS_f32</t>
  </si>
  <si>
    <t>FricLrn_k_HwVelMin_DegpSec</t>
  </si>
  <si>
    <t>Minimum hand wheel velocity</t>
  </si>
  <si>
    <t>k_LatAccMax_MpSecSqrd_f32</t>
  </si>
  <si>
    <t>FricLrn_k_LatAccMax_g</t>
  </si>
  <si>
    <t>Maximum lateral acceleration</t>
  </si>
  <si>
    <t>MpSecSqrd</t>
  </si>
  <si>
    <t>k_LatAccMin_MpSecSqrd_f32</t>
  </si>
  <si>
    <t>FricLrn_k_LatAccMin_g</t>
  </si>
  <si>
    <t>Minimum lateral acceleration</t>
  </si>
  <si>
    <t>k_SatFricChgLim_HwNm_f32</t>
  </si>
  <si>
    <t>FricLrn_k_SatFricChgLim_HwNm</t>
  </si>
  <si>
    <t>Learned friction change allowance from ignition cycle to ignition cycle</t>
  </si>
  <si>
    <t>k_FricOffsetLPFKn_Hz_f32</t>
  </si>
  <si>
    <t>FricLrn_k_FricOffsetLPFKn_Hz</t>
  </si>
  <si>
    <t>Friction change blending low pass filter cutoff frequency</t>
  </si>
  <si>
    <t>k_TempMin_DegC_f32</t>
  </si>
  <si>
    <t>FricLrn_k_TempMin_DegC</t>
  </si>
  <si>
    <t>Minimum EPS temperature</t>
  </si>
  <si>
    <t>DegC</t>
  </si>
  <si>
    <t>k_TempMax_DegC_f32</t>
  </si>
  <si>
    <t>FricLrn_k_TempMax_DegC</t>
  </si>
  <si>
    <t>Maximum EPS temperature</t>
  </si>
  <si>
    <t>k_DataPrepLPFKn_Hz_f32</t>
  </si>
  <si>
    <t>FricLrn_k_DataPrepLPFKn_Hz</t>
  </si>
  <si>
    <t>Measurement data preparation low pass filter cutoff frequency</t>
  </si>
  <si>
    <t>k_IgnCycleFricChgLim_HwNm_f32</t>
  </si>
  <si>
    <t>FricLrn_k_IgnCycleFricChgLim_HwNm</t>
  </si>
  <si>
    <t>Allowable change in estimated friction between ignition cycles</t>
  </si>
  <si>
    <t>k_FricOffsetLimitLow_HwNm_f32</t>
  </si>
  <si>
    <t>FricLrn_k_FricOffsetLimitLow_HwNm</t>
  </si>
  <si>
    <t>Minimum allowable value of function output</t>
  </si>
  <si>
    <t>k_FricOffsetLimitHigh_HwNm_f32</t>
  </si>
  <si>
    <t>FricLrn_k_FricOffsetLimitHigh_HwNm</t>
  </si>
  <si>
    <t>Maximum allowable value of function output</t>
  </si>
  <si>
    <t>t2_BaselineTheta_HwNm_f32[8][4]</t>
  </si>
  <si>
    <t>FricLrn_t2_BaselineTheta_HwNm</t>
  </si>
  <si>
    <t>Hysteresis loop Y-values</t>
  </si>
  <si>
    <t>{{0, 0, 0, 0}, {0, 0, 0, 0}, {0, 0, 0, 0}, {0, 0, 0, 0}, {0, 0, 0, 0}, {0, 0, 0, 0}, {0, 0, 0, 0}, {0, 0, 0, 0}}</t>
  </si>
  <si>
    <t>t2_BaselineRangeCounter_Cnt_u16[8][3]</t>
  </si>
  <si>
    <t>FricLrn_t2_BaselineRangeCounter_Cnt</t>
  </si>
  <si>
    <t>Hysteresis loop segment counter for calculating weighted averages</t>
  </si>
  <si>
    <t>{{0, 0, 0}, {0, 0, 0}, {0, 0, 0}, {0, 0, 0}, {0, 0, 0}, {0, 0, 0}, {0, 0, 0}, {0, 0, 0}}</t>
  </si>
  <si>
    <t>t_BaselineFric_HwNm_f32[4]</t>
  </si>
  <si>
    <t>FricLrn_t_BaselineFric_HwNm</t>
  </si>
  <si>
    <t>Weighted average hysteresis (friction) for each vehicle speed.  Baseline (target) values</t>
  </si>
  <si>
    <t>{0, 0, 0, 0}</t>
  </si>
  <si>
    <t>k_BaselineEOLFric_HwNm_f32</t>
  </si>
  <si>
    <t>FricLrn_k_EOLFricDiffLimitHigh_HwNm</t>
  </si>
  <si>
    <t>Upper limit of EOL friction difference</t>
  </si>
  <si>
    <t>k_EOLFricDiffScalingFactor_Uls_f32</t>
  </si>
  <si>
    <t>FricLrn_k_EOLFricDiffLimitLow_HwNm</t>
  </si>
  <si>
    <t>Lower limit of EOL friction difference</t>
  </si>
  <si>
    <t>k_EOLFricDiffLimitLow_HwNm_f32</t>
  </si>
  <si>
    <t>FricLrn_k_EOLFricDiffLimitLow_HwNm_f32</t>
  </si>
  <si>
    <t>k_EOLFricDiffLimitHigh_HwNm_f32</t>
  </si>
  <si>
    <t>FricLrn_k_EOLFricDiffLimitHigh_HwNm_f32</t>
  </si>
  <si>
    <t>k_MaxSwitchedVolt_Volts_f32</t>
  </si>
  <si>
    <t>Voltage transition point to switch between Switched Battery and Battery voltage</t>
  </si>
  <si>
    <t>BatteryVoltage</t>
  </si>
  <si>
    <t>Volts</t>
  </si>
  <si>
    <t>k_MaxBattVoltDiff_Volts_f32</t>
  </si>
  <si>
    <t>Voltage difference between battery and switched battery to indicate the switch is or is not closed (k_Max_Batt_Voltage_Diff)</t>
  </si>
  <si>
    <t>k_VswitchCorrLim_Cnt_Str</t>
  </si>
  <si>
    <t>{120,1,3}</t>
  </si>
  <si>
    <t>DiagSettings_Str</t>
  </si>
  <si>
    <t>k_VswitchCorrLim_Cnt_Str.Threshold</t>
  </si>
  <si>
    <t>k_Vswitch_Corrlim_ErrAcc_Thresh</t>
  </si>
  <si>
    <t>Cnts</t>
  </si>
  <si>
    <t>k_VswitchCorrLim_Cnt_Str.Pstep</t>
  </si>
  <si>
    <t>k_Vswitch_Corrlim_Pstep</t>
  </si>
  <si>
    <t>k_VswitchCorrLim_Cnt_Str.Nstep</t>
  </si>
  <si>
    <t>k_Vswitch_Corrlim_Nstep</t>
  </si>
  <si>
    <t>k_VecuCorrLim_Cnt_Str</t>
  </si>
  <si>
    <t>k_VecuCorrLim_Cnt_Str.Threshold</t>
  </si>
  <si>
    <t>k_Vecu_Corrlim_ErrAcc_Thresh</t>
  </si>
  <si>
    <t>k_VecuCorrLim_Cnt_Str.Pstep</t>
  </si>
  <si>
    <t>k_Vecu_Corrlim_Pstep</t>
  </si>
  <si>
    <t>k_VecuCorrLim_Cnt_Str.Nstep</t>
  </si>
  <si>
    <t>k_Vecu_Corrlim_Nstep</t>
  </si>
  <si>
    <t>k_VecuVbatCorrLim_Volts_f32</t>
  </si>
  <si>
    <t>k_VecuVbat_CorrLim</t>
  </si>
  <si>
    <t>k_VswitchCorrLim_Volts_f32</t>
  </si>
  <si>
    <t>k_Vswitch_CorrLim</t>
  </si>
  <si>
    <t>k_OvDetect_Volts_u10p6</t>
  </si>
  <si>
    <t>Over voltage detection threshold</t>
  </si>
  <si>
    <t>BVDiag</t>
  </si>
  <si>
    <t>u10p6_T</t>
  </si>
  <si>
    <t>k_OvNotDetect_Volts_u10p6</t>
  </si>
  <si>
    <t>Over voltage non-detection threshold</t>
  </si>
  <si>
    <t>k_OvDetect_ms_u16p0</t>
  </si>
  <si>
    <t>Overvoltage detection time</t>
  </si>
  <si>
    <t>mSec</t>
  </si>
  <si>
    <t>k_OvNotDetect_ms_u16p0</t>
  </si>
  <si>
    <t>Over voltage non-detection time</t>
  </si>
  <si>
    <t>k_LowNotDetect_Volts_u10p6</t>
  </si>
  <si>
    <t>Under voltage detection threshold</t>
  </si>
  <si>
    <t>k_LowDetect_Volts_u10p6</t>
  </si>
  <si>
    <t>Undervoltage non-detection threshold</t>
  </si>
  <si>
    <t>k_LowDetect_ms_u16p0</t>
  </si>
  <si>
    <t>Under voltage detection time</t>
  </si>
  <si>
    <t>k_LowNotDetect_ms_u16p0</t>
  </si>
  <si>
    <t>Under voltage non-detection time</t>
  </si>
  <si>
    <t>k_CurrCorrErrFiltKn</t>
  </si>
  <si>
    <t>Filter_Coeff for CurrentErr</t>
  </si>
  <si>
    <t>CmMtrCurr</t>
  </si>
  <si>
    <t>SF-01C- Current Measurement</t>
  </si>
  <si>
    <t>k_CurrCorrErrThresh_Amps_f32</t>
  </si>
  <si>
    <t>k_CurrCorrErrThresh</t>
  </si>
  <si>
    <t>Amp</t>
  </si>
  <si>
    <t>k_MtrPosComputDelay_Sec_f32</t>
  </si>
  <si>
    <t>k_MtrPosTdelay</t>
  </si>
  <si>
    <t>Sec</t>
  </si>
  <si>
    <t>k_MtrCurrEOLMinOffset_Volts_f32</t>
  </si>
  <si>
    <t>k_MtrCurrEOLMinOffset_Volts</t>
  </si>
  <si>
    <t>Volt</t>
  </si>
  <si>
    <t>k_MtrCurrEOLMaxOffset_Volts_f32</t>
  </si>
  <si>
    <t>k_MtrCurrEOLMaxOffset_Volts</t>
  </si>
  <si>
    <t>k_MtrCurrEOLMinGain_AmpspVolts_f32</t>
  </si>
  <si>
    <t>k_MtrCurrEOLMinGain_AmpspVolts</t>
  </si>
  <si>
    <t>AmpspVolt</t>
  </si>
  <si>
    <t>k_MtrCurrEOLMaxGain_AmpspVolts_f32</t>
  </si>
  <si>
    <t>k_MtrCurrEOLMaxGain_AmpspVolts</t>
  </si>
  <si>
    <t>k_CurrGainNumerator_Amps_f32</t>
  </si>
  <si>
    <t>k_CurrGainNumerator_Amps</t>
  </si>
  <si>
    <t>k_MaxCurrOffMtrVel_RadpS_f32</t>
  </si>
  <si>
    <t>k_MaxCurrOffMtrVel_RadpS</t>
  </si>
  <si>
    <t>k_CurrOffGainKn_Cnt_u16</t>
  </si>
  <si>
    <t>k_CurrOffGainKn</t>
  </si>
  <si>
    <t>k_NxtrSrvcPosTrajThres_HwDeg_f32</t>
  </si>
  <si>
    <t>CMS_Common</t>
  </si>
  <si>
    <t>k_NxtrSrvcPosTrajHoldTime_mS_u16</t>
  </si>
  <si>
    <t>k_NxtrSrvcHandsOnTime_mS_u16</t>
  </si>
  <si>
    <t>k_F00FHandsOnThres_HwNm_f32</t>
  </si>
  <si>
    <t>k_F2Damping_MtrNmpRadpS_f32</t>
  </si>
  <si>
    <t>k_F2Damping_MtrNmpRadpS</t>
  </si>
  <si>
    <t>Controlled Damped Shutdown damping factor</t>
  </si>
  <si>
    <t>CtrldDisShtdn</t>
  </si>
  <si>
    <t>MtrNmpRadpS</t>
  </si>
  <si>
    <t>k_CtrlDpVelThr_MtrRadpS_f32</t>
  </si>
  <si>
    <t>k_CtrlDpVelThr_MtrRadpS</t>
  </si>
  <si>
    <t>Minimum motor velocity above which controlled disable operates</t>
  </si>
  <si>
    <t>k_CntrlDmpRampEnd_Uls_u8p8</t>
  </si>
  <si>
    <t>k_CntrlDmpRampEnd_Uls</t>
  </si>
  <si>
    <t>Tuneable Ramp Scale value associated with CtrlDmpTmrBkptTwo</t>
  </si>
  <si>
    <t>k_MaxCtrlDmpLimit_MtrNm_f32</t>
  </si>
  <si>
    <t>k_MaxCtrlDmpLimit_MtrNm</t>
  </si>
  <si>
    <t>Maximum allowed torque command  from controlled disable function</t>
  </si>
  <si>
    <t>k_CtrlDmpTmrBkptOne_mS_u16</t>
  </si>
  <si>
    <t>k_CtrlDmpTmrBkptOne_mS</t>
  </si>
  <si>
    <t>X value for tuning point 1 corresponding to a ramp scale factor of 1</t>
  </si>
  <si>
    <t>k_CtrlDmpTmrBkptTwo_mS_u16</t>
  </si>
  <si>
    <t>k_CtrlDmpTmrBkptTwo_mS</t>
  </si>
  <si>
    <t>X value for tuning point 2 corresponding to a ramp scale factor of CntrlDmpRampEnd</t>
  </si>
  <si>
    <t>k_TempSnsrFiltDft_Cnt_lgc</t>
  </si>
  <si>
    <t>CtrlTemp</t>
  </si>
  <si>
    <t>Lgc</t>
  </si>
  <si>
    <t>NA</t>
  </si>
  <si>
    <t>k_TempSnsrLPFKn_Hz_f32</t>
  </si>
  <si>
    <t>k_TempSnsrDefVal_DegC_f32</t>
  </si>
  <si>
    <t>k_TempSensDiag_Cnt_str</t>
  </si>
  <si>
    <t>{40,2,1}</t>
  </si>
  <si>
    <t>k_TempSensDiag_Cnt_str.Threshold</t>
  </si>
  <si>
    <t>k_TempSensLowLimit_DegC_f32</t>
  </si>
  <si>
    <t>k_TempSensHighLimit_DegC_f32</t>
  </si>
  <si>
    <t>k_TempSnsrOffset_Volts_f32</t>
  </si>
  <si>
    <t>k_TempSnsrScaling_DegpVolt_f32</t>
  </si>
  <si>
    <t>DegpV</t>
  </si>
  <si>
    <t>Damp_t_MtrVelDmpX</t>
  </si>
  <si>
    <t>Table used to provide damping as a function of motor velocity</t>
  </si>
  <si>
    <t>Damping</t>
  </si>
  <si>
    <t>Damping.1X</t>
  </si>
  <si>
    <t>u12p4_T</t>
  </si>
  <si>
    <t>Damp_t_MtrVelDmpYTbl</t>
  </si>
  <si>
    <t>Damping.1Y</t>
  </si>
  <si>
    <t>k_MtrVelDampLPFKn_Hz_f32</t>
  </si>
  <si>
    <t>Damp_k_MtrVelDampLPFKn</t>
  </si>
  <si>
    <t>Calibration for LP filter</t>
  </si>
  <si>
    <t>t_HwTrqDmpTblX_HwNm_u8p8[2]</t>
  </si>
  <si>
    <t>Damp_t_HwTrqDmpX</t>
  </si>
  <si>
    <t>Table used to provide damping as a function of handwheel torque</t>
  </si>
  <si>
    <t>{8, 10}</t>
  </si>
  <si>
    <t>t_HwTrqDmpTblY_Uls_u1p15[2]</t>
  </si>
  <si>
    <t>Damp_t_HwTrqDmpY</t>
  </si>
  <si>
    <t>{1,  0}</t>
  </si>
  <si>
    <t>u1p15_T</t>
  </si>
  <si>
    <t>t_TempScaleX_DegC_s8p7[11]</t>
  </si>
  <si>
    <t>Damp_t_TempScaleX</t>
  </si>
  <si>
    <t>Table used to provide damping as a function of temperature</t>
  </si>
  <si>
    <t>{-40, -35, -30, -20, -10, 0, 10, 20, 40, 60, 90}</t>
  </si>
  <si>
    <t>s8p7_T</t>
  </si>
  <si>
    <t>t_TempScaleY_Uls_u4p12[11]</t>
  </si>
  <si>
    <t>Damp_t_TempScaleY</t>
  </si>
  <si>
    <t>{1, 1, 1, 1, 1, 1, 1, 1, 1, 1, 1}</t>
  </si>
  <si>
    <t>u4p12_T</t>
  </si>
  <si>
    <t>t_HPSscaleC1Y_Uls_u4p12[12]</t>
  </si>
  <si>
    <t>Damp_t_HPSscaleC1</t>
  </si>
  <si>
    <t>Table used to provide scale as a function of vehicle speed</t>
  </si>
  <si>
    <t>{1, 1, 1, 1, 1, 1, 1, 1, 1, 1, 1, 1}</t>
  </si>
  <si>
    <t>t_HPSscaleC2Y_Uls_u4p12[12]</t>
  </si>
  <si>
    <t>Damp_t_HPSscaleC2</t>
  </si>
  <si>
    <t>t_HPSscaleC3Y_Uls_u4p12[12]</t>
  </si>
  <si>
    <t>Damp_t_HPSscaleC3</t>
  </si>
  <si>
    <t>t_HPSscaleC4Y_Uls_u4p12[12]</t>
  </si>
  <si>
    <t>Damp_t_HPSscaleC4</t>
  </si>
  <si>
    <t>t_HPSAsstLimY_MtrNm_u4p12[12]</t>
  </si>
  <si>
    <t>Damp_t_HPSAsstLim</t>
  </si>
  <si>
    <t>Table used to provide a limit on assist as a function of vehicle speed</t>
  </si>
  <si>
    <t>{8.8, 8.8, 8.8, 8.8, 8.8, 8.8, 8.8, 8.8, 8.8, 8.8, 8.8, 8.8}</t>
  </si>
  <si>
    <t>Mtr Nm</t>
  </si>
  <si>
    <t>k_HPSOutLimit_MtrNm_f32</t>
  </si>
  <si>
    <t>Damp_k_HPSOutLimit</t>
  </si>
  <si>
    <t>Calibration for HPS Damping saturation</t>
  </si>
  <si>
    <t>k_Quad13DmpMult_Uls_f32</t>
  </si>
  <si>
    <t>Damp_k_Quad13DmpMult</t>
  </si>
  <si>
    <t>Scaling Used in Quad 1 &amp; 3 for the Damping Command</t>
  </si>
  <si>
    <t>k_Quad24DmpMult_Uls_f32</t>
  </si>
  <si>
    <t>Damp_k_Quad24DmpMult</t>
  </si>
  <si>
    <t>Scaling Used in Quad 2 &amp; 4 for the Damping Command</t>
  </si>
  <si>
    <t>k_QddHwTrqDampKn_Hz_f32</t>
  </si>
  <si>
    <t>Damp_k_QddHwTrqDampKn</t>
  </si>
  <si>
    <t>Calibration for HwTrq LP filter</t>
  </si>
  <si>
    <t>k_QddMtrVelDampKn_Hz_f32</t>
  </si>
  <si>
    <t>Damp_k_QddMtrVelDampKn</t>
  </si>
  <si>
    <t>Calibration for MtrVel LP filter</t>
  </si>
  <si>
    <t>k_QDDHwTrqBckLash_HwNm_f32</t>
  </si>
  <si>
    <t>Damp_k_QDDHwTrqBckLash</t>
  </si>
  <si>
    <t>Deadband for HwTrq backlash</t>
  </si>
  <si>
    <t>k_QDDMtrVelBckLash_MtrRadpS_f32</t>
  </si>
  <si>
    <t>Damp_k_QDDMtrVelBckLash</t>
  </si>
  <si>
    <t>Deadband for MtrVel backlash</t>
  </si>
  <si>
    <t>k_QddSfLFPKn_Hz_f32</t>
  </si>
  <si>
    <t>Damp_k_QddSfLFPKn</t>
  </si>
  <si>
    <t>Calibration for scale factor LP filter</t>
  </si>
  <si>
    <t>k_HPSbaseC1_MtrNmpMtrRadpS_f32</t>
  </si>
  <si>
    <t>Damp_k_HPSbaseC1_MtrNmpMtrRadpS</t>
  </si>
  <si>
    <t>Y-intercept of DampingCoef vs. Velocity</t>
  </si>
  <si>
    <t>MtrNm/MtrRadpS</t>
  </si>
  <si>
    <t>k_HPSbaseC2_MtrNmpMtrRadpS_f32</t>
  </si>
  <si>
    <t>Damp_k_HPSbaseC2_MtrNmpMtrRadpS</t>
  </si>
  <si>
    <t>Slope of DampingCoef vs. Velocity</t>
  </si>
  <si>
    <t>k_HPSbaseC3_MtrNmpMtrRadpS_f32</t>
  </si>
  <si>
    <t>Damp_k_HPSbaseC3_MtrNmpMtrRadpS</t>
  </si>
  <si>
    <t>Slope of DampingCoef vs. Assist</t>
  </si>
  <si>
    <t>k_HPSbaseC4_MtrNmpMtrRadpS_f32</t>
  </si>
  <si>
    <t>Damp_k_HPSbaseC4_MtrNmpMtrRadpS</t>
  </si>
  <si>
    <t>Tilts the plot DampingCoef vs. Velocity clockwise</t>
  </si>
  <si>
    <t>k_DampFWInpLimitDamp_MtrNm_f32</t>
  </si>
  <si>
    <t>DampFW_k_InpLimitDamp_MtrNm</t>
  </si>
  <si>
    <t>Input limit applied to Damping_Cmd</t>
  </si>
  <si>
    <t>DampingFirewall</t>
  </si>
  <si>
    <t>k_DampFWFWActiveLPF_Hz_f32</t>
  </si>
  <si>
    <t>DampFW_k_FWActiveLPF_Hz</t>
  </si>
  <si>
    <t>Corner frequency of low pass filter applied to DampFW_Active signal</t>
  </si>
  <si>
    <t>t_DampFWAddDampAFWX_MtrRadpS_u11p5[8]</t>
  </si>
  <si>
    <t>DampFW_t_AddDampAFWX_MtrRadpS</t>
  </si>
  <si>
    <t>Motor velocity 1D table for additional damping when Assist Firewall is active</t>
  </si>
  <si>
    <t>DampingFirewall.4X</t>
  </si>
  <si>
    <t>{0, 25, 50, 75, 100, 200, 300, 400}</t>
  </si>
  <si>
    <t>t_DampFWAddDampAFWY_MtrNm_u5p11[8]</t>
  </si>
  <si>
    <t>DampFW_t_AddDampAFWY_MtrNm</t>
  </si>
  <si>
    <t>Damping 1D table for additional damping when Assist Firewall is active</t>
  </si>
  <si>
    <t>DampingFirewall.4Y</t>
  </si>
  <si>
    <t>{0, 0, 0, 0, 0, 0, 0, 0}</t>
  </si>
  <si>
    <t>t_DampFWAddDampDFWX_MtrRadpS_u11p5[8]</t>
  </si>
  <si>
    <t>DampFW_t_AddDampDFWX_MtrRadpS</t>
  </si>
  <si>
    <t>t_DampFWAddDampDFWY_MtrNm_u5p11[8]</t>
  </si>
  <si>
    <t>DampFW_t_AddDampDFWY_MtrNm</t>
  </si>
  <si>
    <t>t_DampFWVehSpd_Kph_u9p7[8]</t>
  </si>
  <si>
    <t>DampFW_t_VehSpd_Kph</t>
  </si>
  <si>
    <t>DampingFirewall.2Z, DampingFirewall.3Z</t>
  </si>
  <si>
    <t>{0, 20, 50, 75, 100, 150, 200, 255}</t>
  </si>
  <si>
    <t>t_DampFWUprBoundX_MtrRadpS_s11p4[11]</t>
  </si>
  <si>
    <t>DampFW_t_UprBoundX_MtrRadpS</t>
  </si>
  <si>
    <t>Upper boundary 1D X-table</t>
  </si>
  <si>
    <t>DampingFirewall.2X</t>
  </si>
  <si>
    <t>{-700, -50, 0, 50, 100, 150, 200, 350, 400, 500, 700}</t>
  </si>
  <si>
    <t>s10p5_T</t>
  </si>
  <si>
    <t>t2_DampFWUprBoundY_MtrNm_s7p8[12][11]</t>
  </si>
  <si>
    <t>DampFW_t2_UprBoundY_MtrNm</t>
  </si>
  <si>
    <t>DampingFirewall.2Y</t>
  </si>
  <si>
    <t>{{16,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t>
  </si>
  <si>
    <t>s7p8_T</t>
  </si>
  <si>
    <t>t_DampFWDefltDampX_MtrRadpS_u11p5[11]</t>
  </si>
  <si>
    <t>DampFW_t_DefltDampX_MtrRadpS</t>
  </si>
  <si>
    <t>{0, 10, 25, 50, 100, 150, 200, 250, 300, 350, 400}</t>
  </si>
  <si>
    <t>t_DampFWDefltDampY_MtrNm_u5p11[11]</t>
  </si>
  <si>
    <t>DampFW_t_DefltDampY_MtrNm</t>
  </si>
  <si>
    <t>{0, 0.05, 0.1, 0.15, 0.5, 1.4, 2.5, 4, 6, 10, 14}</t>
  </si>
  <si>
    <t>k_DampFWPstep_Cnt_u16</t>
  </si>
  <si>
    <t>DampFW_k_DampPstep_Cnt</t>
  </si>
  <si>
    <t>k_DampFWNstep_Cnt_u16</t>
  </si>
  <si>
    <t>DampFW_k_DampNstep_Cnt</t>
  </si>
  <si>
    <t>t_DampFWPNstepThresh_Cnt_u16[2]</t>
  </si>
  <si>
    <t>DampFW_t_DampPNThesh_Cnt</t>
  </si>
  <si>
    <t>{50,200}</t>
  </si>
  <si>
    <t>k_InrtCmp_TBarVelLPFKn_Hz_f32</t>
  </si>
  <si>
    <t>VBIC_k_TBarVelLPFiltFc_Hz</t>
  </si>
  <si>
    <t>DampingFirewall, FrqDepDmpnInrtCmp</t>
  </si>
  <si>
    <t>SF14 InertiaCompensationFrequencyDependentDamping, SF14 InertiaCompensationFrequencyDependentDamping</t>
  </si>
  <si>
    <t>k_DampFWInCmpPStep_Cnt_u16</t>
  </si>
  <si>
    <t>DampFW_k_InCmpPstep_Cnt</t>
  </si>
  <si>
    <t>k_DampFWInCmpNStep_Cnt_u16</t>
  </si>
  <si>
    <t>DampFW_k_InCmpNstep_Cnt</t>
  </si>
  <si>
    <t>t_DampFWDampInrtCmpPNThesh_Cnt_u16[2]</t>
  </si>
  <si>
    <t>DampFW_t_InCmpPNThresh_Cnt</t>
  </si>
  <si>
    <t>k_DampFWErrThresh_MtrNm_f32</t>
  </si>
  <si>
    <t>DampFW_k_ErrThresh_MtrNm</t>
  </si>
  <si>
    <t>k_CmnTbarStiff_NmpDeg_f32</t>
  </si>
  <si>
    <t>Cmn_k_TbarStiff_NmpDeg</t>
  </si>
  <si>
    <t>SF00 Common Calibrations
, None</t>
  </si>
  <si>
    <t>NmpDeg</t>
  </si>
  <si>
    <t>k_CmnSysKinRatio_MtrDegpHwDeg_f32</t>
  </si>
  <si>
    <t>Cmn_k_SysKinRatio_MtrDegpHwDeg</t>
  </si>
  <si>
    <t>t_InrtCmp_TBarVel_ScaleFactorTblY_Uls_u9p7[12]</t>
  </si>
  <si>
    <t>VBIC_t_InrtCmpTbarVelSclFctr_Uls</t>
  </si>
  <si>
    <t>k_InrtCmp_MtrVel_ScaleFactor_Uls_f32</t>
  </si>
  <si>
    <t>VBIC_k_InrtCmpMtrVelSclFctr_Uls</t>
  </si>
  <si>
    <t>k_DmpGainOnThresh_KphpS_f32</t>
  </si>
  <si>
    <t>KpHpS</t>
  </si>
  <si>
    <t>k_DmpGainOffThresh_KphpS_f32</t>
  </si>
  <si>
    <t>VBIC_k_DmpGainOffThresh_KpHpS</t>
  </si>
  <si>
    <t>Vehicle deceleration rate at which gain is removed from Frequency Damping.</t>
  </si>
  <si>
    <t>k_DmpDecelGain_Uls_f32</t>
  </si>
  <si>
    <t>VBIC_k_DmpDecelGain_Uls</t>
  </si>
  <si>
    <t>Gain applied to Frequency Damping to increase output when vehicle is decelerating</t>
  </si>
  <si>
    <t>k_DmpDecelGainFSlew_UlspS_f32</t>
  </si>
  <si>
    <t>VBIC_k_DmpDecelGainFSlew_UlspS</t>
  </si>
  <si>
    <t>UlspS</t>
  </si>
  <si>
    <t>t_DmpDecelGainSlewX_MtrRadpS_u11p5[6]</t>
  </si>
  <si>
    <t>t_DmpDecelGainSlewY_UlspS_u13p3[6]</t>
  </si>
  <si>
    <t>VBIC_t_DmpDecelGainSlewY_UlspS</t>
  </si>
  <si>
    <t>u13p3_T</t>
  </si>
  <si>
    <t>t2_FDD_ADDRollingTblYM_MtrNmpRadpS_um1p17[2][10]</t>
  </si>
  <si>
    <t>VBIC_t2_DmpADDRollingY_MtrNmpRadpS</t>
  </si>
  <si>
    <t>um1p17_T</t>
  </si>
  <si>
    <t>t_FDD_ADDStaticTblY_MtrNmpRadpS_um1p17[10]</t>
  </si>
  <si>
    <t>VBIC_t_DmpADDStaticY_MtrNmpRadpS</t>
  </si>
  <si>
    <t>t_DmpFiltKpWIRBlndY_Uls_u2p14[5]</t>
  </si>
  <si>
    <t>VBIC_t_DmpWIRBlndY_Uls</t>
  </si>
  <si>
    <t>t_FDD_BlendTblY_Uls_u8p8[12]</t>
  </si>
  <si>
    <t>VBIC_t_DmpSpdBlendY_Uls</t>
  </si>
  <si>
    <t>t2_FDD_FreqTblYM_Hz_u12p4[2][12]</t>
  </si>
  <si>
    <t>VBIC_t2_DmpFiltFreq_Hz</t>
  </si>
  <si>
    <t>t_WIRBlndTblX_MtrNm_u8p8[5]</t>
  </si>
  <si>
    <t>VBIC_t_DmpWIRBlndX_MtrNm</t>
  </si>
  <si>
    <t>t_RIAstWIRBlndTblY_Uls_u2p14[5]</t>
  </si>
  <si>
    <t>t_InrtCmp_ScaleFactorTblY_Uls_u9p7[12]</t>
  </si>
  <si>
    <t>VBIC_t_InrtCmpSclFctrY_Uls</t>
  </si>
  <si>
    <t>k_InrtCmp_MtrInertia_KgmSq_f32</t>
  </si>
  <si>
    <t>VBIC_k_InrtCmpMtrInertia_KgmSq</t>
  </si>
  <si>
    <t>Motor inertia to compensate</t>
  </si>
  <si>
    <t>KgmSq</t>
  </si>
  <si>
    <t>t_FDD_AttenTblX_MtrRadpS_u12p4[2]</t>
  </si>
  <si>
    <t>VBIC_t_OutputAttenX_MtrRadpS</t>
  </si>
  <si>
    <t>t_FDD_AttenTblY_Uls_u8p8[2]</t>
  </si>
  <si>
    <t>VBIC_t_OutputAttenY_Uls</t>
  </si>
  <si>
    <t>t_DmpADDCoefX_MtrNm_u4p12[10]</t>
  </si>
  <si>
    <t>VBIC_t_DmpAddCoefX_MtrNm</t>
  </si>
  <si>
    <t>{0, 0.5, 1,1.5, 2, 2.5, 3, 3.5, 4, 4.5}</t>
  </si>
  <si>
    <t>k_DampFWVBICLPF_Hz_f32</t>
  </si>
  <si>
    <t>DampFWVBIC_k_FiltKn_Hz</t>
  </si>
  <si>
    <t>Diverse vs primary error signal filter frequency</t>
  </si>
  <si>
    <t>k_FltRmpRate_UlspmS_f32[13]</t>
  </si>
  <si>
    <t>DiagMgr</t>
  </si>
  <si>
    <t>0.0005, 0.0005, 0.0005, 0.0005, 0.0005, 0.0005, 0.0005, 0.0005, 0.0005, 0.0005, 0.0005, 0.0005, 0.0005</t>
  </si>
  <si>
    <t>Unitless/mS</t>
  </si>
  <si>
    <t>k_FltRspTbl_Cnt_str[512]</t>
  </si>
  <si>
    <t>{ {0x000000,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t>
  </si>
  <si>
    <t>FltRsp_Str</t>
  </si>
  <si>
    <t>FULL</t>
  </si>
  <si>
    <t>t_BlkBoxGrp_Ptr_u32[7][3]</t>
  </si>
  <si>
    <t>{{0,0,0},{0,0,0},{0,0,0},{0,0,0},{0,0,0},{0,0,0},{0,0,0}}</t>
  </si>
  <si>
    <t>Pointer</t>
  </si>
  <si>
    <t>uint32* const</t>
  </si>
  <si>
    <t>t_SortedNTCs_Cnt_enum[256]</t>
  </si>
  <si>
    <t>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t>
  </si>
  <si>
    <t>NTCNumber</t>
  </si>
  <si>
    <t>k_CntlrInResist_Ohm_f32</t>
  </si>
  <si>
    <t>ElecPwr_k_CntrlInResist_Ohm</t>
  </si>
  <si>
    <t>Control module input resistance value</t>
  </si>
  <si>
    <t>ElePwr</t>
  </si>
  <si>
    <t>Ohms</t>
  </si>
  <si>
    <t>k_PstcPowerLoss_Watt_f32</t>
  </si>
  <si>
    <t>ElecPwr_k_PstcPowerLoss_Watts</t>
  </si>
  <si>
    <t>Parasitic power loss of the controller</t>
  </si>
  <si>
    <t>Watts</t>
  </si>
  <si>
    <t>k_SoftStopEOTEnable_Cnt_lgc</t>
  </si>
  <si>
    <t>k_SoftStopEOTEnable</t>
  </si>
  <si>
    <t>EOTActuatorMng</t>
  </si>
  <si>
    <t>Boolean</t>
  </si>
  <si>
    <t>k_EOTDefltPosition_HwDeg_u12p4</t>
  </si>
  <si>
    <t>k_EOTDefltPosition</t>
  </si>
  <si>
    <t>t_SpdIptTblXTbl_HwDeg_u12p4[2]</t>
  </si>
  <si>
    <t>t_SpdIptIndptTbl</t>
  </si>
  <si>
    <t>EOTActuatorMng.1X</t>
  </si>
  <si>
    <t>25, 50</t>
  </si>
  <si>
    <t>t_SpdIptTblYTbl_MtrRadpS_u12p4[2]</t>
  </si>
  <si>
    <t>t_SpdIptDpntTbl</t>
  </si>
  <si>
    <t>EOTActuatorMng.1Y</t>
  </si>
  <si>
    <t>60, 15</t>
  </si>
  <si>
    <t>k_SpdIptScale_MtrNmpRadpS_u4p12</t>
  </si>
  <si>
    <t>k_SpdIptScale</t>
  </si>
  <si>
    <t>k_PosRampStep_HwDeg_u12p4</t>
  </si>
  <si>
    <t>k_PosRampStep</t>
  </si>
  <si>
    <t>k_MinRackTrvl_HwDeg_u12p4</t>
  </si>
  <si>
    <t>k_MinRackTrvl</t>
  </si>
  <si>
    <t>k_MaxRackTrvl_HwDeg_u12p4</t>
  </si>
  <si>
    <t>k_MaxRackTrvl</t>
  </si>
  <si>
    <t>t2_EOTEnterGainX_HwDeg_u12p4[4][4]</t>
  </si>
  <si>
    <t>t_EOTEnterGainX</t>
  </si>
  <si>
    <t>EOTActuatorMng.2Y, EOTActuatorMng.4X</t>
  </si>
  <si>
    <t>t2_EOTEnterGainY_Uls_u1p15[4][4]</t>
  </si>
  <si>
    <t>t_EOTEnterGainY</t>
  </si>
  <si>
    <t>EOTActuatorMng.4Y</t>
  </si>
  <si>
    <t>t_EOTEnterGainVspd_Kph_u9p7[4]</t>
  </si>
  <si>
    <t>t_EOTEnterGainVspd</t>
  </si>
  <si>
    <t>EOTActuatorMng.2X, EOTActuatorMng.3X, EOTActuatorMng.4Z</t>
  </si>
  <si>
    <t>0, 5, 10, 20</t>
  </si>
  <si>
    <t>k_EOTStateHwTrqLPFKn_Cnt_u16</t>
  </si>
  <si>
    <t>k_EOTStateHwTrqLPFKn</t>
  </si>
  <si>
    <t>k_EOTDeltaTrqThrsh_HwNm_u9p7</t>
  </si>
  <si>
    <t>k_EOTDeltaTrqThrsh</t>
  </si>
  <si>
    <t>t_TrqTableX_HwNm_u8p8[2]</t>
  </si>
  <si>
    <t>t_TrqTableX</t>
  </si>
  <si>
    <t>0, 1</t>
  </si>
  <si>
    <t>k_EOTEnterLPFKn_Cnt_u16</t>
  </si>
  <si>
    <t>k_EOTEnterLPFKn</t>
  </si>
  <si>
    <t>k_EOTExitLPFKn_Cnt_u16</t>
  </si>
  <si>
    <t>k_EOTExitLPFKn</t>
  </si>
  <si>
    <t>t2_EOTPosDepDmpTblX_HwDeg_u12p4[4][2]</t>
  </si>
  <si>
    <t>t_EOTPosDepDmpXTbl</t>
  </si>
  <si>
    <t>EOTActuatorMng.3Y, EOTActuatorMng.5X, EOTActuatorMng.6X</t>
  </si>
  <si>
    <t>t2_EOTPosDepDmpTblY_MtrNmpRadpS_u0p16[4][2]</t>
  </si>
  <si>
    <t>t_EOTPosDepDmpYTbl</t>
  </si>
  <si>
    <t>EOTActuatorMng.5Y</t>
  </si>
  <si>
    <t>{{0, 0.001953125},{0, 0.001953125},{0, 0.001953125},{0, 0.001953125}}</t>
  </si>
  <si>
    <t>MtrNmpRadps</t>
  </si>
  <si>
    <t>u0p16_T</t>
  </si>
  <si>
    <t>t2_EOTExPosDepDmpTblY_MtrNmpRadps_u0p16[4][2]</t>
  </si>
  <si>
    <t>t_EOTExPosDepDmpTblY</t>
  </si>
  <si>
    <t>EOTActuatorMng.6Y</t>
  </si>
  <si>
    <t>{{0, 0.004},{0, 0.004},{0, 0.004},{0, 0.004}}</t>
  </si>
  <si>
    <t>t_EOTDmpVspd_Kph_u9p7[4]</t>
  </si>
  <si>
    <t>t_EOTDmpVspd</t>
  </si>
  <si>
    <t>EOTActuatorMng.5Z, EOTActuatorMng.6Z</t>
  </si>
  <si>
    <t>k_EOTImpSpdEn_Kph_u9p7</t>
  </si>
  <si>
    <t>k_EOTImpSpdEn</t>
  </si>
  <si>
    <t>k_EOTDynConf_Uls_u8p8</t>
  </si>
  <si>
    <t>k_EOTDynConf</t>
  </si>
  <si>
    <t>None</t>
  </si>
  <si>
    <t>k_ADCTrig1Offset_Cnt_s16</t>
  </si>
  <si>
    <t>k_ADCTrig1Offset</t>
  </si>
  <si>
    <t>ADC Trigger offset near midpoint of PWM duty cycle</t>
  </si>
  <si>
    <t>ePWM</t>
  </si>
  <si>
    <t>sint16</t>
  </si>
  <si>
    <t>k_PwmDeadBand_Cnt_u16</t>
  </si>
  <si>
    <t>k_DeadBand</t>
  </si>
  <si>
    <t>PWM Dead band in epwm high resolution counts</t>
  </si>
  <si>
    <t>k_PwmRelay_Cnt_u16</t>
  </si>
  <si>
    <t>k_Relay</t>
  </si>
  <si>
    <t>k_CalRelNum_Cnt_u8[12]</t>
  </si>
  <si>
    <t>Cal release number</t>
  </si>
  <si>
    <t>CMS</t>
  </si>
  <si>
    <t>uint8</t>
  </si>
  <si>
    <t>Uls/ms</t>
  </si>
  <si>
    <t>k_RampDnRt_UlspmS_f32</t>
  </si>
  <si>
    <t>VehPwrMd</t>
  </si>
  <si>
    <t>k_RampUpRtLoSpd_UlspmS_f32</t>
  </si>
  <si>
    <t>t_LPFKnY_Hz_u7p9[12]</t>
  </si>
  <si>
    <t>HFA_t_LPFKnY_Hz</t>
  </si>
  <si>
    <t>Table of filter cutoff frequencies, dependent on vehicle speed.</t>
  </si>
  <si>
    <t>HighFreqAssist</t>
  </si>
  <si>
    <t>HighFreqAssist.1Y</t>
  </si>
  <si>
    <t>{8, 8, 8, 8, 8, 8, 8, 8, 8, 8, 8, 8}</t>
  </si>
  <si>
    <t>u7p9_T</t>
  </si>
  <si>
    <t>t2_TorqX0_HwNm_u5p11[12][13]</t>
  </si>
  <si>
    <t>HFA_t_TorqX0_HwNm</t>
  </si>
  <si>
    <t>Normal tuning high frequency gain table x-variable</t>
  </si>
  <si>
    <t>HighFreqAssist.4X</t>
  </si>
  <si>
    <t>t2_TorqX1_HwNm_u5p11[12][13]</t>
  </si>
  <si>
    <t>HFA_t_TorqX1_HwNm</t>
  </si>
  <si>
    <t>WIR Active tuning high frequency gain table x-variable</t>
  </si>
  <si>
    <t>HighFreqAssist.5X</t>
  </si>
  <si>
    <t>t2_GainY0_MtrNmpHwNm_u3p13[12][13]</t>
  </si>
  <si>
    <t>HFA_t_GainY0_MtrNmpHwNm</t>
  </si>
  <si>
    <t>Normal tuning high frequency gain table y-variable</t>
  </si>
  <si>
    <t>HighFreqAssist.4Y</t>
  </si>
  <si>
    <t>MtrNmpHwNm</t>
  </si>
  <si>
    <t>u3p13_T</t>
  </si>
  <si>
    <t>t2_GainY1_MtrNmpHwNm_u3p13[12][13]</t>
  </si>
  <si>
    <t>HFA_t_GainY1_MtrNmpHwNm</t>
  </si>
  <si>
    <t>WIR Active tuning high frequency gain table y-variable</t>
  </si>
  <si>
    <t>HighFreqAssist.5Y</t>
  </si>
  <si>
    <t>t2_WIRBlendX_MtrNm_u4p12[12][5]</t>
  </si>
  <si>
    <t>HFA_t_WIRBlendX_MtrNm</t>
  </si>
  <si>
    <t>HighFreqAssist.6X</t>
  </si>
  <si>
    <t>t2_WIRBlendY_Uls_u1p15[12][5]</t>
  </si>
  <si>
    <t>HFA_t_WIRBlendY_Uls</t>
  </si>
  <si>
    <t>HighFreqAssist.6Y</t>
  </si>
  <si>
    <t>k_AbsMtrVelBkt_MtrRadps_f32</t>
  </si>
  <si>
    <t>Duty_k_AbsMtrVelBkt_MtrRadps</t>
  </si>
  <si>
    <t>Specify the threshold speed for switching between stall [S] and non-stall [NS] tables</t>
  </si>
  <si>
    <t>HiLoadStall, ThrmDutyCycle</t>
  </si>
  <si>
    <t>SF17 HighLoadStallThermalManagement, SF09 ThermalDutyCycleProtection</t>
  </si>
  <si>
    <t>k_EOTThrmPrtLPFKn_Cnt_u16</t>
  </si>
  <si>
    <t>EOTThrmPrtLPFKn</t>
  </si>
  <si>
    <t>HiLoadStall</t>
  </si>
  <si>
    <t>t_EOTThrmIndptTbl_MtrNm_u8p8[4]</t>
  </si>
  <si>
    <t>t_EOTThrmIndptTbl</t>
  </si>
  <si>
    <t xml:space="preserve">Table to determine X-axis
(Filtered Modified PreLimit Torque) 
of the EOT Thermal Protection Limit Table
</t>
  </si>
  <si>
    <t>HiLoadStall.1X</t>
  </si>
  <si>
    <t>5.75, 6.22, 6.67, 7.125</t>
  </si>
  <si>
    <t>t_EOTThrmDpntTbl_MtrNm_u8p8[4]</t>
  </si>
  <si>
    <t>t_EOTThrmDpntTbl</t>
  </si>
  <si>
    <t xml:space="preserve">Table to determine Y-axis
(StallThermLmt)
of the EOT Thermal Protection Limit Table
</t>
  </si>
  <si>
    <t>HiLoadStall.1Y</t>
  </si>
  <si>
    <t>8.5, 8.0, 7.5, 7.0</t>
  </si>
  <si>
    <t>k_EOTThrmSlwLmtStp_MtrNm_f32</t>
  </si>
  <si>
    <t>k_EOTThrmSlwLmtStp</t>
  </si>
  <si>
    <t>Calibration to determine slew rate</t>
  </si>
  <si>
    <t>HwTrq</t>
  </si>
  <si>
    <t>k_T1vsT2_Trq_Sum</t>
  </si>
  <si>
    <t>k_T1T2_TransFlt_Lim</t>
  </si>
  <si>
    <t>T1 vs T2 - Transient Fault Limit</t>
  </si>
  <si>
    <t>T1 vs T2 - HW Torque Threshold Activation for Common Mode Compensation LPF</t>
  </si>
  <si>
    <t>k_T1T2_SS_Lim</t>
  </si>
  <si>
    <t>T1 vs T2 - Steady State Fault Detection Limit</t>
  </si>
  <si>
    <t>t_T1T2_Dep_Trs_Timecon</t>
  </si>
  <si>
    <t>T1 vs T2 - Torque Filter Time Constant Dependent Table</t>
  </si>
  <si>
    <t>t_T1T2_Ind_Trs_Timecon</t>
  </si>
  <si>
    <t>k_Max_HwTrq_Trim</t>
  </si>
  <si>
    <t>k_HysCmpLPAstLPFKn_Hz_f32</t>
  </si>
  <si>
    <t>HysComp_k_AsstLPFKn_Hz</t>
  </si>
  <si>
    <t>LP filter cutoff frequency   (of assist)</t>
  </si>
  <si>
    <t>HystComp</t>
  </si>
  <si>
    <t>k_HysCmpHwTrqLPFKn_Hz_f32</t>
  </si>
  <si>
    <t>HysComp_k_HwTrqLPFKn_Hz</t>
  </si>
  <si>
    <t>LP filter cutoff frequency   (of hw torque)</t>
  </si>
  <si>
    <t>k_HysFinalOutLPFKn_Hz_f32</t>
  </si>
  <si>
    <t>HysComp_k_FinalOutLPFKn_Hz</t>
  </si>
  <si>
    <t>LP filter cutoff frequency   (of output)</t>
  </si>
  <si>
    <t>k_HysRevGain_InvHwNm_f32</t>
  </si>
  <si>
    <t>HysComp_k_RevGain_InvHwNm</t>
  </si>
  <si>
    <t>Magnifies delta handwheel torque during directional changes.  Provides a tuning method affecting transition feel.  Transition "rise" is tuned via tables above.  The "fall" is tuned by this one gain value.</t>
  </si>
  <si>
    <t>InvHwNm</t>
  </si>
  <si>
    <t>k_LpFricIpLim_HwNm_u9p7</t>
  </si>
  <si>
    <t>HysComp_k_AsstInputLim_HwNm</t>
  </si>
  <si>
    <t>Upper limit of incoming Assist magnitude</t>
  </si>
  <si>
    <t>t2_HysHwTrqBlndTblX_HwNm_u4p12[12][8]</t>
  </si>
  <si>
    <t>HysComp_t2_HwTorqBlendX_HwNm</t>
  </si>
  <si>
    <t>2-point table of assist values</t>
  </si>
  <si>
    <t>HystComp.8X</t>
  </si>
  <si>
    <t>{{0,0.2,0.4,0.6,1,1.4,2,10},{0,0.2,0.4,0.6,1,1.4,2,10},{0,0.2,0.4,0.6,1,1.4,2,10},{0,0.2,0.4,0.6,1,1.4,2,10},{0,0.2,0.4,0.6,1,1.4,2,10},{0,0.2,0.4,0.6,1,1.4,2,10},{0,0.2,0.4,0.6,1,1.4,2,10},{0,0.2,0.4,0.6,1,1.4,2,10},{0,0.2,0.4,0.6,1,1.4,2,10},{0,0.2,0.4,0.6,1,1.4,2,10},{0,0.2,0.4,0.6,1,1.4,2,10},{0,0.2,0.4,0.6,1,1.4,2,10}}</t>
  </si>
  <si>
    <t>t2_HysHwTrqBlndTblY_Uls_u4p12[12][8]</t>
  </si>
  <si>
    <t>HysComp_t2_HwTorqBlendY_Uls</t>
  </si>
  <si>
    <t>2-point table for scaling output of this function to zero according to the X-values above</t>
  </si>
  <si>
    <t>HystComp.8Y</t>
  </si>
  <si>
    <t>{{1,1,1,1,1,1,1,1},{1,1,1,1,1,1,1,1},{1,1,1,1,1,1,1,1},{1,1,1,1,1,1,1,1},{1,1,1,1,1,1,1,1},{1,1,1,1,1,1,1,1},{1,1,1,1,1,1,1,1},{1,1,1,1,1,1,1,1},{1,1,1,1,1,1,1,1},{1,1,1,1,1,1,1,1},{1,1,1,1,1,1,1,1},{1,1,1,1,1,1,1,1}}</t>
  </si>
  <si>
    <t>t_HysRiseTblX_HwNm_u2p14[6]</t>
  </si>
  <si>
    <t>HysComp_t_RiseX_HwNm</t>
  </si>
  <si>
    <t>Table of handwheel torque values that track a driver's transition toward or away from cornering</t>
  </si>
  <si>
    <t>HystComp.1X</t>
  </si>
  <si>
    <t>0, 0.094773206, 0.128210527, 0.154492771, 0.181721481, 0.2</t>
  </si>
  <si>
    <t>t_HysRiseTblY_Uls_u2p14[6]</t>
  </si>
  <si>
    <t>HysComp_t_RiseY_Uls</t>
  </si>
  <si>
    <t>Table of scale factors representing the fraction of available compensation to actually apply</t>
  </si>
  <si>
    <t>HystComp.1Y</t>
  </si>
  <si>
    <t>0, 0.6015625, 0.797, 0.912, 0.981, 1</t>
  </si>
  <si>
    <t>t_EffLossTblY_Uls_u4p12[12]</t>
  </si>
  <si>
    <t>HysComp_t_EffLossY_Uls</t>
  </si>
  <si>
    <t>Table of load-dependent efficiency loss at various vehicle speeds</t>
  </si>
  <si>
    <t>HystComp.3Y</t>
  </si>
  <si>
    <t>0, 0, 0, 0, 0, 0, 0, 0, 0, 0, 0, 0</t>
  </si>
  <si>
    <t>t_EffOffTblY_HwNm_u9p7[12]</t>
  </si>
  <si>
    <t>HysComp_t_EffOffY_HwNm</t>
  </si>
  <si>
    <t>Table that offsets the efficiency loss values above</t>
  </si>
  <si>
    <t>HystComp.2Y</t>
  </si>
  <si>
    <t>k_CmnSysTrqRatio_HwNmpMtrNm_f32</t>
  </si>
  <si>
    <t>Cmn_k_SysTrqRatio_HwNmpMtrNm</t>
  </si>
  <si>
    <t>Ratio between handwheel and motor, with consideration given to load-dependent losses.  Generally set as TrqRatio = KinRatio * Efficiency.</t>
  </si>
  <si>
    <t>SF00 Common Calibrations</t>
  </si>
  <si>
    <t>MtrDegpHwDeg</t>
  </si>
  <si>
    <t>k_HysOutLIm_HwNm_f32</t>
  </si>
  <si>
    <t>HysComp_k_OutLim_HwNm</t>
  </si>
  <si>
    <t>Function output saturation limit</t>
  </si>
  <si>
    <t>t_HysCompCoulFricY_HwNm_u9p7[2][12]</t>
  </si>
  <si>
    <t>HysComp_t_CoulFricY_HwNm</t>
  </si>
  <si>
    <t>2-dimensional table of coulomb friction values.  Uses speed table above for x-values.  Index 0 = friction values when operating with WIR inactive.  Index 1 = tuning for WIR active</t>
  </si>
  <si>
    <t>HystComp.4Y</t>
  </si>
  <si>
    <t>t_HysCompCoulFricTempScaleX_DegC_s14p1[8]</t>
  </si>
  <si>
    <t>HysComp_t_CoulFricTempScaleX_degC</t>
  </si>
  <si>
    <t>Table of temperature values for scaling sub-function output</t>
  </si>
  <si>
    <t>HystComp.6X</t>
  </si>
  <si>
    <t>-40, -30, -20, -10, 0, 25, 50, 80</t>
  </si>
  <si>
    <t>s14p1_T</t>
  </si>
  <si>
    <t>t_HysCompCoulFricTempScaleY_HwNm_u9p7[8]</t>
  </si>
  <si>
    <t>HysComp_t_CoulFricTempScaleY_Uls</t>
  </si>
  <si>
    <t>Table of scale factors over temperature</t>
  </si>
  <si>
    <t>HystComp.6Y</t>
  </si>
  <si>
    <t>1, 1, 1, 1, 1, 1, 1, 1</t>
  </si>
  <si>
    <t>t_HysCompHysSatY_HwNm_u9p7[12]</t>
  </si>
  <si>
    <t>HysComp_t_HysSatY_HwNm</t>
  </si>
  <si>
    <t>Table of saturation values for the total available hysteresis compensation</t>
  </si>
  <si>
    <t>HystComp.7Y</t>
  </si>
  <si>
    <t>15, 15, 15, 15, 15, 15, 15, 15, 15, 15, 15, 15</t>
  </si>
  <si>
    <t>t_HysCompCoulFricWIRBlendX_MtrNm_u8p8[6]</t>
  </si>
  <si>
    <t>HysComp_t_CoulFricWIRBlendX_MtrNm</t>
  </si>
  <si>
    <t>Table of WIR function command values to blend between CoulFricY tunings</t>
  </si>
  <si>
    <t>HystComp.5X</t>
  </si>
  <si>
    <t>0, 0.2, 0.4, 0.6, 0.8, 1</t>
  </si>
  <si>
    <t>t_HysCompCoulFricWIRBlendY_Uls_u2p14[6]</t>
  </si>
  <si>
    <t>HysComp_t_CoulFricWIRBlendY_Uls</t>
  </si>
  <si>
    <t>Table of scale values to blend between CoulFricY tunings</t>
  </si>
  <si>
    <t>HystComp.5Y</t>
  </si>
  <si>
    <t>0, 0, 0, 0, 0, 0</t>
  </si>
  <si>
    <t>t_HysCompNegHysCompX_MtrNm_u8p8[8]</t>
  </si>
  <si>
    <t>HysComp_t_NegHysCompX_MtrNm</t>
  </si>
  <si>
    <t>Table of WIR command amplitude values for generating negative hysteresis compensation</t>
  </si>
  <si>
    <t>HystComp.10X</t>
  </si>
  <si>
    <t>0, 0.1, 0.2, 0.4, 0.6, 0.8, 0.9, 1</t>
  </si>
  <si>
    <t>t_HysCompNegHysCompY_HwNm_u9p7[8]</t>
  </si>
  <si>
    <t>HysComp_t_NegHysCompY_HwNm</t>
  </si>
  <si>
    <t>Table of values to subtract from available compensation, sometimes making the sub-function's output negative.</t>
  </si>
  <si>
    <t>HystComp.10Y</t>
  </si>
  <si>
    <t>0,0,0,0,0 ,0,0,0</t>
  </si>
  <si>
    <t>t_HysCompNegHysBlendX_HwNm_u9p7[5]</t>
  </si>
  <si>
    <t>HysComp_t_NegHysCompBlendX_HwNm</t>
  </si>
  <si>
    <t>Table of assist values to blend out the negative compensation factor above</t>
  </si>
  <si>
    <t>HystComp.9X</t>
  </si>
  <si>
    <t>0, 1, 2, 3, 4</t>
  </si>
  <si>
    <t>t_HysCompNegHysBlendY_Uls_u2p14[5]</t>
  </si>
  <si>
    <t>HysComp_t_NegHysCompBlendY_Uls</t>
  </si>
  <si>
    <t>Table of scale values to blend out the negative compensation factor above</t>
  </si>
  <si>
    <t>HystComp.9Y</t>
  </si>
  <si>
    <t>1, 1, 1, 1, 1</t>
  </si>
  <si>
    <t>k_GainDecSlew_UlspS_f32</t>
  </si>
  <si>
    <t>LimCon_k_EOTGainIDecSlew_UlspS</t>
  </si>
  <si>
    <t>LmtCod</t>
  </si>
  <si>
    <t>k_TorqueDecSlew_MtrNmpS_f32</t>
  </si>
  <si>
    <t>LimCon_k_LimiterDecSlew_MtrNmpS</t>
  </si>
  <si>
    <t>MtrNmpS</t>
  </si>
  <si>
    <t>t_GainIncSlewTblX_Kph_u9p7[2]</t>
  </si>
  <si>
    <t>LimCon_t_GainIncSlewX_Kph</t>
  </si>
  <si>
    <t>{10, 20}</t>
  </si>
  <si>
    <t>t_GainIncSlewTblY_UlspS_u9p7[2]</t>
  </si>
  <si>
    <t>LimCon_t_GainIncSlewY_UlspS</t>
  </si>
  <si>
    <t>{500, 500}</t>
  </si>
  <si>
    <t>t_TorqueIncSlewTblX_Kph_u9p7[2]</t>
  </si>
  <si>
    <t>LimCon_t_TorqueIncSlewX_Kph</t>
  </si>
  <si>
    <t>t_TorqueIncSlewTblY_MtrNmpS_u13p3[2]</t>
  </si>
  <si>
    <t>LimCon_t_TorqueIncSlewY_MtrNmpS</t>
  </si>
  <si>
    <t>{4400, 4400}</t>
  </si>
  <si>
    <t>k_MtrVelEOTLrn_MtrRadpS_f32</t>
  </si>
  <si>
    <t>LrnEOT_k_MtrVelEOTLrn_RadpSec</t>
  </si>
  <si>
    <t>Maximum velocity threshold to indicate (with high torque) that the end stop is detected</t>
  </si>
  <si>
    <t>LrnEOT</t>
  </si>
  <si>
    <t>k_EOTLrnTimer_mS_u16</t>
  </si>
  <si>
    <t>LrnEOT_k_EOTLrnTimer_Sec</t>
  </si>
  <si>
    <t>Minimum time required to maintain the defined condition to allow the "Found" signal to change staten</t>
  </si>
  <si>
    <t>k_AuthorityStartLrn_Uls_f32</t>
  </si>
  <si>
    <t>LrnEOT_k_AuthorityStartLrn_Percent</t>
  </si>
  <si>
    <t>Minimum level of authority used to activate the learning as well as determine Cw_Found and Ccw_Found outputs.</t>
  </si>
  <si>
    <t>k_HwTrqEOTLrn_HwNm_f32</t>
  </si>
  <si>
    <t>LrnEOT_k_HwTrqLrnLimit_HwNm</t>
  </si>
  <si>
    <t>Minimum torque applied to indicate learning to start (high torque at end of travel)</t>
  </si>
  <si>
    <t>k_MinResetAuthority_Uls_f32</t>
  </si>
  <si>
    <t>LrnEOT_k_MinResetAuth_Uls</t>
  </si>
  <si>
    <t>k_MinRackTrvl_HwDeg_f32</t>
  </si>
  <si>
    <t>LrnEOT_k_MinRackTravel_Deg</t>
  </si>
  <si>
    <t>k_MaxRackTrvl_HwDeg_f32</t>
  </si>
  <si>
    <t>LrnEOT_k_MaxRackTravel_Deg</t>
  </si>
  <si>
    <t>lgc</t>
  </si>
  <si>
    <t>k_MinTrqCmdScl_Uls_f32</t>
  </si>
  <si>
    <t>Minimum Allowable Torque Command EOL Scale Factor</t>
  </si>
  <si>
    <t>Calibration to enforce a minimum limit on the Torque Command EOL Scale Factor</t>
  </si>
  <si>
    <t>MtrCtrl_CM</t>
  </si>
  <si>
    <t>k_MaxTrqCmdScl_Uls_f32</t>
  </si>
  <si>
    <t>Maximum Allowable Torque Command EOL Scale Factor</t>
  </si>
  <si>
    <t>Calibration to enforce a maximum limit on the Torque Command EOL Scale Factor</t>
  </si>
  <si>
    <t>k_NoofPoles_Uls_f32</t>
  </si>
  <si>
    <t>k_P</t>
  </si>
  <si>
    <t>No of Poles in  a motor</t>
  </si>
  <si>
    <t>SF99B MotorControl</t>
  </si>
  <si>
    <t>RadpSec</t>
  </si>
  <si>
    <t>Value Respresenting the maximum motor Current Squared</t>
  </si>
  <si>
    <t>k_PIGainVspdCutoff_kph_f32</t>
  </si>
  <si>
    <t>k_PIGainVspdCutoff_kph</t>
  </si>
  <si>
    <t>t_KpqGainX_MtrRadpSec_u12p4[8]</t>
  </si>
  <si>
    <t>t_Kpq_X</t>
  </si>
  <si>
    <t>MotorVelocity  xais tabel for calculating the Qaxis propotional Gain</t>
  </si>
  <si>
    <t>{0,5,50,100,200,300,400,500}</t>
  </si>
  <si>
    <t>MtrRadpSec</t>
  </si>
  <si>
    <t>t_KpqGainY_Uls_u6p10[8]</t>
  </si>
  <si>
    <t>t_Kpq_Y</t>
  </si>
  <si>
    <t>Propotional Gain  yaxis tabel for calculating the Qaxis propotional Gain</t>
  </si>
  <si>
    <t>{0.015,0.03,0.03,0.05,0.05,0.05,0.05,0.05}</t>
  </si>
  <si>
    <t>t_KiqGainX_MtrRadpSec_u12p4[8]</t>
  </si>
  <si>
    <t>t_Kiq_X</t>
  </si>
  <si>
    <t>MotorVelocity  xais tabel for calculating the Qaxis Integral Gain</t>
  </si>
  <si>
    <t>t_KiqGainY_Uls_u10p6[8]</t>
  </si>
  <si>
    <t>t_Kiq_Y</t>
  </si>
  <si>
    <t>Integral Gain  yaxis tabel for calculating the Qaxis Integral Gain</t>
  </si>
  <si>
    <t>{16,50,100,100,100,100,100,100}</t>
  </si>
  <si>
    <t>t_KpdGainX_MtrRadpSec_u12p4[8]</t>
  </si>
  <si>
    <t>t_Kpd_X</t>
  </si>
  <si>
    <t>MotorVelocity  xais tabel for calculating the Daxis propotional Gain</t>
  </si>
  <si>
    <t>t_KpdGainY_Uls_u6p10[8]</t>
  </si>
  <si>
    <t>t_Kpd_Y</t>
  </si>
  <si>
    <t>Propotional Gain  yaxis tabel for calculating the Daxis propotional Gain</t>
  </si>
  <si>
    <t>t_KidGainX_MtrRadpSec_u12p4[8]</t>
  </si>
  <si>
    <t>t_Kid_X</t>
  </si>
  <si>
    <t>MotorVelocity  xais tabel for calculating the Daxis Integral Gain</t>
  </si>
  <si>
    <t>t_KidGainY_Uls_u10p6[8]</t>
  </si>
  <si>
    <t>t_Kid_Y</t>
  </si>
  <si>
    <t>Integral Gain  yaxis tabel for calculating the Daxis Integral Gain</t>
  </si>
  <si>
    <t>k_MtrPosComputationDelay_Sec_f32</t>
  </si>
  <si>
    <t>k_MtrPosComputationDelay_Sec</t>
  </si>
  <si>
    <t>ComputationDelay</t>
  </si>
  <si>
    <t>k_MinKeRngLmt_VpRadpS_f32</t>
  </si>
  <si>
    <t>Minimum Ke Range Limit</t>
  </si>
  <si>
    <t>V/Rad/Sec</t>
  </si>
  <si>
    <t>k_MaxKeRngLmt_VpRadpS_f32</t>
  </si>
  <si>
    <t>Maximum Ke Range Limit</t>
  </si>
  <si>
    <t>k_MinRRngLmt_Ohm_f32</t>
  </si>
  <si>
    <t>Minimum Resistance Range Limit</t>
  </si>
  <si>
    <t>Ohm</t>
  </si>
  <si>
    <t>k_MaxRRngLmt_Ohm_f32</t>
  </si>
  <si>
    <t>Maximum Resistance Range Limit</t>
  </si>
  <si>
    <t>k_MinLqRngLmt_Henry_f32</t>
  </si>
  <si>
    <t>Minimum Lq Range Limit</t>
  </si>
  <si>
    <t>Henry</t>
  </si>
  <si>
    <t>k_MaxLqRngLmt_Henry_f32</t>
  </si>
  <si>
    <t>Maximum Lq Range Limit</t>
  </si>
  <si>
    <t>k_MinLdRngLmt_Henry_f32</t>
  </si>
  <si>
    <t>Minimum Ld Range Limit</t>
  </si>
  <si>
    <t>k_MaxLdRngLmt_Henry_f32</t>
  </si>
  <si>
    <t>Maximum Ld Range Limit</t>
  </si>
  <si>
    <t>k_NomTemp_DegC_f32</t>
  </si>
  <si>
    <t>Nominal Temperature Tnom</t>
  </si>
  <si>
    <t>k_MagThrC_VpRadpSpDegC_f32</t>
  </si>
  <si>
    <t>Thermal Coefficient Magnet</t>
  </si>
  <si>
    <t>V/Rad/Sec/DegC</t>
  </si>
  <si>
    <t>k_NomRfet_Ohm_f32</t>
  </si>
  <si>
    <t>Nominal Rfet Value</t>
  </si>
  <si>
    <t>k_SiThermCoeff_OhmpDegC_f32</t>
  </si>
  <si>
    <t>Thermal Coefficient Silicon</t>
  </si>
  <si>
    <t>Ohm/DegC</t>
  </si>
  <si>
    <t>k_CuThermCoeff_OhmpDegC_f32</t>
  </si>
  <si>
    <t>Thermal Coefficient Copper</t>
  </si>
  <si>
    <t>t_KeSatTblX_Amp_u9p7[16]</t>
  </si>
  <si>
    <t>Ke Saturation Characteristic (X)</t>
  </si>
  <si>
    <t>0, 10, 25, 35, 45, 55, 65, 75, 85, 95, 105, 115, 125, 135, 145, 150</t>
  </si>
  <si>
    <t>t_KeSatTblY_Uls_u2p14[16]</t>
  </si>
  <si>
    <t>Ke Saturation Characteristic (Y)</t>
  </si>
  <si>
    <t>1, 1, 1, 0.998046875, 0.998046875, 0.994140625, 0.9921875, 0.98828125, 0.982421875, 0.974609375, 0.966796875, 0.95703125, 0.9453125, 0.931640625, 0.916015625, 0.90625</t>
  </si>
  <si>
    <t>t_CurrParamCompDaxRef_Amp_u9p7[6]</t>
  </si>
  <si>
    <t>LdqSaturation Characteristic_Daxis (Z)</t>
  </si>
  <si>
    <t>0,25,50,75,100,125</t>
  </si>
  <si>
    <t>t_CurrParamCompQaxRef_Amp_u9p7[7]</t>
  </si>
  <si>
    <t>LdqSaturation Characteristic_Qaxis (X)</t>
  </si>
  <si>
    <t>0,25,50,75,100,125,150</t>
  </si>
  <si>
    <t>t2_CurrParamLdSatSclFac_Uls_u2p14[6][7]</t>
  </si>
  <si>
    <t>LdSaturation Characteristic (Y)</t>
  </si>
  <si>
    <t>{{1.0,1.0,0.9961,0.9883,0.9707,0.9453,0.9063},{1.0,1.0,0.9961,0.9883,0.9707,0.9453,0.9063},{1.0,1.0,0.9961,0.9883,0.9707,0.9453,0.9063},{1.0,1.0,0.9961,0.9883,0.9707,0.9453,0.9063},{1.0,1.0,0.9961,0.9883,0.9707,0.9453,0.9063},{1.0,1.0,0.9961,0.9883,0.9707,0.9453,0.9063}}</t>
  </si>
  <si>
    <t>uls</t>
  </si>
  <si>
    <t>t2_CurrParamLqSatSclFac_Uls_u2p14[6][7]</t>
  </si>
  <si>
    <t>LqSaturation Characteristic (Y)</t>
  </si>
  <si>
    <t>k_PiSamplingTs_Sec_f32</t>
  </si>
  <si>
    <t>k_Ts</t>
  </si>
  <si>
    <t>PI sampling Time</t>
  </si>
  <si>
    <t>sec</t>
  </si>
  <si>
    <t>t_CommOffsetTblX_Uls_u3p13[2]</t>
  </si>
  <si>
    <t>t_ComOffsetX</t>
  </si>
  <si>
    <t>MIOffsetXtable</t>
  </si>
  <si>
    <t>{0.6,0.95}</t>
  </si>
  <si>
    <t>t_CommOffsetTblY_Cnt_u16[2]</t>
  </si>
  <si>
    <t>t_CommOffsetTblY</t>
  </si>
  <si>
    <t>MtrCtrl_CM, SVDiag</t>
  </si>
  <si>
    <t>FDD15D SineVoltageGenerationDrive, FDD49 SineVoltageGenerationDiagnostics</t>
  </si>
  <si>
    <t>{63,0}</t>
  </si>
  <si>
    <t>k_EstPkCurr2msLPFKn_Uls_u16</t>
  </si>
  <si>
    <t>EstPkCurr_AAFilt_2ms_freq</t>
  </si>
  <si>
    <t>Calibration to set the cutoff frequency for the two anti-alias filters applied to Id &amp; Iq estimates in the 2 msec loop</t>
  </si>
  <si>
    <t>k_EstPkCurrSlowLoopLPFKn_Uls_u16</t>
  </si>
  <si>
    <t>EstPkCurr_AAFilt_slowloop_freq</t>
  </si>
  <si>
    <t>Calibration to set the cutoff frequency for the anti-alias filter applied to Ipeak2 in the slower loop</t>
  </si>
  <si>
    <t>k_MtrVelFiltFFKn_Cnt_u16</t>
  </si>
  <si>
    <t>k_MtrVelFiltFFFreq</t>
  </si>
  <si>
    <t>k_MtrVelFiltPIKn_Cnt_u16</t>
  </si>
  <si>
    <t>k_MtrVelFiltPIFreq</t>
  </si>
  <si>
    <t>Rad</t>
  </si>
  <si>
    <t>6th Harmonic</t>
  </si>
  <si>
    <t>12th Harmonic</t>
  </si>
  <si>
    <t>t_MtrCurrQaxRpl_Amp_u9p7[7]</t>
  </si>
  <si>
    <t>t_MtrTrqRipQax_Amp</t>
  </si>
  <si>
    <t>QaxTbl_Zaxis</t>
  </si>
  <si>
    <t>t_MtrCurrDaxRpl_Amp_u9p7[6]</t>
  </si>
  <si>
    <t>t_MtrTrqRipDax_Amp</t>
  </si>
  <si>
    <t>DaxTbl_Xaxis</t>
  </si>
  <si>
    <t>{0,25,50,75,100,125}</t>
  </si>
  <si>
    <t>t2_MtrCurrQaxRpl6X_Amp_s6p9[6][7]</t>
  </si>
  <si>
    <t>t_MtrCurrQax_Rpl_6X</t>
  </si>
  <si>
    <t>Lookup table representing the change in q-axis current ripple compensation</t>
  </si>
  <si>
    <t>s6p9_T</t>
  </si>
  <si>
    <t>t2_MtrCurrQaxRpl6Y_Amp_s6p9[6][7]</t>
  </si>
  <si>
    <t>t_MtrCurrQax_Rpl_6Y</t>
  </si>
  <si>
    <t>t2_MtrCurrQaxRpl12X_Amp_s6p9[6][7]</t>
  </si>
  <si>
    <t>t_MtrCurrQax_Rpl_12X</t>
  </si>
  <si>
    <t>t2_MtrCurrQaxRpl12Y_Amp_s6p9[6][7]</t>
  </si>
  <si>
    <t>t_MtrCurrQax_Rpl_12Y</t>
  </si>
  <si>
    <t>t_MtrVelX_MtrRadpS</t>
  </si>
  <si>
    <t>Velocity table for Mag_PI</t>
  </si>
  <si>
    <t>{0,100,114,303,800,1200,2620,3200,8492,11100}</t>
  </si>
  <si>
    <t>Rev</t>
  </si>
  <si>
    <t>k_InstMtrDirHyst_Deg_f32</t>
  </si>
  <si>
    <t>InstMtrDir_Hyst</t>
  </si>
  <si>
    <t>Motor position degrees that must be detected in the opposite direction before changing the state of the instantaneous motor direction</t>
  </si>
  <si>
    <t>MtrDeg</t>
  </si>
  <si>
    <t>k_NomLq_Henry_f32</t>
  </si>
  <si>
    <t>MtrCtrl_k_LqNom_Henry</t>
  </si>
  <si>
    <t>Nominal Lq Value:  q-axis</t>
  </si>
  <si>
    <t>k_NomLd_Henry_f32</t>
  </si>
  <si>
    <t>MtrCtrl_k_LdNom_Henry</t>
  </si>
  <si>
    <t>Nominal Ld Value:  d-axis</t>
  </si>
  <si>
    <t>t_RefDeltaPoints_Rad_f32[8]</t>
  </si>
  <si>
    <t>MtrCtrl_t_IdqRefDeltaPoints_Rad</t>
  </si>
  <si>
    <t>Motor Voltage                                Phase Angle (delta) table for setting                                   up Bracket Array</t>
  </si>
  <si>
    <t>{-3.1415926535897931,-2.3561944901923448,-1.5707963267948966, -0.78539816339744828, 0,0.78539816339744828, 1.5707963267948966, 2.3561944901923448}</t>
  </si>
  <si>
    <t>t_Q13VltgSchedXTbl_MtrRadpS_u12p4[10]</t>
  </si>
  <si>
    <t>MtrCtrl_t_Q13VltgSchedXTbl_MtrRadpS</t>
  </si>
  <si>
    <t>Q1,3 Available Voltage Adjustment</t>
  </si>
  <si>
    <t>{0,100,200,300,500,600,700,800,900,1100}</t>
  </si>
  <si>
    <t>t_Q13VltgSchedYTbl_Volt_u5p11[10]</t>
  </si>
  <si>
    <t>MtrCtrl_t_Q13VltgSchedYTbl_Volt</t>
  </si>
  <si>
    <t>{0,0,0,0,0,0,0,0,0,0}</t>
  </si>
  <si>
    <t>t_Q24VltgSchedXTbl_MtrRadpS_u12p4[10]</t>
  </si>
  <si>
    <t>MtrCtrl_t_Q24VltgSchedXTbl_MtrRadpS</t>
  </si>
  <si>
    <t>Q2,4 Available Voltage Adjustment</t>
  </si>
  <si>
    <t>t_Q24VltgSchedYTbl_Volt_u5p11[10]</t>
  </si>
  <si>
    <t>MtrCtrl_t_Q24VltgSchedYTbl_Volt</t>
  </si>
  <si>
    <t>k_IdqRefTrqTol_Rad_f32</t>
  </si>
  <si>
    <t>MtrCtrl_k_IdqRefTrqTol_Uls</t>
  </si>
  <si>
    <t>Interpolate Peak Torque Solver Tolerance</t>
  </si>
  <si>
    <t>k_IdqRefTrqNIter_Cnt_u16</t>
  </si>
  <si>
    <t>MtrCtrl_k_IdqRefTrqNIter_Uls</t>
  </si>
  <si>
    <t>Locate Peak Torque Solver Number of Iterations</t>
  </si>
  <si>
    <t>k_IdqRefIminTol_Amp_f32</t>
  </si>
  <si>
    <t>MtrCtrl_k_IdqRefIminTol_Uls</t>
  </si>
  <si>
    <t>Minimum Current Solver Number of Iterations</t>
  </si>
  <si>
    <t>k_IdqRefIminNIter_Cnt_u16</t>
  </si>
  <si>
    <t>MtrCtrl_k_KdqRefIminNIter_Uls</t>
  </si>
  <si>
    <t>Minimum Current Solver Tolerance</t>
  </si>
  <si>
    <t>k_IdqRefLocateRefNIter_Cnt_u16</t>
  </si>
  <si>
    <t>MtrCtrl_k_IdqRefLocateRefNIter_Uls</t>
  </si>
  <si>
    <t>Locate Reference Solver Number of Iterations</t>
  </si>
  <si>
    <t>k_deadtimeVScale_Uls_f32</t>
  </si>
  <si>
    <t>MtrCtrl_k_DeadTimeSec_Uls</t>
  </si>
  <si>
    <t>Ratio of Available DC Link Voltage
%                                   at Inverter (Deadtime Compensation Loss)</t>
  </si>
  <si>
    <t>k_SiLLFiltKB0_Uls_f32</t>
  </si>
  <si>
    <t>MtrTempEst</t>
  </si>
  <si>
    <t>k_SiLLFiltKB1_Uls_f32</t>
  </si>
  <si>
    <t>k_SiLLFiltKA1_Uls_f32</t>
  </si>
  <si>
    <t>k_MagLLFiltKB0_Uls_f32</t>
  </si>
  <si>
    <t>k_MagLLFiltKB1_Uls_f32</t>
  </si>
  <si>
    <t>k_MagLLFiltKA1_Uls_f32</t>
  </si>
  <si>
    <t>k_CuLLFiltKB0_Uls_f32</t>
  </si>
  <si>
    <t>k_CuLLFiltKB1_Uls_f32</t>
  </si>
  <si>
    <t>k_CuLLFiltKA1_Uls_f32</t>
  </si>
  <si>
    <t>k_AmbPwrMult_WtspAmpSq_f32</t>
  </si>
  <si>
    <t>Watts/Amp2</t>
  </si>
  <si>
    <t>k_SiAmbLPFKn_Hz_f32</t>
  </si>
  <si>
    <t>k_SiAmbMult_DegCpWatt_f32</t>
  </si>
  <si>
    <t>DegC/Watt</t>
  </si>
  <si>
    <t>k_MagAmbLPFKn_Hz_f32</t>
  </si>
  <si>
    <t>k_MagAmbMult_DegCpWatt_f32</t>
  </si>
  <si>
    <t>k_CuAmbLPFKn_Hz_f32</t>
  </si>
  <si>
    <t>k_CuAmbMult_DegCpWatt_f32</t>
  </si>
  <si>
    <t>k_SiCorrLmt_DegC_f32</t>
  </si>
  <si>
    <t>k_MagCorrLmt_DegC_f32</t>
  </si>
  <si>
    <t>k_CuCorrLmt_DegC_f32</t>
  </si>
  <si>
    <t>k_AMDampScl_NmpRadpS_f32</t>
  </si>
  <si>
    <t>Nm/rad/sec</t>
  </si>
  <si>
    <t>k_AMAmbMult_DegCpWatt_f32</t>
  </si>
  <si>
    <t>k_AMAmbLPFKn_Hz_f32</t>
  </si>
  <si>
    <t>k_TrimTempSi_DegC_f32</t>
  </si>
  <si>
    <t>k_TrimTempMag_DegC_f32</t>
  </si>
  <si>
    <t>k_TrimTempCu_DegC_f32</t>
  </si>
  <si>
    <t>k_TrimTempAM_DegC_f32</t>
  </si>
  <si>
    <t>k_EngTempScl_Uls_f32</t>
  </si>
  <si>
    <t>k_AmbTempScl_Uls_f32</t>
  </si>
  <si>
    <t>k_AMLLFiltPoleA1_Uls_f32</t>
  </si>
  <si>
    <t>k_AMLLFiltCoefB0_Uls_f32</t>
  </si>
  <si>
    <t>k_AMLLFiltCoefB1_Uls_f32</t>
  </si>
  <si>
    <t>k_AssistMechSlew_DegCpS_f32</t>
  </si>
  <si>
    <t>DegCpS</t>
  </si>
  <si>
    <t>k_WtAvgTempDFt_Cnt_lgc</t>
  </si>
  <si>
    <t>TempEst_k_WtAvgTempDft_Uls</t>
  </si>
  <si>
    <t>t_MtrVelBlendTblX_MtrRadpS_u12p4[2]</t>
  </si>
  <si>
    <t xml:space="preserve">t_N_MotorVeltBld_BkPt1,t_N_MotorVeltBld_BkPt2
</t>
  </si>
  <si>
    <t>MtrVel blend BreakPoint1,BreakPoint2</t>
  </si>
  <si>
    <t>{0, 0}</t>
  </si>
  <si>
    <t>k_GearRatio_Uls_f32</t>
  </si>
  <si>
    <t>k_MtrVelCorrLim_Cnt_Str</t>
  </si>
  <si>
    <t>{12, 3, 1}</t>
  </si>
  <si>
    <t>k_MtrVelCorrLim_Cnt_Str.Threshold</t>
  </si>
  <si>
    <t>k_MtrVel_Corrlim_ErrAcc_Thresh</t>
  </si>
  <si>
    <t>k_MtrVelCorrLim_Cnt_Str.Pstep</t>
  </si>
  <si>
    <t>k_MtrVel_Corrlim_Pstep</t>
  </si>
  <si>
    <t>k_MtrVelCorrLim_Cnt_Str.Nstep</t>
  </si>
  <si>
    <t>k_MtrVel_Corrlim_Nstep</t>
  </si>
  <si>
    <t>k_HwVelCorrLim_Cnt_Str</t>
  </si>
  <si>
    <t>k_HwVelCorrLim_Cnt_Str.Threshold</t>
  </si>
  <si>
    <t>k_HwVel_Corrlim_ErrAcc_Thresh</t>
  </si>
  <si>
    <t>k_HwVelCorrLim_Cnt_Str.Pstep</t>
  </si>
  <si>
    <t>k_HwVel_Corrlim_Pstep</t>
  </si>
  <si>
    <t>k_HwVelCorrLim_Cnt_Str.Nstep</t>
  </si>
  <si>
    <t>k_HwVel_Corrlim_Nstep</t>
  </si>
  <si>
    <t>k_MtrVelCorrLim_MtrRadpS_f32</t>
  </si>
  <si>
    <t>k_MtrVel_CorrLim</t>
  </si>
  <si>
    <t>k_HwVelCorrLim_HwRadpS_f32</t>
  </si>
  <si>
    <t>k_HwVel_CorrLim</t>
  </si>
  <si>
    <t>HwRadpS</t>
  </si>
  <si>
    <t>k_CPUSupplyOV_Cnt_Str</t>
  </si>
  <si>
    <t>OvrVoltMon</t>
  </si>
  <si>
    <t>{10,10,1}</t>
  </si>
  <si>
    <t>k_CPUSupplyOV_Cnt_Str.Threshold</t>
  </si>
  <si>
    <t>k_CPU_SuplOV.Thresh</t>
  </si>
  <si>
    <t>k_CPUSupplyOV_Cnt_Str.Pstep</t>
  </si>
  <si>
    <t>k_CPU_SuplOV.Pstep</t>
  </si>
  <si>
    <t>k_CPUSupplyOV_Cnt_Str.Nstep</t>
  </si>
  <si>
    <t>k_CPU_SuplOV.Nstep</t>
  </si>
  <si>
    <t>PwrLmt_t_MtrEnvTblX_MtrRadpS</t>
  </si>
  <si>
    <t>Table to determine Voltage dependent motor velocity offset</t>
  </si>
  <si>
    <t>PwrLmtFuncCr</t>
  </si>
  <si>
    <t>SF19B PowerLimitFunction</t>
  </si>
  <si>
    <t>PwrLmtFuncCr.1X</t>
  </si>
  <si>
    <t>PwrLmt_t_DLVTblY_MtrRadpS</t>
  </si>
  <si>
    <t>PwrLmtFuncCr.1Y</t>
  </si>
  <si>
    <t>PwrLmtFuncCr.2X</t>
  </si>
  <si>
    <t>{-1100, -800, -650, -550, -353.5625, -287.46875, -218.65625, -108.1875, 0, 108.1875, 218.65625, 287.46875, 353.5625, 550}</t>
  </si>
  <si>
    <t>s11p4_T</t>
  </si>
  <si>
    <t>PwrLmt_t_MtrEnvTblY_MtrNm</t>
  </si>
  <si>
    <t>PwrLmtFuncCr.2Y</t>
  </si>
  <si>
    <t>{0.720, 1.400, 1.900, 2.300, 3.500, 4.100, 4.632, 4.632, 4.632, 4.632, 3.553, 2.927, 2.200, 0}</t>
  </si>
  <si>
    <t>PwrLmt_k_KeStdTemp_VpRadpS</t>
  </si>
  <si>
    <t>minimum expected value of the Ke estimate</t>
  </si>
  <si>
    <t>VpRadpS</t>
  </si>
  <si>
    <t>PwrLmt_t_StdOpMtrEnvTblX_MtrRadpS</t>
  </si>
  <si>
    <t>PwrLmtFuncCr.4X</t>
  </si>
  <si>
    <t>{0, 68.1875,178.656,247.468,313.5625,510}</t>
  </si>
  <si>
    <t>PwrLmt_t_StdOpMtrEnvTblY_MtrNm</t>
  </si>
  <si>
    <t>PwrLmtFuncCr.4Y</t>
  </si>
  <si>
    <t>{4.632, 4.632, 3.553, 2.927, 2.200, 0.000}</t>
  </si>
  <si>
    <t>k_SpdAdjSlewInc_MtrRadpS_f32</t>
  </si>
  <si>
    <t>PwrLmt_k_SpdAdjSlewInc_MtrRadpSpL</t>
  </si>
  <si>
    <t>slew limit rate for Offset Output Velocity (max change in 2 ms)</t>
  </si>
  <si>
    <t>k_SpdAdjSlewDec_MtrRadpS_f32</t>
  </si>
  <si>
    <t>PwrLmt_k_SpdAdjSlewDec_MtrRadpSpL</t>
  </si>
  <si>
    <t>k_SpdAdjSlewEnable_Cnt_lgc</t>
  </si>
  <si>
    <t>PwrLmt_k_SpdAdjSlewEnable_Cnt</t>
  </si>
  <si>
    <t>Enable for the Offset Output Velocity Slew Rate</t>
  </si>
  <si>
    <t>k_AsstReducLPFKn_Hz_f32</t>
  </si>
  <si>
    <t>PwrLmt_k_AsstReducLPFKn_Hz</t>
  </si>
  <si>
    <t>cutoff frequency of the low pass filter for the calculated limit percentage</t>
  </si>
  <si>
    <t>k_PwrLmtMtrVelLPFKn_Hz_f32</t>
  </si>
  <si>
    <t>PwrLmt_k_MtrVelLPFKn_Hz</t>
  </si>
  <si>
    <t>cutoff frequency of the low pass filter for the motor velocity input</t>
  </si>
  <si>
    <t>PwrLmt_k_FiltAsstReducTh_Uls</t>
  </si>
  <si>
    <t>value above which a Nexteer DTC should be set</t>
  </si>
  <si>
    <t>k_LowVltAstRecTime_mS_u16</t>
  </si>
  <si>
    <t>PwrLmt_k_LowVltAstRecTime_mS</t>
  </si>
  <si>
    <t>how much time Vecu must be above the calibratable voltage threshold in order to reset output flag status</t>
  </si>
  <si>
    <t>k_LowVltAstRecTh_Volt_f32</t>
  </si>
  <si>
    <t>PwrLmt_k_LowVltAstRecTh_Volts</t>
  </si>
  <si>
    <t>value representing the voltage level at which the output flag(s) can be reset</t>
  </si>
  <si>
    <t>t_ReturnVSpdTblBS_Kph_u9p7[9]</t>
  </si>
  <si>
    <t>Rtrn_t_VSpd_Kph</t>
  </si>
  <si>
    <t>Table of Vehicle Speed Points corresponding to Return Tables</t>
  </si>
  <si>
    <t>Return</t>
  </si>
  <si>
    <t>0,3,7,12,20,30,45,60,80</t>
  </si>
  <si>
    <t>t2_ReturnPosTblXM_HwDeg_u12p4[9][16]</t>
  </si>
  <si>
    <t>Rtrn_t_BaseRtrnX_HwDeg</t>
  </si>
  <si>
    <t>Table used to provide the return as a function of absolute handwheel angle. X-axis of table</t>
  </si>
  <si>
    <t>{{0,0.5,1,5,10,20,30,45,60,90,120,180,270,360,450,540},{0,0.5,1,5,10,20,30,45,60,90,120,180,270,360,450,540},{0,0.5,1,5,10,20,30,45,60,90,120,180,270,360,450,540},{0,0.5,1,5,10,20,30,45,60,90,120,180,270,360,450,540},{0,0.5,1,5,10,20,30,45,60,90,120,180,270,360,450,540},{0,0.5,1,5,10,20,30,45,60,90,120,180,270,360,450,540},{0,0.5,1,5,10,20,30,45,60,90,120,180,270,360,450,540},{0,0.5,1,5,10,20,30,45,60,90,120,180,270,360,450,540},{0,0.5,1,5,10,20,30,45,60,90,120,180,270,360,450,540}}</t>
  </si>
  <si>
    <t>t2_ReturnPosTblYM_MtrNm_u5p11[9][16]</t>
  </si>
  <si>
    <t>Rtrn_t_BaseRtrnY_MtrNm</t>
  </si>
  <si>
    <t>Table used to provide the return as a function of absolute handwheel angle. Y-Axis of table</t>
  </si>
  <si>
    <t>{{0,0,0,0,0,0,0,0,0,0,0,0,0,0,0,0}, {0,0,0,0,0,0,0,0,0,0,0,0,0,0,0,0},{0,0,0,0,0,0,0,0,0,0,0,0,0,0,0,0},{0,0,0,0,0,0,0,0,0,0,0,0,0,0,0,0},{0,0,0,0,0,0,0,0,0,0,0,0,0,0,0,0},{0,0,0,0,0,0,0,0,0,0,0,0,0,0,0,0},{0,0,0,0,0,0,0,0,0,0,0,0,0,0,0,0},{0,0,0,0,0,0,0,0,0,0,0,0,0,0,0,0},{0,0,0,0,0,0,0,0,0,0,0,0,0,0,0,0}}</t>
  </si>
  <si>
    <t>t2_ReturnSclTrqTblXM_HwNm_T_u8p8[9][8]</t>
  </si>
  <si>
    <t>Rtrn_t_TrqScaleX_HwNm</t>
  </si>
  <si>
    <t>Table used to provide the return as a function of handwheel torque</t>
  </si>
  <si>
    <t>{{0,0.5,1,2,3,4,5,10},{0,0.5,1,2,3,4,5,10},{0,0.5,1,2,3,4,5,10},{0,0.5,1,2,3,4,5,10},{0,0.5,1,2,3,4,5,10},{0,0.5,1,2,3,4,5,10},{0,0.5,1,2,3,4,5,10},{0,0.5,1,2,3,4,5,10},{0,0.5,1,2,3,4,5,10}}</t>
  </si>
  <si>
    <t>t2_ReturnSclTrqTblYM_Uls_u8p8[9][8]</t>
  </si>
  <si>
    <t>Rtrn_t_TrqScaleY_Uls</t>
  </si>
  <si>
    <t>Table used to provide the return scaled as a function of handwheel torque and vehicle speed</t>
  </si>
  <si>
    <t>{{1,1,1,1,1,1,1,1},{1,1,1,1,1,1,1,1},{1,1,1,1,1,1,1,1},{1,1,1,1,1,1,1,1},{1,1,1,1,1,1,1,1},{1,1,1,1,1,1,1,1},{1,1,1,1,1,1,1,1},{1,1,1,1,1,1,1,1},{1,1,1,1,1,1,1,1}}</t>
  </si>
  <si>
    <t>t2_ReturnSclVelTblXM_HwRadpS_T_u7p9[9][4]</t>
  </si>
  <si>
    <t>Rtrn_t_VelScaleX_HwRadpS</t>
  </si>
  <si>
    <t>Table used to provide the return as a function of handwheel velocity</t>
  </si>
  <si>
    <t>{{0,40,60,80},{0,40,60,80},{0,40,60,80},{0,40,60,80},{0,40,60,80},{0,40,60,80},{0,40,60,80},{0,40,60,80},{0,40,60,80}}</t>
  </si>
  <si>
    <t>t2_ReturnSclVelTblYM_Uls_u8p8[9][4]</t>
  </si>
  <si>
    <t>Rtrn_t_VelScaleY_Uls</t>
  </si>
  <si>
    <t>Table used to provide the return scaled as a function of handwheel velocity and vehicle speed</t>
  </si>
  <si>
    <t>{{1,1,1,1},{1,1,1,1},{1,1,1,1},{1,1,1,1},{1,1,1,1},{1,1,1,1},{1,1,1,1},{1,1,1,1},{1,1,1,1}}</t>
  </si>
  <si>
    <t>k_RtnOffsetSlew_HwDegpS_f32</t>
  </si>
  <si>
    <t>Rtrn_k_OffsetSlew_HwDegpS</t>
  </si>
  <si>
    <t>Slew rate limit cal</t>
  </si>
  <si>
    <t>k_RtnOffsetRange_HWDeg_f32</t>
  </si>
  <si>
    <t>Rtrn_k_OffsetLimit_HwDeg</t>
  </si>
  <si>
    <t>Valid offset range cal</t>
  </si>
  <si>
    <t>HWDeg</t>
  </si>
  <si>
    <t>t_ReturnTempScaleXTbl_DegC_s11p4[14]</t>
  </si>
  <si>
    <t>Rtrn_t_TempScaleX_DegC</t>
  </si>
  <si>
    <t>Table of temperature values</t>
  </si>
  <si>
    <t>-40, -35, -30, -20, -10, 0, 10, 20,30,40,50, 60,70, 90</t>
  </si>
  <si>
    <t>t_ReturnTempScaleSclYTbl_Uls_u8p8[14]</t>
  </si>
  <si>
    <t>Rtrn_t_TempScaleY_Uls</t>
  </si>
  <si>
    <t>Table of scale values, 0 to 10</t>
  </si>
  <si>
    <t>1,1,1,1,1,1,1,1,1,1,1,1,1,1</t>
  </si>
  <si>
    <t>t_HWAuthRetScl_X_Uls_u8p8[4]</t>
  </si>
  <si>
    <t>Rtrn_t_HwAuthX_Uls</t>
  </si>
  <si>
    <t>Index into Handwheel Authority Scaler Lookup Table</t>
  </si>
  <si>
    <t>0,0.5,0.75,1</t>
  </si>
  <si>
    <t>t_HWAuthRetScl_Y_Uls_u9p7[4]</t>
  </si>
  <si>
    <t>Rtrn_t_HwAuthY_Uls</t>
  </si>
  <si>
    <t>Output value from Handwheel Authority Scaler Lookup Table</t>
  </si>
  <si>
    <t>0,0,0,1</t>
  </si>
  <si>
    <t>k_RtnHWAuthSlew_UlspS_f32</t>
  </si>
  <si>
    <t>Rtrn_k_HwAuthSlew_UlspS</t>
  </si>
  <si>
    <t>k_RtnLimit_MtrNm_f32</t>
  </si>
  <si>
    <t>Rtrn_k_Limit_MtrNm</t>
  </si>
  <si>
    <t>Enforces valid range of return command. Range is symmetric.</t>
  </si>
  <si>
    <t>t_RtrnFWVehSpd_Kph_u9p7[8]</t>
  </si>
  <si>
    <t>RtrnFW_t_VehSpd_kph</t>
  </si>
  <si>
    <t>ReturnFirewall</t>
  </si>
  <si>
    <t>ReturnFirewall.1Z, ReturnFirewall.2Z</t>
  </si>
  <si>
    <t>{0, 3, 10, 20, 30, 60, 100, 255}</t>
  </si>
  <si>
    <t>t_RtrnFWUprBoundX_HwDeg_s11p4[11]</t>
  </si>
  <si>
    <t>RtrnFW_t_UprBoundX_HwDeg</t>
  </si>
  <si>
    <t>ReturnFirewall.2Z, ReturnFirewall.3Z</t>
  </si>
  <si>
    <t>{-400, -100, 0, 50, 100, 150, 200, 250, 300, 350, 400}</t>
  </si>
  <si>
    <t>t2_RtrnFWUprBoundY_MtrNm_s4p11[8][11]</t>
  </si>
  <si>
    <t>RtrnFW_t2_UprBoundY_MtrNm</t>
  </si>
  <si>
    <t>ReturnFirewall.2Y</t>
  </si>
  <si>
    <t>{{15.99951171875,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t>
  </si>
  <si>
    <t>k_VehSpdSlewRate_KphpSec_f32</t>
  </si>
  <si>
    <t>SigCon_k_VehSpdSlewRate_KphpSec</t>
  </si>
  <si>
    <t>Vehicle Speed Slew Rate (kph/sec)</t>
  </si>
  <si>
    <t>SgnlCond</t>
  </si>
  <si>
    <t>KphpSec</t>
  </si>
  <si>
    <t>k_VehAccelSlewRate_KphpSecSq_f32</t>
  </si>
  <si>
    <t>SigCon_k_VehAccelSlewRate_KphpSecSq</t>
  </si>
  <si>
    <t>KphpSecSq</t>
  </si>
  <si>
    <t>t_StCmpADDFBlendX_Uls_u2p14[2]</t>
  </si>
  <si>
    <t>StCmp_t_ADDFBlendX_Uls</t>
  </si>
  <si>
    <t>Lookup table to determine X-axis of Assist Factor Compensation Blend Table</t>
  </si>
  <si>
    <t>StabilityComp</t>
  </si>
  <si>
    <t>StabilityComp.1X</t>
  </si>
  <si>
    <t>{1.0, 2.0}</t>
  </si>
  <si>
    <t>t_StCmpADDFBlendY_Uls_u2p14[2]</t>
  </si>
  <si>
    <t>StCmp_t_ADDFBlendY_Uls</t>
  </si>
  <si>
    <t>Lookup table to determine Y-axis of Assist Factor Compensation Blend Table</t>
  </si>
  <si>
    <t>StabilityComp.1Y</t>
  </si>
  <si>
    <t>{0, 1.0}</t>
  </si>
  <si>
    <t>t_StCmpBlendSpdBS_Kph_u9p7[6]</t>
  </si>
  <si>
    <t>StCmp_t_BlendSpd_Kph</t>
  </si>
  <si>
    <t>Compensator Blend table as a function of vehicle speed</t>
  </si>
  <si>
    <t>StabilityComp.2Z, StabilityComp.3Z</t>
  </si>
  <si>
    <t>{0, 10, 30, 45, 60, 80}</t>
  </si>
  <si>
    <t>t_StCmpBlend12Trq_HwNm_u8p8[5]</t>
  </si>
  <si>
    <t>StCmp_t_Blend12Trq_HwNm</t>
  </si>
  <si>
    <t>Compensator Blend table x-variable</t>
  </si>
  <si>
    <t>StabilityComp.2X, StabilityComp.3X</t>
  </si>
  <si>
    <t>{0,  2.0,  4.0, 6.0, 8.0}</t>
  </si>
  <si>
    <t>t2_StCmpBlend12TblY_Uls_u2p14[6][5]</t>
  </si>
  <si>
    <t>StCmp_t2_Blend12TblY_Uls</t>
  </si>
  <si>
    <t>Compensator Blend table y-variable</t>
  </si>
  <si>
    <t>StabilityComp.2Y</t>
  </si>
  <si>
    <t>{{0.0, 0.0, 0.0, 0.0, 0.0},{0.25, 0.25, 0.25, 0.25, 0.25},{0.5, 0.5, 0.5, 0.5, 0.5},{0.75, 0.75, 0.75, 0.75, 0.75},{1.0, 1.0, 1.0, 1.0, 1.0},{1.0, 1.0, 1.0, 1.0, 1.0}}</t>
  </si>
  <si>
    <t>t2_StCmpBlend02TblY_Uls_u2p14[6][5]</t>
  </si>
  <si>
    <t>StCmp_t2_Blend02TblY_Uls</t>
  </si>
  <si>
    <t>StabilityComp.3Y</t>
  </si>
  <si>
    <t>{{1.0, 1.0, 1.0, 1.0, 1.0},{1.0, 1.0, 1.0, 1.0, 1.0},{1.0, 1.0, 1.0, 1.0, 1.0},{1.0, 1.0, 1.0, 1.0, 1.0},{1.0, 1.0, 1.0, 1.0, 1.0},{1.0, 1.0, 1.0, 1.0, 1.0}}</t>
  </si>
  <si>
    <t>t_StCmpBlend34Trq_HwNm_u8p8[5]</t>
  </si>
  <si>
    <t>StCmp_t_Blend34Trq_HwNm</t>
  </si>
  <si>
    <t>StabilityComp.4X, StabilityComp.5X</t>
  </si>
  <si>
    <t>t2_StCmpBlend34TblY_Uls_u2p14[6][5]</t>
  </si>
  <si>
    <t>StCmp_t2_Blend34TblY_Uls</t>
  </si>
  <si>
    <t>StabilityComp.4Y</t>
  </si>
  <si>
    <t>t2_StCmpBlend04TblY_Uls_u2p14[6][5]</t>
  </si>
  <si>
    <t>StCmp_t2_Blend04TblY_Uls</t>
  </si>
  <si>
    <t>StabilityComp.5Y</t>
  </si>
  <si>
    <t>t_StCmpNFK_Str[4]</t>
  </si>
  <si>
    <t>t_StCmp_NFiltK_Str</t>
  </si>
  <si>
    <t>Table used to provide A1, A2, B0, B1, and B2 coefficients for each compensator.  Structure definition is an implementation choice and the symbol is thus not defined in the FDD.</t>
  </si>
  <si>
    <t>{{-0.2362671F,-0.6796265F,2.6297000F,-4.753113F,2.2075200F},{-0.1722412F,-0.6889648F,11.530700F,-20.35083F,8.9589230F},{-0.2362671F,-0.6796265F,2.6297000F,-4.753113F,2.2075200F},{-0.1722412F,-0.6889648F,11.530700F,-20.35083F,8.9589230F}}</t>
  </si>
  <si>
    <t>NotchFiltK_Str</t>
  </si>
  <si>
    <t>t_StCmpNFK_Str[4].A1_Uls_f32</t>
  </si>
  <si>
    <t>StCmp_t_A1_Uls</t>
  </si>
  <si>
    <t>Table used to provide A1, A2, B0, B1, and B2 coefficients for each compensator.</t>
  </si>
  <si>
    <t>{-0.2362671, -0.1722412, -0.2362671, -0.1722412}</t>
  </si>
  <si>
    <t>t_StCmpNFK_Str[4].A2_Uls_f32</t>
  </si>
  <si>
    <t>StCmp_t_A2_Uls</t>
  </si>
  <si>
    <t>Table used to provide A2 coefficient based on each compensator</t>
  </si>
  <si>
    <t>{-0.6796265, -0.6889648, -0.6796265, -0.6889648}</t>
  </si>
  <si>
    <t>t_StCmpNFK_Str[4].B0_Uls_f32</t>
  </si>
  <si>
    <t>StCmp_t_B0_Uls</t>
  </si>
  <si>
    <t>Table used to provide B0 coefficient based on each compensator</t>
  </si>
  <si>
    <t>{2.6297000, 11.530700, 2.6297000, 11.530700}</t>
  </si>
  <si>
    <t>t_StCmpNFK_Str[4].B1_Uls_f32</t>
  </si>
  <si>
    <t>StCmp_t_B1_Uls</t>
  </si>
  <si>
    <t>Table used to provide B1 coefficient based on each compensator</t>
  </si>
  <si>
    <t>{-4.753113, -20.35083, -4.753113, -20.35083}</t>
  </si>
  <si>
    <t>t_StCmpNFK_Str[4].B2_Uls_f32</t>
  </si>
  <si>
    <t>StCmp_t_B2_Uls</t>
  </si>
  <si>
    <t>Table used to provide B2 coefficient based on each compensator</t>
  </si>
  <si>
    <t>{2.2075200, 8.9589230, 2.2075200, 8.9589230}</t>
  </si>
  <si>
    <t>k_StCmpHwTrqLPFKn_Hz_f32</t>
  </si>
  <si>
    <t>StCmp_k_HwTrqLPFKn_Hz</t>
  </si>
  <si>
    <t>Low pass filter cutoff frequency for filtered handwheel torque into compensator blending lookup table</t>
  </si>
  <si>
    <t>k_StCmpSysCorrThresh_MtrNm_f32</t>
  </si>
  <si>
    <t>StCmp_k_SysCorrThresh_MtrNm</t>
  </si>
  <si>
    <t>k_StCmpCrosChkEnbl_Uls_lgc</t>
  </si>
  <si>
    <t>StCmp_k_CrosChkEnbl_Uls</t>
  </si>
  <si>
    <t>Safety crosscheck enable flag.</t>
  </si>
  <si>
    <t>k_StCmpStabCmpPstep_Cnt_u16</t>
  </si>
  <si>
    <t>StCmp_k_SysCorrPstep_Cnt</t>
  </si>
  <si>
    <t>PN Counter Cal</t>
  </si>
  <si>
    <t>Count</t>
  </si>
  <si>
    <t>k_StCmpStabCmpNstep_Cnt_u16</t>
  </si>
  <si>
    <t>StCmp_k_SysCorrNstep_Cnt</t>
  </si>
  <si>
    <t>k_StCmpStabCmpPNThresh_Cnt_u16</t>
  </si>
  <si>
    <t>StCmp_k_SysCorrPNThresh_Cnt</t>
  </si>
  <si>
    <t>k_OnStateDiag_Cnt_str</t>
  </si>
  <si>
    <t>SVDiag</t>
  </si>
  <si>
    <t>{1500, 512, 1}</t>
  </si>
  <si>
    <t>k_GateDriveDiag_Cnt_str</t>
  </si>
  <si>
    <t>k_PhsReasErrorTerm_Cnt_s16</t>
  </si>
  <si>
    <t>k_PhsReasErrorTerm</t>
  </si>
  <si>
    <t>Known divergence between measured and expected</t>
  </si>
  <si>
    <t>k_ErrorFiltKn_Cnt_u16</t>
  </si>
  <si>
    <t>k_ErrorFiltKn</t>
  </si>
  <si>
    <t>Tau of error filter</t>
  </si>
  <si>
    <t>k_ErrorThresh_Cnt_u32</t>
  </si>
  <si>
    <t>k_ErrorThresh</t>
  </si>
  <si>
    <t>Error Threshold (compared to absolute sum)</t>
  </si>
  <si>
    <t>k_PhsReasEnableThresh_Cnt_u32</t>
  </si>
  <si>
    <t>k_PhsReasEnableThresh</t>
  </si>
  <si>
    <t>Threshold below which the phase reasonableness diagnostic is enabled</t>
  </si>
  <si>
    <t>k_LowResPhsReas_Cnt_str</t>
  </si>
  <si>
    <t>Fault Accumulation parameters</t>
  </si>
  <si>
    <t>{100,1,500}</t>
  </si>
  <si>
    <t>k_LowResPhsReasMaxTol_Uls_f32</t>
  </si>
  <si>
    <t>k_LowResPhsReas_MaxTol</t>
  </si>
  <si>
    <t>Maximum Tolerance factor</t>
  </si>
  <si>
    <t>k_LowResPhsReasMinTol_Uls_f32</t>
  </si>
  <si>
    <t>k_LowResPhsReas_MinTol</t>
  </si>
  <si>
    <t>Min imum Tolrance factor</t>
  </si>
  <si>
    <t>k_LRPRMtrVelDiagEnable_MtrRadpS_T_f32</t>
  </si>
  <si>
    <t>k_LowResPhsReasMtrVelDiagEnable</t>
  </si>
  <si>
    <t>Motor ve;locity required for disbale diagnostics</t>
  </si>
  <si>
    <t>k_DitherLPFKn_Cnt_u16</t>
  </si>
  <si>
    <t>Filter time constant of PWM dither frequency</t>
  </si>
  <si>
    <t>SVDrvr_CM</t>
  </si>
  <si>
    <t>k_EOCCtrlTemp_DegC_f32</t>
  </si>
  <si>
    <t>Duty_k_EOCCtrlTemp_DegC</t>
  </si>
  <si>
    <t>Default temperature cal used when there is a temperature sensor fault logged.</t>
  </si>
  <si>
    <t>ThrmDutyCycle</t>
  </si>
  <si>
    <t>SF09 ThermalDutyCycleProtection</t>
  </si>
  <si>
    <t>k_CtrlTempSlc_Cnt_lgc</t>
  </si>
  <si>
    <t>Duty_k_CtrlTempSlc_b</t>
  </si>
  <si>
    <t>Boolean for controller module temperature selection</t>
  </si>
  <si>
    <t>k_MtrPrTempSlc_Cnt_lgc</t>
  </si>
  <si>
    <t>Duty_k_MtrPrTempSlc_b</t>
  </si>
  <si>
    <t>Boolean for motor  temperature selection</t>
  </si>
  <si>
    <t>t_MultTblX_DegC_s15p0[5]</t>
  </si>
  <si>
    <t>Duty_t_MultTblX_DegC</t>
  </si>
  <si>
    <t>Independent variable - Temperature</t>
  </si>
  <si>
    <t>ThrmDutyCycle.1X, ThrmDutyCycle.2X, ThrmDutyCycle.3X, ThrmDutyCycle.4X, ThrmDutyCycle.5X, ThrmDutyCycle.6X, ThrmDutyCycle.7X, ThrmDutyCycle.8X, ThrmDutyCycle.9X, ThrmDutyCycle.10X, ThrmDutyCycle.11X, ThrmDutyCycle.12X, ThrmDutyCycle.13X, ThrmDutyCycle.14X</t>
  </si>
  <si>
    <t>{-40, 0, 83, 84, 85}</t>
  </si>
  <si>
    <t>s15p0_T</t>
  </si>
  <si>
    <t>t_Mult1NSTblY_Uls_u3p13[5]</t>
  </si>
  <si>
    <t>Duty_t_Mult1NSTblY_Uls</t>
  </si>
  <si>
    <t>Dependent variable - scale factor  for the load</t>
  </si>
  <si>
    <t>ThrmDutyCycle.1Y</t>
  </si>
  <si>
    <t>{0.0155029, 0.0155029, 0.0155029, 0.198975, 0.198975}</t>
  </si>
  <si>
    <t>t_Mult2NSTblY_Uls_u3p13[5]</t>
  </si>
  <si>
    <t>Duty_t_Mult2NSTblY_Uls</t>
  </si>
  <si>
    <t>ThrmDutyCycle.2Y</t>
  </si>
  <si>
    <t>{0.019409, 0.019409, 0.019409, 0.034302, 0.034302}</t>
  </si>
  <si>
    <t>t_Mult3NSTblY_Uls_u3p13[5]</t>
  </si>
  <si>
    <t>Duty_t_Mult3NSTblY_Uls</t>
  </si>
  <si>
    <t>ThrmDutyCycle.3Y</t>
  </si>
  <si>
    <t>{0.024292, 0.024292, 0.024292, 0.1564941, 0.1564941}</t>
  </si>
  <si>
    <t>t_Mult4NSTblY_Uls_u3p13[5]</t>
  </si>
  <si>
    <t>Duty_t_Mult4NSTblY_Uls</t>
  </si>
  <si>
    <t>ThrmDutyCycle.4Y</t>
  </si>
  <si>
    <t>{0.000122, 0.000122, 0.000122, 0.000122, 0.000122}</t>
  </si>
  <si>
    <t>t_Mult5NSTblY_Uls_u3p13[5]</t>
  </si>
  <si>
    <t>Duty_t_Mult5NSTblY_Uls</t>
  </si>
  <si>
    <t>ThrmDutyCycle.5Y</t>
  </si>
  <si>
    <t>{0.121826, 0.121826, 0.121826, 1.16394, 1.16394}</t>
  </si>
  <si>
    <t>t_Mult6NSTblY_Uls_u3p13[5]</t>
  </si>
  <si>
    <t>Duty_t_Mult6NSTblY_Uls</t>
  </si>
  <si>
    <t>ThrmDutyCycle.6Y</t>
  </si>
  <si>
    <t>t_Mult1STblY_Uls_u3p13[5]</t>
  </si>
  <si>
    <t>Duty_t_Mult1STblY_Uls</t>
  </si>
  <si>
    <t>ThrmDutyCycle.7Y</t>
  </si>
  <si>
    <t>{0.016235, 0.016235, 0.016235, 0.021973, 0.021973}</t>
  </si>
  <si>
    <t>t_Mult2STblY_Uls_u3p13[5]</t>
  </si>
  <si>
    <t>Duty_t_Mult2STblY_Uls</t>
  </si>
  <si>
    <t>ThrmDutyCycle.8Y</t>
  </si>
  <si>
    <t>{0.020386, 0.020386, 0.020386, 0.037842, 0.037842}</t>
  </si>
  <si>
    <t>t_Mult3STblY_Uls_u3p13[5]</t>
  </si>
  <si>
    <t>Duty_t_Mult3STblY_Uls</t>
  </si>
  <si>
    <t>ThrmDutyCycle.9Y</t>
  </si>
  <si>
    <t>{0.025635, 0.025635, 0.025635, 0.208374, 0.208374}</t>
  </si>
  <si>
    <t>t_Mult4STblY_Uls_u3p13[5]</t>
  </si>
  <si>
    <t>Duty_t_Mult4STblY_Uls</t>
  </si>
  <si>
    <t>ThrmDutyCycle.10Y</t>
  </si>
  <si>
    <t>t_Mult5STblY_Uls_u3p13[5]</t>
  </si>
  <si>
    <t>Duty_t_Mult5STblY_Uls</t>
  </si>
  <si>
    <t>ThrmDutyCycle.11Y</t>
  </si>
  <si>
    <t>t_Mult6STblY_Uls_u3p13[5]</t>
  </si>
  <si>
    <t>Duty_t_Mult6STblY_Uls</t>
  </si>
  <si>
    <t>ThrmDutyCycle.12Y</t>
  </si>
  <si>
    <t>t_LastTblValNS_MtrNm_u9p7[5]</t>
  </si>
  <si>
    <t>Duty_t_LastTblValNS_MtrNm</t>
  </si>
  <si>
    <t>ThrmDutyCycle.13Y</t>
  </si>
  <si>
    <t>{1, 1, 1, 0.34375, 0.34375}</t>
  </si>
  <si>
    <t>t_LastTblValS_MtrNm_u9p7[5]</t>
  </si>
  <si>
    <t>Duty_t_LastTblValS_MtrNm</t>
  </si>
  <si>
    <t>ThrmDutyCycle.14Y</t>
  </si>
  <si>
    <t>{0.96875, 0.96875, 0.96875, 0.3125, 0.3125}</t>
  </si>
  <si>
    <t>k_TrqCmdSlewDown_MtrNm_u9p7</t>
  </si>
  <si>
    <t>Duty_k_TrqCmdSlewDown_MtrNm</t>
  </si>
  <si>
    <t>Step change in torque during recovery</t>
  </si>
  <si>
    <t>k_TrqCmdSlewUp_MtrNm_u9p7</t>
  </si>
  <si>
    <t>Duty_k_TrqCmdSlewUp_MtrNm</t>
  </si>
  <si>
    <t>Step change in torque during decay</t>
  </si>
  <si>
    <t>k_SlowFltTempSlc_Cnt_lgc</t>
  </si>
  <si>
    <t>Duty_k_SlowFltTempSlc_b</t>
  </si>
  <si>
    <t>Boolean for temperature selection</t>
  </si>
  <si>
    <t>Unsigned Variable X
Number of Points:  5
X Table:  Dependent variable - Temperature</t>
  </si>
  <si>
    <t>ThrmDutyCycle.15X</t>
  </si>
  <si>
    <t>{122, 123, 125, 127}</t>
  </si>
  <si>
    <t>Unsigned Variable Y
Number of Points:  5
X Table:  Dependent variable motor torque limit in Nm</t>
  </si>
  <si>
    <t>ThrmDutyCycle.15Y</t>
  </si>
  <si>
    <t>{2.703125, 2.242188, 1.828125, 0}</t>
  </si>
  <si>
    <t>k_AbsTmpTrqSlewLmt_MtrNm_f32</t>
  </si>
  <si>
    <t>Duty_k_AbsTmpTrqSlewLmt_MtrNm</t>
  </si>
  <si>
    <t>Step change in torque during recovery and decay in the Absolute Temperature Limiting Table</t>
  </si>
  <si>
    <t>k_MultTempSlc_Cnt_lgc</t>
  </si>
  <si>
    <t>Duty_k_MultTempSlc_b</t>
  </si>
  <si>
    <t>k_AbsTempDiag_Cnt_str</t>
  </si>
  <si>
    <t>k_AbsTempDiag_Cnt_str.Threshold</t>
  </si>
  <si>
    <t>Duty_k_AbsTempDiagThresh_Cnt</t>
  </si>
  <si>
    <t>Threshold temperature for setting the absolute temperature limit flag</t>
  </si>
  <si>
    <t>k_AbsTempDiag_Cnt_str.PStep</t>
  </si>
  <si>
    <t>Duty_k_AbsTempDiagPstep_Cnt</t>
  </si>
  <si>
    <t>Positive step for the absolute temperature limit flag set count down</t>
  </si>
  <si>
    <t>k_AbsTempDiag_Cnt_str.NStep</t>
  </si>
  <si>
    <t>Duty_k_AbsTempDiagNstep_Cnt</t>
  </si>
  <si>
    <t>Positive step for the absolute temperature limit flag clear count down</t>
  </si>
  <si>
    <t>k_DutyCycFltTrshld_Uls_u16p0</t>
  </si>
  <si>
    <t>Duty_k_DutyCycFltTrshld_Uls</t>
  </si>
  <si>
    <t>Calibration defining the threshold to set or clear the thermal limit flag</t>
  </si>
  <si>
    <t>t_ThrmLoadLmtTblX_Uls_u16p0[8]</t>
  </si>
  <si>
    <t>Duty_k_ThrmLoadLmtTblX_Cnt</t>
  </si>
  <si>
    <t>ThrmDutyCycle.17X</t>
  </si>
  <si>
    <t>{0, 76, 80, 84, 88, 92, 96, 100}</t>
  </si>
  <si>
    <t>t_ThrmLoadLmtTblY_MtrNm_u9p7[8]</t>
  </si>
  <si>
    <t>Duty_k_ThrmLoadLmtTblY_MtrNm</t>
  </si>
  <si>
    <t>ThrmDutyCycle.17Y</t>
  </si>
  <si>
    <t>{2.703125, 2.703125, 2.703125, 2.703125, 2.242188, 1.828125, 1.414063, 1}</t>
  </si>
  <si>
    <t>k_DefaultIgnOffTime_Sec_f32</t>
  </si>
  <si>
    <t>k_TmprlMonPstepNstep_Cnt_str.Threshold</t>
  </si>
  <si>
    <t>k_TMFRunDiag.Threshold</t>
  </si>
  <si>
    <t>TmprlMon</t>
  </si>
  <si>
    <t>k_TmprlMonPstepNstep_Cnt_str.Pstep</t>
  </si>
  <si>
    <t>k_TMFRunDiag.Pstep</t>
  </si>
  <si>
    <t>k_TmprlMonPstepNstep_Cnt_str.Nstep</t>
  </si>
  <si>
    <t>k_TMFRunDiag.Nstep</t>
  </si>
  <si>
    <t>k_TmprlMonPstepNstep_Cnt_str</t>
  </si>
  <si>
    <t>{20,10,5}</t>
  </si>
  <si>
    <t>k_FlashECCDiag_Cnt_str</t>
  </si>
  <si>
    <t>TMS570_uDiag</t>
  </si>
  <si>
    <t>{100, 5, 1}</t>
  </si>
  <si>
    <t>k_FlashECCDiag_Cnt_str.PStep</t>
  </si>
  <si>
    <t>k_FlashECCDiag_Cnt_str.NStep</t>
  </si>
  <si>
    <t>k_FlashECCDiag_Cnt_str.Threshold</t>
  </si>
  <si>
    <t>k_RAMECCDiag_Cnt_str</t>
  </si>
  <si>
    <t>k_RAMECCDiag_Cnt_str.PStep</t>
  </si>
  <si>
    <t>k_RAMECCDiag_Cnt_str.NStep</t>
  </si>
  <si>
    <t>k_RAMECCDiag_Cnt_str.Threshold</t>
  </si>
  <si>
    <t>k_MtrCtrlMinCount_Cnt_u16</t>
  </si>
  <si>
    <t>k_MtrCtrlMaxCount_Cnt_u16</t>
  </si>
  <si>
    <t>k_OneMsLoopMinCount_Cnt_u16</t>
  </si>
  <si>
    <t>k_OneMsLoopMaxCount_Cnt_u16</t>
  </si>
  <si>
    <t>k_VIMParErrThrsh_Cnt_u16</t>
  </si>
  <si>
    <t>TqRsDg</t>
  </si>
  <si>
    <t>Low pass filter cutoff frequency applied to Abs(Mtr Volt Cmd error).  When filter output crosses a threshold, P/N counter begins counting upward</t>
  </si>
  <si>
    <t>k_TunSelHwTrqLPFKn_Hz_f32</t>
  </si>
  <si>
    <t>TunSel_k_HwTrqLPFKn_Hz</t>
  </si>
  <si>
    <t>Low pass filter cutoff frequency</t>
  </si>
  <si>
    <t>TuningSelAuth</t>
  </si>
  <si>
    <t>k_TunSelHwTrqThresh_HwNm_f32</t>
  </si>
  <si>
    <t>TunSel_k_HwTrqThresh_HwNm</t>
  </si>
  <si>
    <t>Handwheel torque threshold value</t>
  </si>
  <si>
    <t>k_TunSelVehSpdThresh_Kph_f32</t>
  </si>
  <si>
    <t>TunsSel_k_VehSpdThresh_Kph</t>
  </si>
  <si>
    <t>Vehicle speed threshold value</t>
  </si>
  <si>
    <t>k_PosMaxOfstOne_HwDeg_u12p4</t>
  </si>
  <si>
    <t>VSpdLim_k_PosMaxOfstOne_HwDeg</t>
  </si>
  <si>
    <t>VehSpdLmt</t>
  </si>
  <si>
    <t>k_PosMaxOfstTwo_HwDeg_u12p4</t>
  </si>
  <si>
    <t>VSpdLim_k_PosMaxOfstTwo_HwDeg</t>
  </si>
  <si>
    <t>t_MaxAsstTblX_Kph_u9p7[5]</t>
  </si>
  <si>
    <t>VSpdLim_t_MaxAsstIndpt_kph</t>
  </si>
  <si>
    <t>VehSpdLmt.1X</t>
  </si>
  <si>
    <t>0, 25, 50, 65, 75</t>
  </si>
  <si>
    <t>t_MaxAsstTblY_MtrNm_u5p11[5]</t>
  </si>
  <si>
    <t>VSpdLim_t_MaxAsstDpnt_MtrNm</t>
  </si>
  <si>
    <t>VehSpdLmt.1Y</t>
  </si>
  <si>
    <t>8.8,8.8,8.8,8.8,8.8</t>
  </si>
  <si>
    <t>Single Precision Float</t>
  </si>
  <si>
    <t>Deg</t>
  </si>
  <si>
    <t>Torque_Cmd_CRF</t>
  </si>
  <si>
    <t>CRFMtrVel_MtrRadpS_f32</t>
  </si>
  <si>
    <t>Motor_Vel_CRF</t>
  </si>
  <si>
    <t>DiagStsHwPosDis_Cnt_lgc</t>
  </si>
  <si>
    <t>N/A</t>
  </si>
  <si>
    <t>HwTrq_HwNm_f32</t>
  </si>
  <si>
    <t>VehicleSpeedValid_Cnt_lgc</t>
  </si>
  <si>
    <t>Vehicle_Speed_Valid</t>
  </si>
  <si>
    <t>VehicleSpeed_Kph_f32</t>
  </si>
  <si>
    <t>Vehicle_Speed</t>
  </si>
  <si>
    <t>HwPosAuthority_Uls_f32</t>
  </si>
  <si>
    <t>Handwheel_Authority</t>
  </si>
  <si>
    <t>HwPos_HwDeg_f32</t>
  </si>
  <si>
    <t>Handwheel_Position</t>
  </si>
  <si>
    <t>Compl_Error</t>
  </si>
  <si>
    <t>Rel_HwPos</t>
  </si>
  <si>
    <t>n/a</t>
  </si>
  <si>
    <t>HwTorque_HwNm_f32</t>
  </si>
  <si>
    <t>Hw_Torque</t>
  </si>
  <si>
    <t>Handwheel torque measured input, Nm</t>
  </si>
  <si>
    <t>HandwheelPosition_HwDeg_f32</t>
  </si>
  <si>
    <t>Absolute handwheel position, HwDeg</t>
  </si>
  <si>
    <t>HandwheelAuthority_Uls_f32</t>
  </si>
  <si>
    <t>Authority signal for handwheel position, value of 0 to 1, 1= full authority</t>
  </si>
  <si>
    <t>Vehicle speed from serial communications bus, Kph</t>
  </si>
  <si>
    <t>ActivePull.1I</t>
  </si>
  <si>
    <t>Validity signal for vehicle speed, to determine if we are operating at default vehicle speed</t>
  </si>
  <si>
    <t>HandwheelVelocity_HwRadpS_f32</t>
  </si>
  <si>
    <t>Handwheel_Velocity</t>
  </si>
  <si>
    <t>Handwheel velocity signal, handwheel degrees per second</t>
  </si>
  <si>
    <t>SrlComYawRate_DegpS_f32</t>
  </si>
  <si>
    <t>SrlCom_YawRate</t>
  </si>
  <si>
    <t>Yaw Rate signal from vehicle yaw rate sensor or inertial measurement unit. Lat Accel could be used instead if desired.</t>
  </si>
  <si>
    <t>VehicleSpeedRate_KphpS_f32</t>
  </si>
  <si>
    <t>Vehicle_Speed_Rate</t>
  </si>
  <si>
    <t>Rate of change of vehicle speed, Kph per second</t>
  </si>
  <si>
    <t>DisableLearning_Cnt_lgc</t>
  </si>
  <si>
    <t>PlCmp_DisableLearning</t>
  </si>
  <si>
    <t>Signal to temporarily disable the pull comp learning, without resetting learned compensation values or changing output</t>
  </si>
  <si>
    <t>DisableOutput_Cnt_lgc</t>
  </si>
  <si>
    <t>PlCmp_DisableOutput</t>
  </si>
  <si>
    <t>Signal to temporarily disable the pull comp output, without resetting learned compensation values or stopping the algorithm from learning if learning is otherwise enabled</t>
  </si>
  <si>
    <t>PullCompCmd_MtrNm_f32</t>
  </si>
  <si>
    <t>PullComp_Cmd</t>
  </si>
  <si>
    <t xml:space="preserve">Compensation command in MtrNm </t>
  </si>
  <si>
    <t>DecGain_Uls_M_f32</t>
  </si>
  <si>
    <t>Dec_Gain</t>
  </si>
  <si>
    <t>IncGain_Uls_M_f32</t>
  </si>
  <si>
    <t>Inc_Gain</t>
  </si>
  <si>
    <t>LTIntGain_Uls_M_f32</t>
  </si>
  <si>
    <t>LT_Int_Gain</t>
  </si>
  <si>
    <t>LTWindUpLimit_HwNm_M_f32</t>
  </si>
  <si>
    <t>Pos_WindUpLimit</t>
  </si>
  <si>
    <t>STStepSize_HwNm_M_f32</t>
  </si>
  <si>
    <t>step size</t>
  </si>
  <si>
    <t>PullCompStepSize_HwNm_M_f32</t>
  </si>
  <si>
    <t>Slew Rate</t>
  </si>
  <si>
    <t>ResetPer1_Cnt_M_lgc</t>
  </si>
  <si>
    <t>Reset_Svc</t>
  </si>
  <si>
    <t>ResetPer2_Cnt_M_lgc</t>
  </si>
  <si>
    <t>ResetPer3_Cnt_M_lgc</t>
  </si>
  <si>
    <t>EnableTime_mS_M_u32</t>
  </si>
  <si>
    <t>EnableLearn_Cnt_M_lgc</t>
  </si>
  <si>
    <t>PlCmp_EnableLearn</t>
  </si>
  <si>
    <t>STComp_HwNm_M_f32</t>
  </si>
  <si>
    <t>ST_Comp</t>
  </si>
  <si>
    <t>STOppSignTime_mS_M_u32</t>
  </si>
  <si>
    <t>PullCompCmd_HwNm_M_f32</t>
  </si>
  <si>
    <t>LTComp_HwNm_M_f32</t>
  </si>
  <si>
    <t>LT_Comp</t>
  </si>
  <si>
    <t>SComLTComp_HwNm_M_f32</t>
  </si>
  <si>
    <t>SComLTCompSet_Cnt_M_lgc</t>
  </si>
  <si>
    <t>SComSTComp_HwNm_M_f32</t>
  </si>
  <si>
    <t>SComSTCompSet_Cnt_M_lgc</t>
  </si>
  <si>
    <t>PrevLTLearnTime_Min_M_u16</t>
  </si>
  <si>
    <t>PrevSTLearnTimeInc_Sec_M_u12p4</t>
  </si>
  <si>
    <t>u12p4</t>
  </si>
  <si>
    <t>PrevSTLearnTimeDec_Sec_M_u12p4</t>
  </si>
  <si>
    <t>HwTrqFilt_HwNm_D_f32</t>
  </si>
  <si>
    <t>PlCmp_HwTrqFilt</t>
  </si>
  <si>
    <t>YawRateFilt_DegpS_D_f32</t>
  </si>
  <si>
    <t>PlCmp_YawRateFilt</t>
  </si>
  <si>
    <t>STError_HwNm_D_f32</t>
  </si>
  <si>
    <t>PlCmp_ST_Error</t>
  </si>
  <si>
    <t>STIntGain_Uls_D_f32</t>
  </si>
  <si>
    <t>PlCmp_ST_IntGain</t>
  </si>
  <si>
    <t>STReset_Cnt_D_lgc</t>
  </si>
  <si>
    <t>PlCmp_ST_Reset</t>
  </si>
  <si>
    <t>LTError_HwNm_D_f32</t>
  </si>
  <si>
    <t>PlCmp_LT_Error</t>
  </si>
  <si>
    <t>PrevVehSpd_Kph_M_f32</t>
  </si>
  <si>
    <t>VehSpdRate_KphpS_M_f32</t>
  </si>
  <si>
    <t>HwTorqueSV_HwNm_M_Str</t>
  </si>
  <si>
    <t>LPF32KSV_Str</t>
  </si>
  <si>
    <t>CLEARED_UNSPECIFIED</t>
  </si>
  <si>
    <t>HwTorqueSV_HwNm_M_Str.K_Uls_f32</t>
  </si>
  <si>
    <t>HwTorqueSV_HwNm_M_Str.SV_Uls_f32</t>
  </si>
  <si>
    <t>HwTorqueSTSV_HwNm_M_Str</t>
  </si>
  <si>
    <t>HwTorqueSTSV_HwNm_M_Str.K_Uls_f32</t>
  </si>
  <si>
    <t>HwTorqueSTSV_HwNm_M_Str.SV_Uls_f32</t>
  </si>
  <si>
    <t>HwTorqueLTSV_HwNm_M_Str</t>
  </si>
  <si>
    <t>HwTorqueLTSV_HwNm_M_Str.K_Uls_f32</t>
  </si>
  <si>
    <t>HwTorqueLTSV_HwNm_M_Str.SV_Uls_f32</t>
  </si>
  <si>
    <t>SrlComYawRateSV_DegpS_M_Str</t>
  </si>
  <si>
    <t>SrlComYawRateSV_DegpS_M_Str.K_Uls_f32</t>
  </si>
  <si>
    <t>SrlComYawRateSV_DegpS_M_Str.SV_Uls_f32</t>
  </si>
  <si>
    <t>Handwheel torque measured input</t>
  </si>
  <si>
    <t>HwTrqHysAdd_HwNm_f32</t>
  </si>
  <si>
    <t>Hw_Torque_HysAdd</t>
  </si>
  <si>
    <t xml:space="preserve">Handwheel torque adjustment (from Hysteresis Add FDD) added to measured handwheel torque  </t>
  </si>
  <si>
    <t>ThermalAssistScl_Uls_f32</t>
  </si>
  <si>
    <t>AssistThermScalar</t>
  </si>
  <si>
    <t>Assist correction term from the duty cycle measurements to reduce assist to avoid clipping in the Duty Cycle design.</t>
  </si>
  <si>
    <t>VehSpd_Kph_f32</t>
  </si>
  <si>
    <t>Vehicle speed from serial communications bus</t>
  </si>
  <si>
    <t>Assist.1BS, Assist.2BS, Assist.3BS</t>
  </si>
  <si>
    <t>DutyCycleLevel_Cnt_f32</t>
  </si>
  <si>
    <t>DutyCycleLevel</t>
  </si>
  <si>
    <t>Multiplicative factor to be applied to assist.  Originates from the serial communication bus.</t>
  </si>
  <si>
    <t>Assist.4I</t>
  </si>
  <si>
    <t>IpTrqOvr_HwNm_f32</t>
  </si>
  <si>
    <t>IpTrqOvr_HwNm</t>
  </si>
  <si>
    <t>Handwheel torque adjustments for torque overlay (input side design)</t>
  </si>
  <si>
    <t>WIRCmdAmpBlnd_MtrNm_f32</t>
  </si>
  <si>
    <t>WIRCmdAmpBlnd</t>
  </si>
  <si>
    <t>WIR Command Amplitude for blended tuning functionality</t>
  </si>
  <si>
    <t>DftAsstTbl_Cnt_lgc</t>
  </si>
  <si>
    <t>Defeat_AsstTbl_Service</t>
  </si>
  <si>
    <t>Signal used to determine if standard tuning tables is replaced with a linear gain for testing purposes</t>
  </si>
  <si>
    <t>DwnldAsstGain_Uls_f32</t>
  </si>
  <si>
    <t>Download_AsstGain_Service</t>
  </si>
  <si>
    <t>When Defeat Service signal is ‘True’, this signal provides the gain value to use in place of standard tuning tables. The default gain value is zero, until overridden by the Download Service cal value.</t>
  </si>
  <si>
    <t>AssistDDFactor_Uls_f32</t>
  </si>
  <si>
    <t>Assist_DDFactor</t>
  </si>
  <si>
    <t>BaseAssistCmd_MtrNm_f32</t>
  </si>
  <si>
    <t>BaseAssistCmd</t>
  </si>
  <si>
    <t>Assist command from base tables – does not include hysteresis, compensation, or high frequency components</t>
  </si>
  <si>
    <t>WIRBlend_Uls_D_u2p14</t>
  </si>
  <si>
    <t>Asst_WIRBlend</t>
  </si>
  <si>
    <t>ThermalAssistScl_Uls_D_u2p14</t>
  </si>
  <si>
    <t>AsstThermScalar</t>
  </si>
  <si>
    <t>Motor torque command from SF-01 Assist</t>
  </si>
  <si>
    <t>HighFreqAssist_MtrNm_f32</t>
  </si>
  <si>
    <t>Motor torque command from either SF-28 or SF-30</t>
  </si>
  <si>
    <t>AssistFirewall.1I, AssistFirewall.2I</t>
  </si>
  <si>
    <t>HysteresisComp_MtrNm_f32</t>
  </si>
  <si>
    <t>Hysteresis_Comp</t>
  </si>
  <si>
    <t>Motor torque command from SF-12  Hysteresis Compensation</t>
  </si>
  <si>
    <t>AssistFirewall.1BS, AssistFirewall.2BS</t>
  </si>
  <si>
    <t>AsstFirewallActive_Uls_f32</t>
  </si>
  <si>
    <t>AsstFirewall_Active</t>
  </si>
  <si>
    <t>Flag that indicates whether the function is actively limiting the outgoing signal</t>
  </si>
  <si>
    <t>CombinedAssist_MtrNm_f32</t>
  </si>
  <si>
    <t>CombinedAssist</t>
  </si>
  <si>
    <t>Combined and limited motor torque commands</t>
  </si>
  <si>
    <t>UprBoundKSV_M_str</t>
  </si>
  <si>
    <t>UprBoundKSV_M_str.SV_Uls_f32</t>
  </si>
  <si>
    <t>UprBoundKSV_M_str.K_Uls_f32</t>
  </si>
  <si>
    <t>LwrBoundKSV_M_str</t>
  </si>
  <si>
    <t>LwrBoundKSV_M_str.SV_Uls_f32</t>
  </si>
  <si>
    <t>LwrBoundKSV_M_str.K_Uls_f32</t>
  </si>
  <si>
    <t>HiFreqKSV_M_str</t>
  </si>
  <si>
    <t>{{0, 0}, 0}</t>
  </si>
  <si>
    <t>HPF32KSV_Str</t>
  </si>
  <si>
    <t>HiFreqKSV_M_str.LPF_Str</t>
  </si>
  <si>
    <t>HiFreqKSV_M_str.LPF_Str.SV_Uls_f32</t>
  </si>
  <si>
    <t>HiFreqKSV_M_str.LPF_Str.K_Uls_f32</t>
  </si>
  <si>
    <t>HiFreqKSV_M_str.CF_Uls_f32</t>
  </si>
  <si>
    <t>ActiveKSV_M_str</t>
  </si>
  <si>
    <t>ActiveKSV_M_str.SV_Uls_f32</t>
  </si>
  <si>
    <t>ActiveKSV_M_str.K_Uls_f32</t>
  </si>
  <si>
    <t>ActiveRawAcc_Cnt_M_u16</t>
  </si>
  <si>
    <t>AsstFW_PNAccumulator</t>
  </si>
  <si>
    <t>PNCountStatus_Cnt_M_lgc</t>
  </si>
  <si>
    <t>AsstFW_PNCountStatus</t>
  </si>
  <si>
    <t>AsstFWUprBound_MtrNm_D_f32</t>
  </si>
  <si>
    <t>AsstFW_UprBound</t>
  </si>
  <si>
    <t>AssistFirewall.1O</t>
  </si>
  <si>
    <t>AsstFWLwrBound_MtrNm_D_f32</t>
  </si>
  <si>
    <t>AsstFW_LwrBound</t>
  </si>
  <si>
    <t>AssistFirewall.2O</t>
  </si>
  <si>
    <t>AsstFWSumInput_MtrNm_D_f32</t>
  </si>
  <si>
    <t>AsstFW_SumInput</t>
  </si>
  <si>
    <t>AsstFWLowFreqInput_MtrNm_D_f32</t>
  </si>
  <si>
    <t>AsstFW_LowFreqInput</t>
  </si>
  <si>
    <t>AsstFWLowFreqLimited_MtrNm_D_f32</t>
  </si>
  <si>
    <t>AsstFW_LowFreqLimited</t>
  </si>
  <si>
    <t>AsstFWActiveRaw_Uls_D_f32</t>
  </si>
  <si>
    <t>AsstFW_ActiveRaw</t>
  </si>
  <si>
    <t>AsstFWUprBoundFilt_MtrNm_D_f32</t>
  </si>
  <si>
    <t>AsstFW_UprBoundFilt</t>
  </si>
  <si>
    <t>AsstFWLwrBoundFilt_MtrNm_D_f32</t>
  </si>
  <si>
    <t>AsstFW_LwrBoundFilt</t>
  </si>
  <si>
    <t>CombAsstSV_MtrNm_M_f32</t>
  </si>
  <si>
    <t>CombAsstSV</t>
  </si>
  <si>
    <t>AsstFWOverBound_Cnt_D_lgc</t>
  </si>
  <si>
    <t>AsstFW_OverBound</t>
  </si>
  <si>
    <t>AsstReducedPerfSV_Cnt_M_lgc</t>
  </si>
  <si>
    <t>AsstFW_ReducedPerf</t>
  </si>
  <si>
    <t>Defeat_AsstTbl_Service_Cnt_lgc</t>
  </si>
  <si>
    <t>Defeat_Return_Svc</t>
  </si>
  <si>
    <t>MEC_Counter_Cnt_enum</t>
  </si>
  <si>
    <t>MEC_Counter</t>
  </si>
  <si>
    <t>MEC Counter                          0 - ProductionMode                1 - ManufacturingMode             2 - EngineeringMode</t>
  </si>
  <si>
    <t>ManufModeType</t>
  </si>
  <si>
    <t>AssistCmd_MtrNm_f32</t>
  </si>
  <si>
    <t>Assist_Cmd</t>
  </si>
  <si>
    <t>Output assist command from Stability Compensation</t>
  </si>
  <si>
    <t>AssistEOTDamping_MtrNm_f32</t>
  </si>
  <si>
    <t>Assist_EOTDamping</t>
  </si>
  <si>
    <t>indicates the damping command from End of Travel soft Stop</t>
  </si>
  <si>
    <t>AssistEOTGain_Uls_f32</t>
  </si>
  <si>
    <t>Assist_EOTGain</t>
  </si>
  <si>
    <t>indicates the gain command from End of Travel Soft Stop</t>
  </si>
  <si>
    <t>AssistEOTLimit_MtrNm_f32</t>
  </si>
  <si>
    <t>Assist_EOTLimit</t>
  </si>
  <si>
    <t>an assist limit based on end of travel conditions</t>
  </si>
  <si>
    <t>AssistStallLimit_MtrNm_f32</t>
  </si>
  <si>
    <t>Assist_StallLimit</t>
  </si>
  <si>
    <t>an assist limit based on high torque levels at low motor speeds</t>
  </si>
  <si>
    <t>AssistVehSpdLimit_MtrNm_f32</t>
  </si>
  <si>
    <t>Assist_VehSpdLimit</t>
  </si>
  <si>
    <t>an assist limiting level based on vehicle speed</t>
  </si>
  <si>
    <t>CombinedDamping_MtrNm_f32</t>
  </si>
  <si>
    <t>CombinedDamping</t>
  </si>
  <si>
    <t>Combined and limited damping path command</t>
  </si>
  <si>
    <t>DefeatLimitService_Cnt_lgc</t>
  </si>
  <si>
    <t>Defeat Limit Service</t>
  </si>
  <si>
    <t>allows all limiting to be defeated</t>
  </si>
  <si>
    <t>LimitedReturn_MtrNm_f32</t>
  </si>
  <si>
    <t>LimitedReturn</t>
  </si>
  <si>
    <t>Return to Center assist torque</t>
  </si>
  <si>
    <t>LrnPnCtrCCDisable_Cnt_lgc</t>
  </si>
  <si>
    <t>LrnPnCtr_CC_Disable</t>
  </si>
  <si>
    <t>The output signal from Lk-to-Lk safety monitor function</t>
  </si>
  <si>
    <t>LrnPnCtrEnable_Cnt_lgc</t>
  </si>
  <si>
    <t>LrnPnCntr_Enable</t>
  </si>
  <si>
    <t>Flag to indicate that the Learn Pinion Center function should be active</t>
  </si>
  <si>
    <t>LrnPnCtrTCmd_MtrNm_f32</t>
  </si>
  <si>
    <t>LrnPnCntr_T_Cmd</t>
  </si>
  <si>
    <t>Motor torque command required to implement Learn Pinion Center</t>
  </si>
  <si>
    <t>OpTrqOvr_MtrNm_f32</t>
  </si>
  <si>
    <t>OpTrqOver_MtrNm</t>
  </si>
  <si>
    <t>Torque overlay command</t>
  </si>
  <si>
    <t>OutputRampMult_Uls_f32</t>
  </si>
  <si>
    <t>OutputRampMult</t>
  </si>
  <si>
    <t>Ramp control from State Output Control</t>
  </si>
  <si>
    <t>PosServCCDisable_Cnt_lgc</t>
  </si>
  <si>
    <t>PosServ_CC_Disable</t>
  </si>
  <si>
    <t>The output signal from thePMA/position based Mfg Services safety monitor function</t>
  </si>
  <si>
    <t>PowerLimitPerc_Uls_f32</t>
  </si>
  <si>
    <t>PowerLimitPerc</t>
  </si>
  <si>
    <t>indicates the amount of limiting (in percent) based on customer limiting needs</t>
  </si>
  <si>
    <t>PrkAssistCmd_MtrNm_f32</t>
  </si>
  <si>
    <t>PrkAssist_Cmd</t>
  </si>
  <si>
    <t>Command used to control the EPS output for parking assist features</t>
  </si>
  <si>
    <t>Command used to provide long term correction for small vehicle pulls and leads</t>
  </si>
  <si>
    <t>ThermalLimitPerc_Uls_f32</t>
  </si>
  <si>
    <t>ThermalLimitPerc</t>
  </si>
  <si>
    <t>indicates the amount of limiting (in percent) from the Thermal Duty Cycle design</t>
  </si>
  <si>
    <t>ThermalLimit_MtrNm_f32</t>
  </si>
  <si>
    <t>Thermal_Limit</t>
  </si>
  <si>
    <t>an assist limit based on the thermal duty cycle performance</t>
  </si>
  <si>
    <t>Vehicle Speed</t>
  </si>
  <si>
    <t>WheelImbalanceCmd_MtrNm_f32</t>
  </si>
  <si>
    <t>WheelImbalance_Cmd</t>
  </si>
  <si>
    <t>Command used to control the EPS output for wheel imbalances</t>
  </si>
  <si>
    <t>LimitPercentFiltered_Uls_f32</t>
  </si>
  <si>
    <t>Limit Percent Filtered</t>
  </si>
  <si>
    <t>identifies the amount of limiting</t>
  </si>
  <si>
    <t>SumLimTrqCmd_MtrNm_f32</t>
  </si>
  <si>
    <t>SumLimTrqCmd_MtrNm</t>
  </si>
  <si>
    <t>Signal with some limiting – used for power limiting algorithm</t>
  </si>
  <si>
    <t>PreLimitForStall_MtrNm_f32</t>
  </si>
  <si>
    <t>PreLimit_ForStall</t>
  </si>
  <si>
    <t>Signal with some limiting – used for stall algorithm</t>
  </si>
  <si>
    <t>PreLimitTorque_MtrNm_f32</t>
  </si>
  <si>
    <t>PreLimitTorque</t>
  </si>
  <si>
    <t>final summation of all torque command signals prior to any limiting</t>
  </si>
  <si>
    <t>Manual Torque Command</t>
  </si>
  <si>
    <t>Manual Torque Command Enable</t>
  </si>
  <si>
    <t>DefeatFricLearning</t>
  </si>
  <si>
    <t>Average Friction Learning Defeat</t>
  </si>
  <si>
    <t>HwAng_HwDeg_f32</t>
  </si>
  <si>
    <t>HwAng</t>
  </si>
  <si>
    <t>Handwheel angle measured input</t>
  </si>
  <si>
    <t>HwPosAuthority</t>
  </si>
  <si>
    <t>EPS variable for the handwheel angle measurement authority</t>
  </si>
  <si>
    <t>EPS hand wheel torque measured input</t>
  </si>
  <si>
    <t>HwVel_HwRadpS_f32</t>
  </si>
  <si>
    <t>HwVel</t>
  </si>
  <si>
    <t>Handwheel velocity measured input</t>
  </si>
  <si>
    <t>LatAcc_g_f32</t>
  </si>
  <si>
    <t>LatAcc</t>
  </si>
  <si>
    <t>Lateral acceleration either from the vehicle bus or from the internal vehicle model</t>
  </si>
  <si>
    <t>g</t>
  </si>
  <si>
    <t>CRFMtrTrq_MtrNm_f32</t>
  </si>
  <si>
    <t>MtrTrq</t>
  </si>
  <si>
    <t>EPS motor torque command</t>
  </si>
  <si>
    <t>Temperature_DegC_f32</t>
  </si>
  <si>
    <t>Temperature</t>
  </si>
  <si>
    <t>EPS temperature measured input</t>
  </si>
  <si>
    <t>UseDefaultVehSpd</t>
  </si>
  <si>
    <t>EPS flag variable to indicate if the default vehicle speed is used</t>
  </si>
  <si>
    <t>VehSpd</t>
  </si>
  <si>
    <t>Vehicle speed from the vehicle bus</t>
  </si>
  <si>
    <t>EstFric_HwNm_f32</t>
  </si>
  <si>
    <t>FricLrn_EstFric_HwNm</t>
  </si>
  <si>
    <t>Row estimated average friction for the latest  vehicle speed range</t>
  </si>
  <si>
    <t>FricOffset_HwNm_f32</t>
  </si>
  <si>
    <t>FricLrn_FricOffset_HwNm</t>
  </si>
  <si>
    <t>Detected average friction changes from the baseline friction</t>
  </si>
  <si>
    <t>SatEstFric_HwNm_f32</t>
  </si>
  <si>
    <t>FricLrn_SatEstFric_HwNm</t>
  </si>
  <si>
    <t>Saturated estimated average friction for the latest vehicle speed range</t>
  </si>
  <si>
    <t>FricLrn_FiltAvg</t>
  </si>
  <si>
    <t>FricLrn_SatAvg</t>
  </si>
  <si>
    <t>VehBaselineFric</t>
  </si>
  <si>
    <t>{0, 0, 0, 0, 0, 0, 0, 0, 0, 0, 0, 0}</t>
  </si>
  <si>
    <t>{0, 0, 0, 0, 0, 0}</t>
  </si>
  <si>
    <t>AvgFricSV</t>
  </si>
  <si>
    <t>AvgFricChgSV</t>
  </si>
  <si>
    <t>DefeatFricOffsetOutput_lgc</t>
  </si>
  <si>
    <t>FricLrn_RawAvg</t>
  </si>
  <si>
    <t>Rte_Pim_AvgFricLrnData.FricOffset_HwNm_f32</t>
  </si>
  <si>
    <t>FricOffset_HwNm</t>
  </si>
  <si>
    <t>Rte_Pim_AvgFricLrnData.VehLearnedFric_HwNm_f32[4]</t>
  </si>
  <si>
    <t>VehLearnedFric</t>
  </si>
  <si>
    <t>Rte_Pim_AvgFricLrnData.Theta_HwNm_f32[8][4]</t>
  </si>
  <si>
    <t>FricLrn_theta</t>
  </si>
  <si>
    <t>Rte_Pim_AvgFricLrnData.RangeCounter_Cnt_u16[8][3]</t>
  </si>
  <si>
    <t>RangeCounter</t>
  </si>
  <si>
    <t>Rte_Pim_AvgFricLrnData.OpMode_Cnt_enum</t>
  </si>
  <si>
    <t>FricLrn_e_OpMode_Uls</t>
  </si>
  <si>
    <t>Rte_Pim_AvgFricLrnData.EOLFric_HwNm_f32</t>
  </si>
  <si>
    <t>EOLFric_HwNm</t>
  </si>
  <si>
    <t>NwNm</t>
  </si>
  <si>
    <t>Rte_Pim_AvgFricLrnData.EnableFricLearning_Cnt_lgc</t>
  </si>
  <si>
    <t>EnableFricLearning_lgc</t>
  </si>
  <si>
    <t>Rte_Pim_AvgFricLrnData.EnableFricOffsetOutput_Cnt_lgc</t>
  </si>
  <si>
    <t>EnableFricOffsetOutput_lgc</t>
  </si>
  <si>
    <t>Batt_Batt_V_f32</t>
  </si>
  <si>
    <t>Vbatt</t>
  </si>
  <si>
    <t>Battery Voltage</t>
  </si>
  <si>
    <t>BattSwitched_V_f32</t>
  </si>
  <si>
    <t>Vswitched</t>
  </si>
  <si>
    <t>Switched Battery Voltage</t>
  </si>
  <si>
    <t>VswitchClosed_Cnt_lgc</t>
  </si>
  <si>
    <t>VSswitchClosed</t>
  </si>
  <si>
    <t>Switch open/closed status</t>
  </si>
  <si>
    <t>Vecu_Volts_f32</t>
  </si>
  <si>
    <t>Vecu</t>
  </si>
  <si>
    <t>Calculated Controller input voltage</t>
  </si>
  <si>
    <t>SysC_Vswitch_BattSwitched_V_f32</t>
  </si>
  <si>
    <t>SysC_Vswitch_ADC</t>
  </si>
  <si>
    <t>SysC_Vecu_Volt_f32</t>
  </si>
  <si>
    <t>SysC_Vecu</t>
  </si>
  <si>
    <t>SysCVecu_Volts_M_f32</t>
  </si>
  <si>
    <t>Vecu_Volts_M_f32</t>
  </si>
  <si>
    <t>VswitchClosed_Cnt_M_lgc</t>
  </si>
  <si>
    <t>VswitchCorrLimDiff_Volts_D_f32</t>
  </si>
  <si>
    <t>Vswitch_CorrLim_Diff</t>
  </si>
  <si>
    <t>VecuVbatCorrLimDiff_Volts_D_f32</t>
  </si>
  <si>
    <t>VecuVbat_CorrLim_Diff</t>
  </si>
  <si>
    <t>VswitchCorrErrAcc_Cnt_M_u16</t>
  </si>
  <si>
    <t>Vswitch_CorrError_Acc</t>
  </si>
  <si>
    <t>VecuVbatCorrErrAcc_Cnt_M_u16</t>
  </si>
  <si>
    <t>VecuVbat_CorrError_Acc</t>
  </si>
  <si>
    <t>Batt_Volt_f32</t>
  </si>
  <si>
    <t>Low Set Init</t>
  </si>
  <si>
    <t>u32p0</t>
  </si>
  <si>
    <t>Low Clr Init</t>
  </si>
  <si>
    <t>Ov Set Init</t>
  </si>
  <si>
    <t>Ov Clr Init</t>
  </si>
  <si>
    <t>ADCMtrCurr1_Volt_f32</t>
  </si>
  <si>
    <t>ADC_MtrCurr1_Volts</t>
  </si>
  <si>
    <t>Unknown</t>
  </si>
  <si>
    <t>single precision float</t>
  </si>
  <si>
    <t>ADCMtrCurr2_Volt_f32</t>
  </si>
  <si>
    <t>ADC_MtrCurr2_Volts</t>
  </si>
  <si>
    <t>MtrVel_MtrRadpS_f32</t>
  </si>
  <si>
    <t>FiltCntrlTemp_DegC_f32</t>
  </si>
  <si>
    <t>MtrCurrAngle_Rev_f32</t>
  </si>
  <si>
    <t>Alpha</t>
  </si>
  <si>
    <t>MtrCurrQax_Amps_f32</t>
  </si>
  <si>
    <t>MtrCurrQax_Amps</t>
  </si>
  <si>
    <t>MtrCurrDax_Amps_f32</t>
  </si>
  <si>
    <t>MtrCurrDax_Amps</t>
  </si>
  <si>
    <t>Pos_Delay_Comp</t>
  </si>
  <si>
    <t>MtrCurr1_Amps</t>
  </si>
  <si>
    <t>MtrCurr2_Amps</t>
  </si>
  <si>
    <t xml:space="preserve">SumLimTrqCmd_MtrNm_f32
</t>
  </si>
  <si>
    <t>SumLimTrqCmd</t>
  </si>
  <si>
    <t>Output motor torque command after summing and limiting by the application.  This is the normal commanded torque at the output under non fault conditions.</t>
  </si>
  <si>
    <t>Motor velocity in the motor reference frame (MRF)</t>
  </si>
  <si>
    <t>DiagStsF2Active_Cnt_lgc</t>
  </si>
  <si>
    <t>Diag_Status</t>
  </si>
  <si>
    <t>AssistAssyPolarity_Cnt_s08</t>
  </si>
  <si>
    <t>sint8</t>
  </si>
  <si>
    <t>CntDisMtrTrqCmdCRF_MtrNm_f32</t>
  </si>
  <si>
    <t>CntDisMtrTrqCmdMRF_MtrNm_f32</t>
  </si>
  <si>
    <t>Torque_Cmd_MRF</t>
  </si>
  <si>
    <t>CtrldDmpStsCmp_Cnt_lgc</t>
  </si>
  <si>
    <t>Controlled_Damp_Status_Complete</t>
  </si>
  <si>
    <t>CntrlDampVelTrq_MtrNm_D_f32</t>
  </si>
  <si>
    <t>CntrlDamp_VelTrq</t>
  </si>
  <si>
    <t>CntrlDampElpsdTime_mS_D_u16</t>
  </si>
  <si>
    <t>ElapsedTime</t>
  </si>
  <si>
    <t>LastF2Fault_mS_M_u32</t>
  </si>
  <si>
    <t>CntrlDampTrq_MtrNm_D_f32</t>
  </si>
  <si>
    <t>CntrlDampTrq</t>
  </si>
  <si>
    <t>SysC_CRFMtrTrqCmd_MtrNm_f32</t>
  </si>
  <si>
    <t>CntDisMtrTrqCmd_CRF</t>
  </si>
  <si>
    <t>SysC_MRFMtrTrqCmd_MtrNm_f32</t>
  </si>
  <si>
    <t>TemperatureADC_Volt_f32</t>
  </si>
  <si>
    <t>Temperature_ADC</t>
  </si>
  <si>
    <t>Single Precision Floating Point</t>
  </si>
  <si>
    <t>DiagStsTempRdPrf_Cnt_lgc</t>
  </si>
  <si>
    <t>Temp_Red_Perf</t>
  </si>
  <si>
    <t>FiltMeasTemp_DegC_f32</t>
  </si>
  <si>
    <t>Filt_Meas_Temp</t>
  </si>
  <si>
    <t>Full</t>
  </si>
  <si>
    <t>Temp_Filter_Output</t>
  </si>
  <si>
    <t>Vecu_Volt_f32</t>
  </si>
  <si>
    <t>MtrCurrQaxRef_Amps_f32</t>
  </si>
  <si>
    <t>ModIdx_Uls_T_f32</t>
  </si>
  <si>
    <t>Modulation_Index</t>
  </si>
  <si>
    <t>AssistMechTempEst_DegC_f32</t>
  </si>
  <si>
    <t>Assist_Mech_Temp_Est</t>
  </si>
  <si>
    <t>Damping.1I</t>
  </si>
  <si>
    <t>MotorVelCRF_MtrRadpS_f32</t>
  </si>
  <si>
    <t>DampingDDFactor_Uls_f32</t>
  </si>
  <si>
    <t>Damping DD Factor</t>
  </si>
  <si>
    <t>DefeatDampingSvc_Cnt_lgc</t>
  </si>
  <si>
    <t>Defeat_Damping_Svc</t>
  </si>
  <si>
    <t>DampingCmd_MtrNm_f32</t>
  </si>
  <si>
    <t>DampingCmd</t>
  </si>
  <si>
    <t>QDDHwTorqueLPFKSV_Cnt_M_str</t>
  </si>
  <si>
    <t>QDDHwTorqueLPFKSV_Cnt_M_str.SV_Uls_f32</t>
  </si>
  <si>
    <t>QDDHwTorqueLPFKSV_Cnt_M_str.K_Uls_f32</t>
  </si>
  <si>
    <t>QDDMtrVelLPFKSV_Cnt_M_str</t>
  </si>
  <si>
    <t>QDDMtrVelLPFKSV_Cnt_M_str.SV_Uls_f32</t>
  </si>
  <si>
    <t>QDDMtrVelLPFKSV_Cnt_M_str.K_Uls_f32</t>
  </si>
  <si>
    <t>QDDStFilt_Cnt_M_str</t>
  </si>
  <si>
    <t>QDDStFilt_Cnt_M_str.SV_Uls_f32</t>
  </si>
  <si>
    <t>QDDStFilt_Cnt_M_str.K_Uls_f32</t>
  </si>
  <si>
    <t>MtrVelLPFKSV_Cnt_M_str</t>
  </si>
  <si>
    <t>MtrVelLPFKSV_Cnt_M_str.SV_Uls_f32</t>
  </si>
  <si>
    <t>MtrVelLPFKSV_Cnt_M_str.K_Uls_f32</t>
  </si>
  <si>
    <t>QDDHwTrqBkLash_HwNm_M_f32</t>
  </si>
  <si>
    <t>Damp_QDDHwTrqBkLash</t>
  </si>
  <si>
    <t>QDDMtrVelBckLash_MtrRadpS_M_f32</t>
  </si>
  <si>
    <t>Damp_QDDMtrVelBkLash</t>
  </si>
  <si>
    <t>QDDStFilt_Uls_D_f32</t>
  </si>
  <si>
    <t>Damp_QDDSfFiltO</t>
  </si>
  <si>
    <t>DampTrqScale_Uls_D_u1p15</t>
  </si>
  <si>
    <t>Damp_TrqScale</t>
  </si>
  <si>
    <t>DampTempScale_Uls_D_u4p12</t>
  </si>
  <si>
    <t>Damp_TempScale</t>
  </si>
  <si>
    <t>Damping.1O</t>
  </si>
  <si>
    <t>2^-12</t>
  </si>
  <si>
    <t>DampMtrVelDmp_MtrNm_D_f32</t>
  </si>
  <si>
    <t>Damp_MtrVelDmp</t>
  </si>
  <si>
    <t>2^-11</t>
  </si>
  <si>
    <t>DampHPSDmp_MtrNm_D_f32</t>
  </si>
  <si>
    <t>Damp_HPSDmp</t>
  </si>
  <si>
    <t>DampHPSc1_Uls_D_f32</t>
  </si>
  <si>
    <t>Damp_HPSc1</t>
  </si>
  <si>
    <t>DampHPSc2_Uls_D_f32</t>
  </si>
  <si>
    <t>Damp_HPSc2</t>
  </si>
  <si>
    <t>DampHPSc3_Uls_D_f32</t>
  </si>
  <si>
    <t>Damp_HPSc3</t>
  </si>
  <si>
    <t>DampHPSc4_Uls_D_f32</t>
  </si>
  <si>
    <t>Damp_HPSc4</t>
  </si>
  <si>
    <t>DampFWAddedDamp_MtrNm_D_f32</t>
  </si>
  <si>
    <t>DampFW_AddedDamp</t>
  </si>
  <si>
    <t>DampFWAddedDampAFW_MtrNm_D_f32</t>
  </si>
  <si>
    <t>DampFW_AddedDampAFW</t>
  </si>
  <si>
    <t>DampFWAddedDampDFW_MtrNm_D_f32</t>
  </si>
  <si>
    <t>DampFW_AddedDampDFW</t>
  </si>
  <si>
    <t>DampFWLwrBound_MtrNm_D_f32</t>
  </si>
  <si>
    <t>DampFW_LwrBound</t>
  </si>
  <si>
    <t>DampFWSatDamp_MtrNm_D_f32</t>
  </si>
  <si>
    <t>DampFW_SatDamp</t>
  </si>
  <si>
    <t>DampFWUprBound_MtrNm_D_f32</t>
  </si>
  <si>
    <t>DampFW_UprBound</t>
  </si>
  <si>
    <t>AsstFW_Active</t>
  </si>
  <si>
    <t>Indicator that SF-34 Assist Firewall is actively limiting signals within its path</t>
  </si>
  <si>
    <t>Damping_Cmd</t>
  </si>
  <si>
    <t>Damping component of overall motor torque command</t>
  </si>
  <si>
    <t>InertiaComp_MtrNm_f32</t>
  </si>
  <si>
    <t>Inertia_Comp</t>
  </si>
  <si>
    <t>Inertia compensation and frequency-dependent damping motor torque command</t>
  </si>
  <si>
    <t>MtrVelCRF_MtrRadpS_f32</t>
  </si>
  <si>
    <t>Mtr_Vel_CRF</t>
  </si>
  <si>
    <t>Calculated motor velocity in column reference frame</t>
  </si>
  <si>
    <t>DampingFirewall.2I, DampingFirewall.3I</t>
  </si>
  <si>
    <t>DampingFirewall.1I, DampingFirewall.2BS, DampingFirewall.3BS, DampingFirewall.5I, DampingFirewall.6I</t>
  </si>
  <si>
    <t>VehicleLonAccel_KphpS_f32</t>
  </si>
  <si>
    <t>Vehicle_LonAccel</t>
  </si>
  <si>
    <t>DampFWActiveKSV_M_str</t>
  </si>
  <si>
    <t>DampFWActiveKSV_M_str.K_Uls_f32</t>
  </si>
  <si>
    <t>DampFWActiveKSV_M_str.SV_Uls_f32</t>
  </si>
  <si>
    <t>DampFWTbarVelFiltSv_M_str</t>
  </si>
  <si>
    <t>DampFWTbarVelFiltSv_M_str.K_Uls_f32</t>
  </si>
  <si>
    <t>DampFWTbarVelFiltSv_M_str.SV_Uls_f32</t>
  </si>
  <si>
    <t>FreqDepDmpSrlComSvcDft_Cnt_lgc</t>
  </si>
  <si>
    <t>DefeatFDDService</t>
  </si>
  <si>
    <t>DampFWPrevTbarAng_HwDeg_M_s6p9</t>
  </si>
  <si>
    <t>sint32</t>
  </si>
  <si>
    <t>HwDegpSec</t>
  </si>
  <si>
    <t>s15p16_T</t>
  </si>
  <si>
    <t>DampFWPrev1SclDrvVel_MtrRadpS_M_s14p1</t>
  </si>
  <si>
    <t>RadpS</t>
  </si>
  <si>
    <t>DampFWPrev2SclDrvVel_MtrRadpS_M_s14p1</t>
  </si>
  <si>
    <t>s11p20_T</t>
  </si>
  <si>
    <t>DampFWVBICReducedPerfSV_Cnt_M_lgc</t>
  </si>
  <si>
    <t>DampFW_VBICReducedPerf</t>
  </si>
  <si>
    <t>DampFWVBICOverThresh_Cnt_D_lgc</t>
  </si>
  <si>
    <t>DampFW_VBICOverThresh</t>
  </si>
  <si>
    <t>DampFWOverBound_Cnt_D_lgc</t>
  </si>
  <si>
    <t>DampFW_DampOverBound</t>
  </si>
  <si>
    <t>InrtCmpPNAccum_Cnt_M_u16</t>
  </si>
  <si>
    <t>DampFW_VBICPNAccum</t>
  </si>
  <si>
    <t>DampPNAcc_Cnt_M_u16</t>
  </si>
  <si>
    <t>DampFW_DampPNAccum</t>
  </si>
  <si>
    <t>DampFWPNCountStatus_Cnt_M_lgc</t>
  </si>
  <si>
    <t>DampFW_DampPNStatus</t>
  </si>
  <si>
    <t>DampFWInrtCmpPNStatus_Cnt_M_lgc</t>
  </si>
  <si>
    <t>DampFWDefltDamp_MtrNm_D_f32</t>
  </si>
  <si>
    <t>DampFW_DefaultDamp</t>
  </si>
  <si>
    <t>ReducedPerfSV_Cnt_M_lgc</t>
  </si>
  <si>
    <t>DampFW_DampReducedPerf</t>
  </si>
  <si>
    <t>DampFWDiverseVBIC_MtrNm_D_f32</t>
  </si>
  <si>
    <t>DampFW_DiverseVBIC</t>
  </si>
  <si>
    <t>DampFWLimitedVBIC_MtrNm_D_f32</t>
  </si>
  <si>
    <t>DampFW_VBICLimited</t>
  </si>
  <si>
    <t>DampFWDampActive_Uls_D_f32</t>
  </si>
  <si>
    <t>DampFW_Active</t>
  </si>
  <si>
    <t>DampFW_VBICPNStatus</t>
  </si>
  <si>
    <t>LimitedDamp_MtrNm_D_f32</t>
  </si>
  <si>
    <t>LimitedDamp_MtrNm</t>
  </si>
  <si>
    <t>DriverVel_MtrRadpSec_D_s24p7</t>
  </si>
  <si>
    <t>DriverVel_MtrRadpSec</t>
  </si>
  <si>
    <t>s24p7_T</t>
  </si>
  <si>
    <t>PrevDecelGain_Uls_M_u5p11</t>
  </si>
  <si>
    <t>PrevRawDecelGain_Uls_M_u5p11</t>
  </si>
  <si>
    <t>FiltFreq_RadpS_D_s10p5</t>
  </si>
  <si>
    <t>FiltFreq_RadpS</t>
  </si>
  <si>
    <t>ScaledDriverVel_MtrRadpS_D_s14p1</t>
  </si>
  <si>
    <t>ScaledDriverVel_MtrRadpS</t>
  </si>
  <si>
    <t>OutputAtten_Uls_D_u8p8</t>
  </si>
  <si>
    <t>OutputAtten_Uls</t>
  </si>
  <si>
    <t>RawDecelGain_Uls_D_u5p11</t>
  </si>
  <si>
    <t>RawDecelGain_Uls</t>
  </si>
  <si>
    <t>DecelGain_Uls_D_u5p11</t>
  </si>
  <si>
    <t>DecelGain_Uls</t>
  </si>
  <si>
    <t>ADDCoefCalc_MtrNmSpRad_D_u0p16</t>
  </si>
  <si>
    <t>ADDCoefCalc_MtrNmSpRad</t>
  </si>
  <si>
    <t>MtrNmSpRad</t>
  </si>
  <si>
    <t>InertiaCompCalc_MtrNm_D_u9p7</t>
  </si>
  <si>
    <t>InertiaCompCalc_MtrNm</t>
  </si>
  <si>
    <t>Defeat_Damping_Svc_Cnt_lgc</t>
  </si>
  <si>
    <t>DampFWVBICErrFiltSv_M_str</t>
  </si>
  <si>
    <t>DampFWVBICErrFiltSv_M_str.K_Uls_f32</t>
  </si>
  <si>
    <t>DampFWVBICErrFiltSv_M_str.SV_Uls_f32</t>
  </si>
  <si>
    <t>PreFiltVBICError_MtrNm_D_f32</t>
  </si>
  <si>
    <t>PostFiltVBICError_MtrNm_D_f32</t>
  </si>
  <si>
    <t xml:space="preserve"> </t>
  </si>
  <si>
    <t>MtrVoltDax_Volt_f32</t>
  </si>
  <si>
    <t>MtrVoltDax_Volt</t>
  </si>
  <si>
    <t>MtrVoltQax_Volt_f32</t>
  </si>
  <si>
    <t>MtrVoltQax_Volt</t>
  </si>
  <si>
    <t xml:space="preserve">   Single Precision Floating Point</t>
  </si>
  <si>
    <t>MtrCurrDax_Amp_f32</t>
  </si>
  <si>
    <t>MtrCurrDax_Amp</t>
  </si>
  <si>
    <t>MtrCurrQax_Amp_f32</t>
  </si>
  <si>
    <t>MtrCurrQax_Amp</t>
  </si>
  <si>
    <t>ElectricPower_Watt_f32</t>
  </si>
  <si>
    <t>Electric_Power</t>
  </si>
  <si>
    <t>SupplyCurrent_Amp_f32</t>
  </si>
  <si>
    <t>Supply_Current</t>
  </si>
  <si>
    <t>Modulator Input Power</t>
  </si>
  <si>
    <t>Input Power Drop</t>
  </si>
  <si>
    <t>0.0F</t>
  </si>
  <si>
    <t>CwEOT_HwDeg_f32</t>
  </si>
  <si>
    <t>Cw_EOT</t>
  </si>
  <si>
    <t>CcwEOT_HwDeg_f32</t>
  </si>
  <si>
    <t>Ccw_EOT</t>
  </si>
  <si>
    <t>CwFound_Cnt_lgc</t>
  </si>
  <si>
    <t>Cw_Found</t>
  </si>
  <si>
    <t>CcwFound_Cnt_lgc</t>
  </si>
  <si>
    <t>Ccw_Found</t>
  </si>
  <si>
    <t>HandWheelPos_HwDeg_f32</t>
  </si>
  <si>
    <t>HandWheelAuth_Uls_f32</t>
  </si>
  <si>
    <t>CRFMotorVel_MtrRadpS_f32</t>
  </si>
  <si>
    <t>EOTDisable_Cnt_T_lgc</t>
  </si>
  <si>
    <t>EOT_Disable</t>
  </si>
  <si>
    <t>1.0F</t>
  </si>
  <si>
    <t>EotDet</t>
  </si>
  <si>
    <t>EotImpact</t>
  </si>
  <si>
    <t>EOTActuatorMng.1I</t>
  </si>
  <si>
    <t>LimitPosition</t>
  </si>
  <si>
    <t>EotEnterGain</t>
  </si>
  <si>
    <t>EotExitGain</t>
  </si>
  <si>
    <t>EotGain</t>
  </si>
  <si>
    <t>Filtered EOTGain</t>
  </si>
  <si>
    <t>EOTDamping</t>
  </si>
  <si>
    <t>Prev_EotGain</t>
  </si>
  <si>
    <t>Used to hold the value between runs of the ramp on the standard EOT</t>
  </si>
  <si>
    <t>s7p24_T</t>
  </si>
  <si>
    <t>Enum</t>
  </si>
  <si>
    <t>u1p31_T</t>
  </si>
  <si>
    <t>PWM_Duty_Cycle_A</t>
  </si>
  <si>
    <t>Number of On-Time high res NHET Counts for  phase</t>
  </si>
  <si>
    <t>PWM_Period</t>
  </si>
  <si>
    <t>Number of high res ePwm Counts for the current period</t>
  </si>
  <si>
    <t>FrqDepDmpnInrtCmp</t>
  </si>
  <si>
    <t>FrqDepDmpnInrtCmp_MtrNm_f32</t>
  </si>
  <si>
    <t>ADDCoef_MtrNmSpRad_D_f32</t>
  </si>
  <si>
    <t>ADD_Coefficient</t>
  </si>
  <si>
    <t>DriverVelocity_MtrRadpS_D_f32</t>
  </si>
  <si>
    <t>Driver Velocity</t>
  </si>
  <si>
    <t>FDDAttenOut_MtrNm_D_f32</t>
  </si>
  <si>
    <t>FDDAtten_Out</t>
  </si>
  <si>
    <t>InertiaCompCalc_MtrNm_D_f32</t>
  </si>
  <si>
    <t>[k] - signal name from model</t>
  </si>
  <si>
    <t>FiltFreqLUBlnd_RadpS_D_f32</t>
  </si>
  <si>
    <t>[w] - signal name from model</t>
  </si>
  <si>
    <t>PrevTbarAng_HwDeg_M_f32</t>
  </si>
  <si>
    <t>Prev1SclDrvVel_RadpS_M_f32</t>
  </si>
  <si>
    <t>Prev2SclDrvVel_RadpS_M_f32</t>
  </si>
  <si>
    <t>Prev1PreAttnComp_MtrNm_M_f32</t>
  </si>
  <si>
    <t>Prev2PreAttnComp_MtrNm_M_f32</t>
  </si>
  <si>
    <t>TbarVelFiltSv_M_str</t>
  </si>
  <si>
    <t>TbarVelFiltSv_M_str.K_ULS_F32</t>
  </si>
  <si>
    <t>TbarVelFiltSv_M_str.SV_ULS_F32</t>
  </si>
  <si>
    <t>TbarVelFiltVal_HwDegpSec_D_f32</t>
  </si>
  <si>
    <t>TbarVelFiltVal_HwDegpSec</t>
  </si>
  <si>
    <t>RawDecelGain_Uls_D_f32</t>
  </si>
  <si>
    <t>RawDecelGain</t>
  </si>
  <si>
    <t>PreDecelGain_Uls_M_f32</t>
  </si>
  <si>
    <t>DecelGain</t>
  </si>
  <si>
    <t>VehicleLonAccel</t>
  </si>
  <si>
    <t>Corrected_MtrPos_Rev_f32</t>
  </si>
  <si>
    <t>Gsod</t>
  </si>
  <si>
    <t>Corrected_MtrPos</t>
  </si>
  <si>
    <t>Ana_Hw_Torque_HwNm_f32</t>
  </si>
  <si>
    <t>Ana_Hw_Torque</t>
  </si>
  <si>
    <t>Torque_Cmd_CRF_MtrNm_f32</t>
  </si>
  <si>
    <t>Torque_Cmd_MRF_MtrNm_f32</t>
  </si>
  <si>
    <t>Cum_Mtr_Pos_CRF_Deg_f32</t>
  </si>
  <si>
    <t>Cum_Mtr_Pos_CRF</t>
  </si>
  <si>
    <t>MtrElecMech_Polarity_Cnt_s08</t>
  </si>
  <si>
    <t>MtrElecMech_Polarity</t>
  </si>
  <si>
    <t>SysC_Corrected_MtrPos_Rev_f32</t>
  </si>
  <si>
    <t>SysC_Corrected_MtrPos</t>
  </si>
  <si>
    <t>SysC_Ana_Hw_Torque_HwNm_f32</t>
  </si>
  <si>
    <t>SysC_Ana_Hw_Torque</t>
  </si>
  <si>
    <t>SysC_Torque_Cmd_CRF_MtrNm_f32</t>
  </si>
  <si>
    <t>SysC_Torque_Cmd_CRF</t>
  </si>
  <si>
    <t>SysC_Torque_Cmd_MRF_MtrNm_f32</t>
  </si>
  <si>
    <t>SysC_Torque_Cmd_MRF</t>
  </si>
  <si>
    <t>SysC_Cum_Mtr_Pos_CRF_Deg_f32</t>
  </si>
  <si>
    <t>SysC_Cum_Mtr_Pos_CRF</t>
  </si>
  <si>
    <t>SysC_MtrElecMech_Polarity_Cnt_s32</t>
  </si>
  <si>
    <t>SysC_MtrElecMech_Polarity</t>
  </si>
  <si>
    <t>MtrPos_OverwriteFlt_Cnt_D_lgc</t>
  </si>
  <si>
    <t>MtrPos_OverwriteFlt</t>
  </si>
  <si>
    <t>Motor Position signal overwrite fault display variable</t>
  </si>
  <si>
    <t>HwTorque_OverwriteFlt_Cnt_D_lgc</t>
  </si>
  <si>
    <t>HwTorque_OverwriteFlt</t>
  </si>
  <si>
    <t>Handwheel Torque signal overwrite fault display variable</t>
  </si>
  <si>
    <t>Vecu_OverwriteFlt_Cnt_D_lgc</t>
  </si>
  <si>
    <t>Vecu_OverwriteFlt</t>
  </si>
  <si>
    <t>Vecu  signal overwrite fault display variable</t>
  </si>
  <si>
    <t>TorqCmd_CRF_OverwriteFlt_Cnt_D_lgc</t>
  </si>
  <si>
    <t>TorqCmd_CRF_OverwriteFlt</t>
  </si>
  <si>
    <t>Torque Command CRF  signal overwrite fault display variable</t>
  </si>
  <si>
    <t>TorqCmd_MRF_OverwriteFlt_Cnt_D_lgc</t>
  </si>
  <si>
    <t>TorqCmd_MRF_OverwriteFlt</t>
  </si>
  <si>
    <t>Torque Command MRF signal overwrite fault display variable</t>
  </si>
  <si>
    <t>CumMtrPos_CRF_OverwriteFlt_Cnt_D_lgc</t>
  </si>
  <si>
    <t>CumMtrPos_CRF_OverwriteFlt</t>
  </si>
  <si>
    <t>Cummulative Motor Position signal overwrite fault display variable</t>
  </si>
  <si>
    <t>MtrElecMech_Polarity_OverwriteFlt_Cnt_D_lgc</t>
  </si>
  <si>
    <t>MtrElecMech_Polarity_OverwriteFlt</t>
  </si>
  <si>
    <t>Motor Electrical-Mechanical Polarity signal overwrite fault display variable</t>
  </si>
  <si>
    <t>VehSpdValid_Cnt_lgc</t>
  </si>
  <si>
    <t>OperRampRate_XpmS_f32</t>
  </si>
  <si>
    <t>XpmS</t>
  </si>
  <si>
    <t>OperRampValue_Uls_f32</t>
  </si>
  <si>
    <t>HighFreqAssist.1I, HighFreqAssist.2I, HighFreqAssist.4BS, HighFreqAssist.5BS, HighFreqAssist.6BS</t>
  </si>
  <si>
    <t>HighFreqAssist.4I, HighFreqAssist.5I</t>
  </si>
  <si>
    <t>HighFreqAssist.6I</t>
  </si>
  <si>
    <t>High Freq Assist</t>
  </si>
  <si>
    <t>High frequency assist component</t>
  </si>
  <si>
    <t>HwTorqueHPFKSV_Cnt_M_str</t>
  </si>
  <si>
    <t>HPF State Variable</t>
  </si>
  <si>
    <t>HwTorqueHPFKSV_Cnt_M_str.SV_Uls_f32</t>
  </si>
  <si>
    <t>HwTorqueHPFKSV_Cnt_M_str.K_Uls_f32</t>
  </si>
  <si>
    <t>HwTorqueHPFKSV_Cnt_M_str.CF_Uls_f32</t>
  </si>
  <si>
    <t>GainBlend_Uls_D_f32</t>
  </si>
  <si>
    <t>HFA_GainBlend</t>
  </si>
  <si>
    <t>GainWIRZero_MtrNmpHwNm_D_f32</t>
  </si>
  <si>
    <t>HFA_GainWIRZero</t>
  </si>
  <si>
    <t>GainVal_MtrNmpHwNm_D_f32</t>
  </si>
  <si>
    <t>HFA_GainVal</t>
  </si>
  <si>
    <t>Motor velocity in column reference frame</t>
  </si>
  <si>
    <t>The final summation of all torque command signals without limits</t>
  </si>
  <si>
    <t>DftStallLimit_Cnt_lgc</t>
  </si>
  <si>
    <t>Defeat_StallLimit_Service</t>
  </si>
  <si>
    <t>Signal used to defeat assist Stall Limit</t>
  </si>
  <si>
    <t>Limited assist torque command based on high torque levels at low motor speeds</t>
  </si>
  <si>
    <t>PrevAssistStallLimit_MtrNm_M_f32</t>
  </si>
  <si>
    <t>ModPreLimitFiltSV_MtrNm_M_u8p24</t>
  </si>
  <si>
    <t>2^-24</t>
  </si>
  <si>
    <t>u8p24_T</t>
  </si>
  <si>
    <t>ModPreLimit_MtrNm_D_u8p8</t>
  </si>
  <si>
    <t>Modified PreLimitTorque</t>
  </si>
  <si>
    <t>FiltModPreLimit_MtrNm_D_u8p8</t>
  </si>
  <si>
    <t>Filtered Modified PreLimitTorque</t>
  </si>
  <si>
    <t>HiLoadStall.1I</t>
  </si>
  <si>
    <t>StallLimit_MtrNm_D_u8p8</t>
  </si>
  <si>
    <t>StallThrmLmt</t>
  </si>
  <si>
    <t>HiLoadStall.1O</t>
  </si>
  <si>
    <t>PwrDiscATestComplete_Cnt_lgc</t>
  </si>
  <si>
    <t>HwPwUp</t>
  </si>
  <si>
    <t>PwrDiscA_Test_Complete</t>
  </si>
  <si>
    <t>Flag indicating power disconnect step A initialization is complete</t>
  </si>
  <si>
    <t>TMFTestComplete_Cnt_lgc</t>
  </si>
  <si>
    <t>TMF_Test_Complete</t>
  </si>
  <si>
    <t>Flag indicating temporal monitor initialization is complete</t>
  </si>
  <si>
    <t>PwrDiscBTestComplete_Cnt_lgc</t>
  </si>
  <si>
    <t>PwrDiscB_Test_Complete</t>
  </si>
  <si>
    <t>Flag indicating power disconnect step B initialization is complete</t>
  </si>
  <si>
    <t>MtrDrvrInitComplete_Cnt_lgc</t>
  </si>
  <si>
    <t>MtrDrvr_Init_Comp</t>
  </si>
  <si>
    <t>Flag indicating motor driver initialization is complete</t>
  </si>
  <si>
    <t>PwrDiscATestStart_Cnt_lgc</t>
  </si>
  <si>
    <t>FDD13B HardwarePowerUpSequence</t>
  </si>
  <si>
    <t>TMFTestStart_Cnt_lgc</t>
  </si>
  <si>
    <t>PwrDiscBTestStart_Cnt_lgc</t>
  </si>
  <si>
    <t>MtrDrvrInitStart_Cnt_lgc</t>
  </si>
  <si>
    <t>PhsDiscTestStart_Cnt_lgc</t>
  </si>
  <si>
    <t>MECCounter_Cnt_enum</t>
  </si>
  <si>
    <t>TrqSum</t>
  </si>
  <si>
    <t>NVM_REQ_NOT_OK</t>
  </si>
  <si>
    <t>0 = NVM_REQ_OK, 1 = NVM_REQ_NOT_OK, 2 = NVM_REQ_PENDING, 3 = NVM_REQ_INTEGRITY_FAILED, 4 = NVM_REQ_BLOCK_SKIPPED, 5 = NVM_REQ_NV_INVALIDATED</t>
  </si>
  <si>
    <t>NvM_RequestResultType</t>
  </si>
  <si>
    <t>HwTrqTrim_Datatype</t>
  </si>
  <si>
    <t>DefeatHystService_Cnt_lgc</t>
  </si>
  <si>
    <t>DefeatHystService</t>
  </si>
  <si>
    <t xml:space="preserve">Assist Torque based on HW Torque </t>
  </si>
  <si>
    <t>Assist mech temperature for compensation scaling functionality</t>
  </si>
  <si>
    <t>SrlComSvcDft_Cnt_T_b32</t>
  </si>
  <si>
    <t>Defeat_Hyst_Service</t>
  </si>
  <si>
    <t>A service to turn this function off</t>
  </si>
  <si>
    <t>32Bit</t>
  </si>
  <si>
    <t xml:space="preserve">Assist modifier provided to Stability Compensation function </t>
  </si>
  <si>
    <t>AssistCmdLPFiltSV_HwNm_M_str</t>
  </si>
  <si>
    <t>AssistCmdLPFiltSV</t>
  </si>
  <si>
    <t>{0,0}</t>
  </si>
  <si>
    <t>{SV: 7.81E-03, K: 1.52E-05}</t>
  </si>
  <si>
    <t>LPF32KSV</t>
  </si>
  <si>
    <t>HwTrqLPFiltSV_HwNm_M_str</t>
  </si>
  <si>
    <t>HwTrqLPFiltSV</t>
  </si>
  <si>
    <t>RawHystCompLPFiltSV_HwNm_M_str</t>
  </si>
  <si>
    <t>RawHystCompLPFiltSV</t>
  </si>
  <si>
    <t>HwTrqLastUsed_HwNm_M_f32</t>
  </si>
  <si>
    <t>HwTrqLastUsed</t>
  </si>
  <si>
    <t>Fraction_Uls_M_f32</t>
  </si>
  <si>
    <t>HysComp_Fraction</t>
  </si>
  <si>
    <t>RawCalc_HwNm_M_f32</t>
  </si>
  <si>
    <t>HysComp_RawCalc</t>
  </si>
  <si>
    <t>RiseX_HwNm_M_f32</t>
  </si>
  <si>
    <t>AstCmdLastUsed_HwNm_M_s8p7</t>
  </si>
  <si>
    <t>CompAvail_HwNm_D_f32</t>
  </si>
  <si>
    <t>HysComp_CompAvail</t>
  </si>
  <si>
    <t xml:space="preserve"> HwTrqFilt_HwNm_D_f32 </t>
  </si>
  <si>
    <t>HysComp_HwTrqFilt</t>
  </si>
  <si>
    <t xml:space="preserve"> CoulFric_HwNm_D_f32 </t>
  </si>
  <si>
    <t>HysComp_CoulFric</t>
  </si>
  <si>
    <t xml:space="preserve"> PosAvail_HwNm_D_f32 </t>
  </si>
  <si>
    <t>HysComp_PosAvail</t>
  </si>
  <si>
    <t xml:space="preserve">NegAvail_HwNm_D_f32 </t>
  </si>
  <si>
    <t>HysComp_NegAvail</t>
  </si>
  <si>
    <t xml:space="preserve">EffCompTrq_HwNm_D_f32 </t>
  </si>
  <si>
    <t>HysComp_EffCompTrq</t>
  </si>
  <si>
    <t>AssistCmdFilt_HwNm_D_s8p7</t>
  </si>
  <si>
    <t>HysComp_ AssistCmdFilt</t>
  </si>
  <si>
    <t>EOTGainLtd_Uls_f32</t>
  </si>
  <si>
    <t>EOTGain_Ltd</t>
  </si>
  <si>
    <t>EOTLimitLtd_MtrNm_f32</t>
  </si>
  <si>
    <t>EOTLimit_Ltd</t>
  </si>
  <si>
    <t>OutputRampMultLtd_Uls_f32</t>
  </si>
  <si>
    <t>OutputRampMult_Ltd</t>
  </si>
  <si>
    <t>StallLimitLtd_MtrNm_f32</t>
  </si>
  <si>
    <t>StallLimit_Ltd</t>
  </si>
  <si>
    <t>ThermalLimitLtd_MtrNm_f32</t>
  </si>
  <si>
    <t>ThermalLimit_Ltd</t>
  </si>
  <si>
    <t>VehSpdLimitLtd_MtrNm_f32</t>
  </si>
  <si>
    <t>VehSpdLimit_Ltd</t>
  </si>
  <si>
    <t>CurrAssistEOTGain_Uls_M_f32</t>
  </si>
  <si>
    <t>CurrOutputRampMult_Uls_M_f32</t>
  </si>
  <si>
    <t>CurrAssistEOTLimit_MtrNm_M_f32</t>
  </si>
  <si>
    <t>CurrAssistStallLimit_MtrNm_M_f32</t>
  </si>
  <si>
    <t>CurrAssistVehSpdLimit_MtrNm_M_f32</t>
  </si>
  <si>
    <t>CurrThermalLimit_MtrNm_M_f32</t>
  </si>
  <si>
    <t>Diagnostic input – used for resetting the end of travel terms with position sub system failures</t>
  </si>
  <si>
    <t>Absolute Handwheel position computed by any of a number of methods</t>
  </si>
  <si>
    <t>Confidence level of the received handwheel position signal</t>
  </si>
  <si>
    <t>Handwheel differential torque</t>
  </si>
  <si>
    <t>Motor velocity in the column reference frame</t>
  </si>
  <si>
    <t>CWFound_Cnt_lgc</t>
  </si>
  <si>
    <t>Boolean indicating whether or not a learned position has been found in the clockwise direction</t>
  </si>
  <si>
    <t>CCWFound_Cnt_lgc</t>
  </si>
  <si>
    <t>Boolean indicating whether or not a learned position has been found in the counter clockwise direction</t>
  </si>
  <si>
    <t>CWPosition_HwDeg_f32</t>
  </si>
  <si>
    <t>End of travel learned position in the clockwise direction.  This is an NVM value that is both an input and output for the function</t>
  </si>
  <si>
    <t>CCWPosition_HwDeg_f32</t>
  </si>
  <si>
    <t>End of travel learned position in the counter-clockwise direction.  This is an NVM value that is both an input and output for the function</t>
  </si>
  <si>
    <t>ResetLimitReq</t>
  </si>
  <si>
    <t>A Boolean signal indicating the desire to reset the end of travel learned data</t>
  </si>
  <si>
    <t>MRFMtrTrqCmd_MtrNm_f32</t>
  </si>
  <si>
    <t>TCMD</t>
  </si>
  <si>
    <t>Motor referance frame torque command</t>
  </si>
  <si>
    <t>TorqueCmdSF_Uls_f32</t>
  </si>
  <si>
    <t>TSCL_EOL</t>
  </si>
  <si>
    <t>EOL torque command scale factor</t>
  </si>
  <si>
    <t>MRFMtrTrqCmdScl_MtrNm_f32</t>
  </si>
  <si>
    <t>TCMD_SCL</t>
  </si>
  <si>
    <t>Scaled torque command</t>
  </si>
  <si>
    <t>EstKe_VpRadpS_f32</t>
  </si>
  <si>
    <t>Ke_Estimate</t>
  </si>
  <si>
    <t>EstR_Ohm_f32</t>
  </si>
  <si>
    <t>EstR_Ohms</t>
  </si>
  <si>
    <t>EstL_Henry_f32</t>
  </si>
  <si>
    <t>EstL_Henries</t>
  </si>
  <si>
    <t>MRFMtrVel_MtrRadpS_f32</t>
  </si>
  <si>
    <t>Motor_Vel_MRF</t>
  </si>
  <si>
    <t>QaxRef_Amps</t>
  </si>
  <si>
    <t>MtrCurrDaxRef_Amps_f32</t>
  </si>
  <si>
    <t>DaxRef_Amps</t>
  </si>
  <si>
    <t>MtrVoltQaxFF_Volt_f32</t>
  </si>
  <si>
    <t>VqRefFF_Volts</t>
  </si>
  <si>
    <t>MtrVoltDaxFF_Volt_f32</t>
  </si>
  <si>
    <t>VdRefFF_Volts</t>
  </si>
  <si>
    <t>KpqGain_Uls_f32</t>
  </si>
  <si>
    <t>Kpq</t>
  </si>
  <si>
    <t>KiqGain_Uls_f32</t>
  </si>
  <si>
    <t>Kiq</t>
  </si>
  <si>
    <t>KpdGain_Uls_f32</t>
  </si>
  <si>
    <t>Kpd</t>
  </si>
  <si>
    <t>KidGain_Uls_f32</t>
  </si>
  <si>
    <t>Kid</t>
  </si>
  <si>
    <t>MtrPosComputationDelay_Deg_f32</t>
  </si>
  <si>
    <t>Position Delay</t>
  </si>
  <si>
    <t>deg</t>
  </si>
  <si>
    <t>MtrVelFiltFFSV_MtrRadpS_M_s11p20</t>
  </si>
  <si>
    <t>MtrVelFiltPISV_MtrRadpS_M_s11p20</t>
  </si>
  <si>
    <t>IdSlopeParamK1_AmppRadpS_D_f32</t>
  </si>
  <si>
    <t>K1</t>
  </si>
  <si>
    <t>Amp/Rad/Sec</t>
  </si>
  <si>
    <t>MtrMaxCurrDaxRef_Amps_D_f32</t>
  </si>
  <si>
    <t>MtrMaxCurrDax_Ref</t>
  </si>
  <si>
    <t>Amps</t>
  </si>
  <si>
    <t>MtrVelFilt_MtrRadpS_D_f32</t>
  </si>
  <si>
    <t>Motor_Vel_filt</t>
  </si>
  <si>
    <t>MtrCurrQaxRef_Amp_f32</t>
  </si>
  <si>
    <t>CuTempEst_DegC_f32</t>
  </si>
  <si>
    <t>MagTempEst_DegC_f32</t>
  </si>
  <si>
    <t>SiTempEst_DegC_f32</t>
  </si>
  <si>
    <t>EstLd_Henry_f32</t>
  </si>
  <si>
    <t>EstLq_Henry_f32</t>
  </si>
  <si>
    <t>PreLmtEstKe_VpRadpS_D_f32</t>
  </si>
  <si>
    <t>Ke Feedforward Estimate</t>
  </si>
  <si>
    <t>PreLmtEstR_Ohm_D_f32</t>
  </si>
  <si>
    <t>Resistance Feedforward Estimate</t>
  </si>
  <si>
    <t>PreLmtEstLd_Henry_D_f32</t>
  </si>
  <si>
    <t>Ld_FeedForwardEstimate</t>
  </si>
  <si>
    <t>PreLmtEstLq_Henry_D_f32</t>
  </si>
  <si>
    <t>Lq_FeedForwardEstimate</t>
  </si>
  <si>
    <t>KeSatSclFac_Uls_D_f32</t>
  </si>
  <si>
    <t>Ke Saturation Scale Factor</t>
  </si>
  <si>
    <t>LSatSclFac_Uls_D_f32</t>
  </si>
  <si>
    <t>L Saturation Scale Factor</t>
  </si>
  <si>
    <t>EstRfetFF_Ohm_D_f32</t>
  </si>
  <si>
    <t>FET (Silicon) Resistance Feedforward Estimate</t>
  </si>
  <si>
    <t>EstRmtrFF_Ohm_D_f32</t>
  </si>
  <si>
    <t>Motor Copper Resistance Feedforward Estimate</t>
  </si>
  <si>
    <t>MtrCurrDaxRef_Amp_f32</t>
  </si>
  <si>
    <t xml:space="preserve">PIDaxIntegralGain_Uls_f32   </t>
  </si>
  <si>
    <t>Iq_PropotionalGain</t>
  </si>
  <si>
    <t xml:space="preserve">PIDaxPropotionalGain_Uls_f32 </t>
  </si>
  <si>
    <t>Iq_IntegralGain</t>
  </si>
  <si>
    <t xml:space="preserve">PIQaxIntegralGain_Uls_f32    </t>
  </si>
  <si>
    <t>Id_PropotionalGain</t>
  </si>
  <si>
    <t xml:space="preserve">PIQaxPropotionalGain_Uls_f32 </t>
  </si>
  <si>
    <t>Id_IntegralGain</t>
  </si>
  <si>
    <t>ElecPosDelayComp_Rad_f32</t>
  </si>
  <si>
    <t>PhaseAdv_Rev_T_u0p16</t>
  </si>
  <si>
    <t>Phase Advance</t>
  </si>
  <si>
    <t>MtrCurrQaxError_Amp_D_f32</t>
  </si>
  <si>
    <t>MtrCurrQax_Error</t>
  </si>
  <si>
    <t>MtrCurrDaxError_Amp_D_f32</t>
  </si>
  <si>
    <t>MtrCurrDax_Error</t>
  </si>
  <si>
    <t>MtrVoltQaxFinal_Volt_D_f32</t>
  </si>
  <si>
    <t>MtrVoltQax_Final</t>
  </si>
  <si>
    <t>MtrVoltQaxFinalLimit_Volt_D_f32</t>
  </si>
  <si>
    <t>MtrVoltQax_Final_Lim</t>
  </si>
  <si>
    <t>MtrVoltDaxFinal_Volt_D_f32</t>
  </si>
  <si>
    <t>MtrVoltDax_Final</t>
  </si>
  <si>
    <t>MtrVoltQaxProp_Volt_D_f32</t>
  </si>
  <si>
    <t>MtrVoltQax_Prop</t>
  </si>
  <si>
    <t>MtrVoltDaxProp_Volt_D_f32</t>
  </si>
  <si>
    <t>MtrVoltDax_Prop</t>
  </si>
  <si>
    <t>MtrVoltQaxInt_Volt_D_f32</t>
  </si>
  <si>
    <t>MtrVoltQax_Int</t>
  </si>
  <si>
    <t>MtrVoltDaxInt_Volt_D_f32</t>
  </si>
  <si>
    <t>MtrVoltDax_Int</t>
  </si>
  <si>
    <t>EstPkCurr_AmpSq_f32</t>
  </si>
  <si>
    <t>Mtr_PkCurr_AmpsSq</t>
  </si>
  <si>
    <t>AmpSq</t>
  </si>
  <si>
    <t>FiltEstPkCurr_AmpSq_f32</t>
  </si>
  <si>
    <t>Filtered Peak Current</t>
  </si>
  <si>
    <t>FiltMtrCurEst_Iq_Amp_D_f32</t>
  </si>
  <si>
    <t>Iq_est_filtered</t>
  </si>
  <si>
    <t>FiltMtrCurEst_Id_Amp_D_f32</t>
  </si>
  <si>
    <t>Id_est_filtered</t>
  </si>
  <si>
    <t>MtrCurEst_Iq_AmpSq_D_f32</t>
  </si>
  <si>
    <t>Iq_est_squared</t>
  </si>
  <si>
    <t>MtrCurEst_Id_AmpSq_D_f32</t>
  </si>
  <si>
    <t>Id_est_squared</t>
  </si>
  <si>
    <t>EstLd_Henries</t>
  </si>
  <si>
    <t>EstLq_Henries</t>
  </si>
  <si>
    <t>MtrCurrQax12Mag_Amp</t>
  </si>
  <si>
    <t>MtrCurrQax12Ph_Rad</t>
  </si>
  <si>
    <t>MtrCurrQax6Ph_Rad</t>
  </si>
  <si>
    <t>Tcmd_scl</t>
  </si>
  <si>
    <t>Motor Torque Command</t>
  </si>
  <si>
    <t>MRFCumMtrPos_Deg_f32</t>
  </si>
  <si>
    <t>Cum_Mtr_Pos_MRF</t>
  </si>
  <si>
    <t>Cumulative Motor Position</t>
  </si>
  <si>
    <t>Degrees</t>
  </si>
  <si>
    <t>InstMtrDir_Cnt_s08</t>
  </si>
  <si>
    <t>Instantaneous Motor Direction</t>
  </si>
  <si>
    <t>MtrQuad_Cnt_u08</t>
  </si>
  <si>
    <t>Motor_Quadrant</t>
  </si>
  <si>
    <t>Motor Quadrant</t>
  </si>
  <si>
    <t>MtrTrqCmdSign_Cnt_D_s08</t>
  </si>
  <si>
    <t>Instantaneous Motor Torque Command Sign</t>
  </si>
  <si>
    <t>PrevCumMtrPos_Deg_M_f32</t>
  </si>
  <si>
    <t>Previous Cum_Mtr_Pos_MRF</t>
  </si>
  <si>
    <t>Previous Cumulative Motor Position</t>
  </si>
  <si>
    <t>PrevInstMtrDir_Cnt_M_s08</t>
  </si>
  <si>
    <t>Previous Instantaneous Motor Direction</t>
  </si>
  <si>
    <t>MtrVoltFinalVChk_Volt_T_f32</t>
  </si>
  <si>
    <t>MtrVoltFinalVChk_Volt</t>
  </si>
  <si>
    <t>MtrVoltInt_Volt_T_f32</t>
  </si>
  <si>
    <t>MtrVoltInt_Volt</t>
  </si>
  <si>
    <t>MtrCurrQaxRpl_Amp_f32</t>
  </si>
  <si>
    <t>MtrCurrQaxRpl_Amp</t>
  </si>
  <si>
    <t>MtrVoltDaxInt_Volt_f32</t>
  </si>
  <si>
    <t>MtrVoltDaxInt_Volt</t>
  </si>
  <si>
    <t>MtrVoltQaxInt_Volt_f32</t>
  </si>
  <si>
    <t>MtrVoltQaxInt_Volt</t>
  </si>
  <si>
    <t>MtrVolt_Volt_f32</t>
  </si>
  <si>
    <t>MtrVolt_Volt</t>
  </si>
  <si>
    <t>PeakTorque_MtrNm_D_f32</t>
  </si>
  <si>
    <t xml:space="preserve">PeakTorque_MtrNm </t>
  </si>
  <si>
    <t>MRFMtrVelFiltPI_MtrRadpS_D_f32</t>
  </si>
  <si>
    <t xml:space="preserve">MRFMtrVelFiltPI_MtrRadpS </t>
  </si>
  <si>
    <t>KpqGain_Uls_D_f32</t>
  </si>
  <si>
    <t xml:space="preserve">KpqGain_Uls </t>
  </si>
  <si>
    <t>KiqGain_Uls_D_f32</t>
  </si>
  <si>
    <t xml:space="preserve">KiqGain_Uls </t>
  </si>
  <si>
    <t>KpdGain_Uls_D_f32</t>
  </si>
  <si>
    <t xml:space="preserve">KpdGain_Uls </t>
  </si>
  <si>
    <t>KidGain_Uls_D_f32</t>
  </si>
  <si>
    <t xml:space="preserve">KidGain_Uls </t>
  </si>
  <si>
    <t>IdMin_Amp_D_f32</t>
  </si>
  <si>
    <t xml:space="preserve">IdMin_Amp </t>
  </si>
  <si>
    <t>IqMin_Amp_D_f32</t>
  </si>
  <si>
    <t xml:space="preserve">IqMin_Amp </t>
  </si>
  <si>
    <t>IqMax_Amp_D_f32</t>
  </si>
  <si>
    <t xml:space="preserve">IqMax_Amp </t>
  </si>
  <si>
    <t>IdMax_Amp_D_f32</t>
  </si>
  <si>
    <t xml:space="preserve">IdMax_Amp </t>
  </si>
  <si>
    <t>ImSqMin_AmpSq_D_f32</t>
  </si>
  <si>
    <t xml:space="preserve">ImSqMin_AmpSq </t>
  </si>
  <si>
    <t>LimitedMRFMtrTrqCmd_MtrNm_D_f32</t>
  </si>
  <si>
    <t xml:space="preserve">LimitedMRFMtrTrqCmd_MtrNm </t>
  </si>
  <si>
    <t>PhsAdvPeak_Rad_D_f32</t>
  </si>
  <si>
    <t xml:space="preserve">PhsAdvPeak_Rad </t>
  </si>
  <si>
    <t xml:space="preserve">Rad </t>
  </si>
  <si>
    <t>CosDelta_Cnt_M_f32</t>
  </si>
  <si>
    <t xml:space="preserve">CosDelta_Cnt </t>
  </si>
  <si>
    <t>SinDelta_Cnt_M_f32</t>
  </si>
  <si>
    <t xml:space="preserve">SinDelta_Cnt </t>
  </si>
  <si>
    <t>EstKe_VpRadpS_M_f32</t>
  </si>
  <si>
    <t xml:space="preserve">EstKe_VpRadpS </t>
  </si>
  <si>
    <t>TermXq_Uls_M_f32</t>
  </si>
  <si>
    <t xml:space="preserve">TermXq_Uls </t>
  </si>
  <si>
    <t>TermXd_Uls_M_f32</t>
  </si>
  <si>
    <t xml:space="preserve">TermXd_Uls </t>
  </si>
  <si>
    <t>TermEgR_Amp_M_f32</t>
  </si>
  <si>
    <t xml:space="preserve">TermEgR_Amp </t>
  </si>
  <si>
    <t>TermVR2_AmpSq_M_f32</t>
  </si>
  <si>
    <t xml:space="preserve">TermVR2_AmpSq </t>
  </si>
  <si>
    <t>TermEgRZ_Amp_M_f32</t>
  </si>
  <si>
    <t xml:space="preserve">TermEgRZ_Amp </t>
  </si>
  <si>
    <t>TermVRZ_Amp_M_f32</t>
  </si>
  <si>
    <t xml:space="preserve">TermVRZ_Amp </t>
  </si>
  <si>
    <t>TermVR_Amp_M_f32</t>
  </si>
  <si>
    <t xml:space="preserve">TermVR_Amp </t>
  </si>
  <si>
    <t>Reluctance_Henry_M_f32</t>
  </si>
  <si>
    <t xml:space="preserve">Reluctance_Henry </t>
  </si>
  <si>
    <t>LocateMinImNIter_Cnt_D_u16</t>
  </si>
  <si>
    <t>LocateMinImNIter_Cnt</t>
  </si>
  <si>
    <t>LocateTrqExNIter_Cnt_D_u16</t>
  </si>
  <si>
    <t>LocateTrqExNIter_Cnt</t>
  </si>
  <si>
    <t>MtrQuad_Cnt</t>
  </si>
  <si>
    <t>MtrTrqRip12thPhs_Rad_D_f32</t>
  </si>
  <si>
    <t>MtrTrqRip12thPhs_Rad</t>
  </si>
  <si>
    <t>MtrTrqRip6thPhs_Rad_D_f32</t>
  </si>
  <si>
    <t>MtrTrqRip6thPhs_Rad</t>
  </si>
  <si>
    <t>CoggingTrqCanc_MtrNm_D_f32</t>
  </si>
  <si>
    <t>CoggingTrqCanc_MtrNm</t>
  </si>
  <si>
    <t>MtrCurrQax6thMag_Amp_D_f32</t>
  </si>
  <si>
    <t>MtrCurrQax6thMag_Amp</t>
  </si>
  <si>
    <t>MtrCurrQax12thMag_Amp_D_f32</t>
  </si>
  <si>
    <t>MtrCurrQax12thMag_Amp</t>
  </si>
  <si>
    <t>MtrCurrQax6thMagFinal_Amp_D_f32</t>
  </si>
  <si>
    <t>MtrCurrQax6thMagFinal_Amp</t>
  </si>
  <si>
    <t>MtrTrqRip6thPhsFinal_Rad_D_f32</t>
  </si>
  <si>
    <t>MtrTrqRip6thPhsFinal_Rad</t>
  </si>
  <si>
    <t>MtrCurrQax12thMagFinal_Amp_D_f32</t>
  </si>
  <si>
    <t>MtrCurrQax12thMagFinal_Amp</t>
  </si>
  <si>
    <t>MtrTrqRip12thPhsFinal_Rad_D_f32</t>
  </si>
  <si>
    <t>MtrTrqRip12thPhsFinal_Rad</t>
  </si>
  <si>
    <t>CoggingTrqMtrPosElec_Rev_D_f32</t>
  </si>
  <si>
    <t>CoggingTrqMtrPosElec_Rev</t>
  </si>
  <si>
    <t>CogginTrqCancIndex_Cnt_D_u16</t>
  </si>
  <si>
    <t>CogginTrqCancIndex_Cnt</t>
  </si>
  <si>
    <t xml:space="preserve">ModIdxSrlComSvcDft_Cnt_lgc  </t>
  </si>
  <si>
    <t xml:space="preserve">SysState_Cnt_Enum    </t>
  </si>
  <si>
    <t xml:space="preserve">MtrCurrOffComOffset_Cnt_u16 </t>
  </si>
  <si>
    <t>MtrCurrOffComOffset_Cnt</t>
  </si>
  <si>
    <t>MtrCurrQaxRpl_Amp_M_f32</t>
  </si>
  <si>
    <t>MtrCurrQaxCog_Amp_M_f32</t>
  </si>
  <si>
    <t>MtrCurrQaxCog_Amp</t>
  </si>
  <si>
    <t>CDD_AppDataFbkPthAccessBfr_Cnt_G_u16</t>
  </si>
  <si>
    <t>CDD_CDDDataAccessBfr_Cnt_G_u16</t>
  </si>
  <si>
    <t>MechMtrPos</t>
  </si>
  <si>
    <t>CtrlTempFinal_DegC_f32</t>
  </si>
  <si>
    <t>EngineTemp</t>
  </si>
  <si>
    <t>AmbTemp_DegC_f32</t>
  </si>
  <si>
    <t>Amb_Temp</t>
  </si>
  <si>
    <t>Handwheel_Vel</t>
  </si>
  <si>
    <t>ScomTempDataRcvd_Cnt_lgc</t>
  </si>
  <si>
    <t>ScomTempDataRcvd</t>
  </si>
  <si>
    <t>Cu_Temp_Est</t>
  </si>
  <si>
    <t>Mag_Temp_Est</t>
  </si>
  <si>
    <t>Si_Temp_Est</t>
  </si>
  <si>
    <t>CU_CORR</t>
  </si>
  <si>
    <t>MAG_CORR</t>
  </si>
  <si>
    <t>SI_CORR</t>
  </si>
  <si>
    <t>Est Watts</t>
  </si>
  <si>
    <t>Scaled_Amb_Temp</t>
  </si>
  <si>
    <t>Scaled_EngineTemp</t>
  </si>
  <si>
    <t>Est Mech Watts</t>
  </si>
  <si>
    <t>AM_CORR</t>
  </si>
  <si>
    <t>AssistMechFilt</t>
  </si>
  <si>
    <t>SysC_diagHandwheel_Vel</t>
  </si>
  <si>
    <t>SysCMtrVelMRF_MtrRadpS_f32</t>
  </si>
  <si>
    <t>SysC_diagMotor_Vel_MRF</t>
  </si>
  <si>
    <t>HwVelValid_Cnt_lgc</t>
  </si>
  <si>
    <t>Hw_Vel_Valid</t>
  </si>
  <si>
    <t>HandwheelVel_HwRadpS_f32</t>
  </si>
  <si>
    <t>SysCHandwheelVel_HwRadpS_f32</t>
  </si>
  <si>
    <t>SysC_HandWheel_Vel</t>
  </si>
  <si>
    <t>SysCMotorVelMRF_MtrRadpS_f32</t>
  </si>
  <si>
    <t>SysC_Motor_Vel_MRF</t>
  </si>
  <si>
    <t>2^-20</t>
  </si>
  <si>
    <t>2^-16</t>
  </si>
  <si>
    <t>2^-4</t>
  </si>
  <si>
    <t>MtrVelCC_FaultCount</t>
  </si>
  <si>
    <t>HwVelCC_FaultCount</t>
  </si>
  <si>
    <t>MtrVel_OsBufSelect_Cnt_M_u08</t>
  </si>
  <si>
    <t>Oversample buffer snapshot buffer set control.  This variable is protected from Xcp and other applications and determines the actively used buffer set.  The inactive set contains a consistent set of snap shot data.</t>
  </si>
  <si>
    <t>MtrVel_CorrLim_Diff</t>
  </si>
  <si>
    <t>HwVel_CorrLim_Diff</t>
  </si>
  <si>
    <t>MtrVel_AvgDeltaT_uS_D_u16p0[2]</t>
  </si>
  <si>
    <t>average delta T</t>
  </si>
  <si>
    <t>Variables - MtrVel2</t>
  </si>
  <si>
    <t>AsstAssemPol</t>
  </si>
  <si>
    <t>Vnt</t>
  </si>
  <si>
    <t>uin16</t>
  </si>
  <si>
    <t>Variables - MtrVel3</t>
  </si>
  <si>
    <t>MtrVel3_OsBufPos_Cnt_M_u08[4]</t>
  </si>
  <si>
    <t>Oversample buffer position state variable array.  One state variable for each buffer set.</t>
  </si>
  <si>
    <t>MtrVel3_TimeBuffer_uS_M_u16p0[4][8]</t>
  </si>
  <si>
    <t>SampleTime</t>
  </si>
  <si>
    <t>HwTrqPolarity_Cnt_s08</t>
  </si>
  <si>
    <t>Polarity</t>
  </si>
  <si>
    <t>HwTrq_Polarity</t>
  </si>
  <si>
    <t>HwPosPolarity_Cnt_s08</t>
  </si>
  <si>
    <t>HwPos_Polarity</t>
  </si>
  <si>
    <t>MtrPosPolarity_Cnt_s08</t>
  </si>
  <si>
    <t>MtrPos_Polarity</t>
  </si>
  <si>
    <t>MtrVelPolarity_Cnt_s08</t>
  </si>
  <si>
    <t>MtrVel_Polarity</t>
  </si>
  <si>
    <t>MtrElecMechPolarity_Cnt_s08</t>
  </si>
  <si>
    <t>SysC_MtrElecMechPolarity_Cnt_s32</t>
  </si>
  <si>
    <t>AssistAssy_Polarity</t>
  </si>
  <si>
    <t>CntDisMtrTrqCmd_MtrNm</t>
  </si>
  <si>
    <t>DC Link Voltage signal</t>
  </si>
  <si>
    <t>PwrLmtFuncCr.1I</t>
  </si>
  <si>
    <t>Final limited Ke Estimate</t>
  </si>
  <si>
    <t>PosServEnable_Cnt_lgc</t>
  </si>
  <si>
    <t>PosServ_Enable</t>
  </si>
  <si>
    <t>Park Assist is active</t>
  </si>
  <si>
    <t>MRFMtrTrqCmd_MtrNm</t>
  </si>
  <si>
    <t>ThresholdExceeded_Cnt_lgc</t>
  </si>
  <si>
    <t>Threshold Exceeded</t>
  </si>
  <si>
    <t>Power Limit Function is limiting the torque command</t>
  </si>
  <si>
    <t>magnitude of limiting</t>
  </si>
  <si>
    <t>OPVelOffset_MtrRadpS</t>
  </si>
  <si>
    <t>TLimitMaxCurr_MtrNm</t>
  </si>
  <si>
    <t>MinStdOpLmt_MtrNm</t>
  </si>
  <si>
    <t>LimitDifference_MtrNm</t>
  </si>
  <si>
    <t>TrqLmt_Uls</t>
  </si>
  <si>
    <t>MtrEnvSpd_MtrRadpS</t>
  </si>
  <si>
    <t>TrqEnvLmt1_MtrNm</t>
  </si>
  <si>
    <t>TrqLmt1_MtrNm</t>
  </si>
  <si>
    <t>TrqEnvLmt4_MtrNm</t>
  </si>
  <si>
    <t>TrqLmt4_MtrNm</t>
  </si>
  <si>
    <t>MtrVelFilt_MtrRadpS</t>
  </si>
  <si>
    <t>Return.2I</t>
  </si>
  <si>
    <t>FinHwPos_HwDeg_f32</t>
  </si>
  <si>
    <t>Calculated absolute handwheel position including any offset correction for vehicle alignment and long term correction for vehicle straight line tracking.</t>
  </si>
  <si>
    <t xml:space="preserve">Calculated handwheel velocity </t>
  </si>
  <si>
    <t>Return.3I</t>
  </si>
  <si>
    <t>Return.1BS, Return.2BS, Return.3BS</t>
  </si>
  <si>
    <t>ReturnDDFactor_Uls_f32</t>
  </si>
  <si>
    <t>Return_DDFactor</t>
  </si>
  <si>
    <t>Multiplicative factor to be applied to return command.  
Originates from the serial communication bus.</t>
  </si>
  <si>
    <t>ReturnOffset_HwDeg_f32</t>
  </si>
  <si>
    <t>Return Offset</t>
  </si>
  <si>
    <t>Input which is an offset to the alignment trim position accounting for long term vehicle issues</t>
  </si>
  <si>
    <t>FinHwPosAuth_Uls_f32</t>
  </si>
  <si>
    <t xml:space="preserve">Signal indicating the level of initialization or confidence in the value of handwheel angle.  </t>
  </si>
  <si>
    <t>Return.5I</t>
  </si>
  <si>
    <t>ReturnPAFactor_Uls_f32</t>
  </si>
  <si>
    <t>PA_Return_SclFct</t>
  </si>
  <si>
    <t>Park Assist algorithm required scale factor for enabling or disabling the EPS Return torque command depending on Park Assist mode</t>
  </si>
  <si>
    <t>Diagnostic status used to indicate a position sensor fault to the return algorithm</t>
  </si>
  <si>
    <t>Bits</t>
  </si>
  <si>
    <t xml:space="preserve">Assist_Mech_Temp_Est </t>
  </si>
  <si>
    <t>Estimate of Assist Mechanism temperature used for temperature compensated return scaling</t>
  </si>
  <si>
    <t>Return.4I</t>
  </si>
  <si>
    <t>ReturnCmd_MtrNm_f32</t>
  </si>
  <si>
    <t>Return_Cmd</t>
  </si>
  <si>
    <t>Return component of overall motor torque command computed</t>
  </si>
  <si>
    <t>CurrentOffset_HwDeg_M_f32</t>
  </si>
  <si>
    <t>CrntHandWheelAthScl_Uls_M_f32</t>
  </si>
  <si>
    <t>HwPosReturnCmd_MtrNm_D_f32</t>
  </si>
  <si>
    <t>Rtrn_HwPos_MtrNm</t>
  </si>
  <si>
    <t>HwTrqReturnScl_Uls_D_f32</t>
  </si>
  <si>
    <t>Rtrn_TrqScale</t>
  </si>
  <si>
    <t>HwVelReturnScl_Uls_D_f32</t>
  </si>
  <si>
    <t>Rtrn_VelScale</t>
  </si>
  <si>
    <t>TempReturnScl_Uls_D_f32</t>
  </si>
  <si>
    <t>Rtrn_TempScale</t>
  </si>
  <si>
    <t>Rtrn_HwAuthScale</t>
  </si>
  <si>
    <t>AbsHwPosReturn_HwDeg_D_u12p4</t>
  </si>
  <si>
    <t>Rtrn_AbsHwPos</t>
  </si>
  <si>
    <t>SgnHwPosReturn_HwDeg_D_f32</t>
  </si>
  <si>
    <t>Rtrn_SignHwPos</t>
  </si>
  <si>
    <t>RtrnBasicReturn_MtrNm_D_f32</t>
  </si>
  <si>
    <t>Rtrn_BasicReturn</t>
  </si>
  <si>
    <t>DefeatReturnSvc_Cnt_lgc</t>
  </si>
  <si>
    <t>Absolute handwheel position</t>
  </si>
  <si>
    <t>ReturnFirewall.1I, ReturnFirewall.2I</t>
  </si>
  <si>
    <t>Active Return component of overall motor torque command</t>
  </si>
  <si>
    <t>ReturnFirewall.1BS, ReturnFirewall.2BS</t>
  </si>
  <si>
    <t>Limited motor torque commands</t>
  </si>
  <si>
    <t>UprBound_MtrNm_D_f32</t>
  </si>
  <si>
    <t>RtrnFW_UprBound</t>
  </si>
  <si>
    <t>ReturnFirewall.1O</t>
  </si>
  <si>
    <t>LwrBound_MtrNm_D_f32</t>
  </si>
  <si>
    <t>RtrnFW_LwrBound</t>
  </si>
  <si>
    <t>ReturnFirewall.2O</t>
  </si>
  <si>
    <t>OverBound_Cnt_D_lgc</t>
  </si>
  <si>
    <t>RtrnFW_OverBound</t>
  </si>
  <si>
    <t>Defeat_Return_Svc_Cnt_lgc</t>
  </si>
  <si>
    <t>SrlComVehSpeed_Kph_f32</t>
  </si>
  <si>
    <t>SrlCom_VehSpeed</t>
  </si>
  <si>
    <t>Vehicle Speed from serial communication bus or calibrated default value</t>
  </si>
  <si>
    <t>Vehicle Speed Value, conditioned to a safe rate of change</t>
  </si>
  <si>
    <t>SrlCom_VehicleLonAccel_KphpS_f32</t>
  </si>
  <si>
    <t>KphPs</t>
  </si>
  <si>
    <t>Vehicle_LonAccel_KphpS_f32</t>
  </si>
  <si>
    <t>ESMErrOutStat_Cnt_D_u08</t>
  </si>
  <si>
    <t>ShtdnMech</t>
  </si>
  <si>
    <t>ESMErrOutstat</t>
  </si>
  <si>
    <t>status from the Error Signal Module</t>
  </si>
  <si>
    <t>SysFault2Stat_Cnt_D_u08</t>
  </si>
  <si>
    <t>SysFault2Stat</t>
  </si>
  <si>
    <t>status of the GPIO bit for the physical SYS_FAULT2 signal</t>
  </si>
  <si>
    <t>GateDrvResetStat_Cnt_D_u32</t>
  </si>
  <si>
    <t>GateDrvResetStat</t>
  </si>
  <si>
    <t>status of the GPIO bit for the physical Gate Drive Reset</t>
  </si>
  <si>
    <t>NHETPwmStat_Cnt_D_u32</t>
  </si>
  <si>
    <t>NHETPwmStat</t>
  </si>
  <si>
    <t>status of the NHET control of the Gate Drive signals</t>
  </si>
  <si>
    <t>StabilityComp.1I</t>
  </si>
  <si>
    <t>AsstFWActive_Uls_f32</t>
  </si>
  <si>
    <t>Output flag from Assist Firewall denoting whether output has been limited</t>
  </si>
  <si>
    <t>StabilityComp.2I, StabilityComp.3I</t>
  </si>
  <si>
    <t>Command from Hysteresis Compensation FDD</t>
  </si>
  <si>
    <t>StabilityComp.2BS, StabilityComp.3BS</t>
  </si>
  <si>
    <t xml:space="preserve">Assist component of computed overall motor torque command </t>
  </si>
  <si>
    <t>SysAssistCmd_MtrNm_f32</t>
  </si>
  <si>
    <t xml:space="preserve">StbCmp_SysAssistCmd </t>
  </si>
  <si>
    <t>StCmpPNAccum_Cnt_M_u16</t>
  </si>
  <si>
    <t>StCmp_SysCorrPNAccum</t>
  </si>
  <si>
    <t>CombAstNFSV_Cnt_M_Str[4]</t>
  </si>
  <si>
    <t>Combined assist notch filter state variable</t>
  </si>
  <si>
    <t>NotchFiltSV_Str</t>
  </si>
  <si>
    <t>CombAstNFSV_Cnt_M_Str[0].SV1_Uls_f32</t>
  </si>
  <si>
    <t>CombAstNFSV_Cnt_M_Str[0].SV2_Uls_f32</t>
  </si>
  <si>
    <t>CombAstNFSV_Cnt_M_Str[0].Out_Uls_f32</t>
  </si>
  <si>
    <t>CombAstNFSV_Cnt_M_Str[0].KPtr_Cnt_Str-&gt;A1_Uls_f32</t>
  </si>
  <si>
    <t>CombAstNFSV_Cnt_M_Str[0].KPtr_Cnt_Str-&gt;A2_Uls_f32</t>
  </si>
  <si>
    <t>CombAstNFSV_Cnt_M_Str[0].KPtr_Cnt_Str-&gt;B0_Uls_f32</t>
  </si>
  <si>
    <t>CombAstNFSV_Cnt_M_Str[0].KPtr_Cnt_Str-&gt;B1_Uls_f32</t>
  </si>
  <si>
    <t>CombAstNFSV_Cnt_M_Str[0].KPtr_Cnt_Str-&gt;B2_Uls_f32</t>
  </si>
  <si>
    <t>CombAstNFSV_Cnt_M_Str[1].SV1_Uls_f32</t>
  </si>
  <si>
    <t>CombAstNFSV_Cnt_M_Str[1].SV2_Uls_f32</t>
  </si>
  <si>
    <t>CombAstNFSV_Cnt_M_Str[1].Out_Uls_f32</t>
  </si>
  <si>
    <t>CombAstNFSV_Cnt_M_Str[1].KPtr_Cnt_Str-&gt;A1_Uls_f32</t>
  </si>
  <si>
    <t>CombAstNFSV_Cnt_M_Str[1].KPtr_Cnt_Str-&gt;A2_Uls_f32</t>
  </si>
  <si>
    <t>CombAstNFSV_Cnt_M_Str[1].KPtr_Cnt_Str-&gt;B0_Uls_f32</t>
  </si>
  <si>
    <t>CombAstNFSV_Cnt_M_Str[1].KPtr_Cnt_Str-&gt;B1_Uls_f32</t>
  </si>
  <si>
    <t>CombAstNFSV_Cnt_M_Str[1].KPtr_Cnt_Str-&gt;B2_Uls_f32</t>
  </si>
  <si>
    <t>CombAstNFSV_Cnt_M_Str[2].SV1_Uls_f32</t>
  </si>
  <si>
    <t>CombAstNFSV_Cnt_M_Str[2].SV2_Uls_f32</t>
  </si>
  <si>
    <t>CombAstNFSV_Cnt_M_Str[2].Out_Uls_f32</t>
  </si>
  <si>
    <t>CombAstNFSV_Cnt_M_Str[2].KPtr_Cnt_Str-&gt;A1_Uls_f32</t>
  </si>
  <si>
    <t>CombAstNFSV_Cnt_M_Str[2].KPtr_Cnt_Str-&gt;A2_Uls_f32</t>
  </si>
  <si>
    <t>CombAstNFSV_Cnt_M_Str[2].KPtr_Cnt_Str-&gt;B0_Uls_f32</t>
  </si>
  <si>
    <t>CombAstNFSV_Cnt_M_Str[2].KPtr_Cnt_Str-&gt;B1_Uls_f32</t>
  </si>
  <si>
    <t>CombAstNFSV_Cnt_M_Str[2].KPtr_Cnt_Str-&gt;B2_Uls_f32</t>
  </si>
  <si>
    <t>CombAstNFSV_Cnt_M_Str[3].SV1_Uls_f32</t>
  </si>
  <si>
    <t>CombAstNFSV_Cnt_M_Str[3].SV2_Uls_f32</t>
  </si>
  <si>
    <t>CombAstNFSV_Cnt_M_Str[3].Out_Uls_f32</t>
  </si>
  <si>
    <t>CombAstNFSV_Cnt_M_Str[3].KPtr_Cnt_Str-&gt;A1_Uls_f32</t>
  </si>
  <si>
    <t>CombAstNFSV_Cnt_M_Str[3].KPtr_Cnt_Str-&gt;A2_Uls_f32</t>
  </si>
  <si>
    <t>CombAstNFSV_Cnt_M_Str[3].KPtr_Cnt_Str-&gt;B0_Uls_f32</t>
  </si>
  <si>
    <t>CombAstNFSV_Cnt_M_Str[3].KPtr_Cnt_Str-&gt;B1_Uls_f32</t>
  </si>
  <si>
    <t>CombAstNFSV_Cnt_M_Str[3].KPtr_Cnt_Str-&gt;B2_Uls_f32</t>
  </si>
  <si>
    <t>CombAstNFSV2_Cnt_M_Str[4]</t>
  </si>
  <si>
    <t>CombAstNFSV2_Cnt_M_Str[0].SV1_Uls_f32</t>
  </si>
  <si>
    <t>CombAstNFSV2_Cnt_M_Str[0].SV2_Uls_f32</t>
  </si>
  <si>
    <t>CombAstNFSV2_Cnt_M_Str[0].Out_Uls_f32</t>
  </si>
  <si>
    <t>CombAstNFSV2_Cnt_M_Str[0].KPtr_Cnt_Str-&gt;A1_Uls_f32</t>
  </si>
  <si>
    <t>CombAstNFSV2_Cnt_M_Str[0].KPtr_Cnt_Str-&gt;A2_Uls_f32</t>
  </si>
  <si>
    <t>CombAstNFSV2_Cnt_M_Str[0].KPtr_Cnt_Str-&gt;B0_Uls_f32</t>
  </si>
  <si>
    <t>CombAstNFSV2_Cnt_M_Str[0].KPtr_Cnt_Str-&gt;B1_Uls_f32</t>
  </si>
  <si>
    <t>CombAstNFSV2_Cnt_M_Str[0].KPtr_Cnt_Str-&gt;B2_Uls_f32</t>
  </si>
  <si>
    <t>CombAstNFSV2_Cnt_M_Str[1].SV1_Uls_f32</t>
  </si>
  <si>
    <t>CombAstNFSV2_Cnt_M_Str[1].SV2_Uls_f32</t>
  </si>
  <si>
    <t>CombAstNFSV2_Cnt_M_Str[1].Out_Uls_f32</t>
  </si>
  <si>
    <t>CombAstNFSV2_Cnt_M_Str[1].KPtr_Cnt_Str-&gt;A1_Uls_f32</t>
  </si>
  <si>
    <t>CombAstNFSV2_Cnt_M_Str[1].KPtr_Cnt_Str-&gt;A2_Uls_f32</t>
  </si>
  <si>
    <t>CombAstNFSV2_Cnt_M_Str[1].KPtr_Cnt_Str-&gt;B0_Uls_f32</t>
  </si>
  <si>
    <t>CombAstNFSV2_Cnt_M_Str[1].KPtr_Cnt_Str-&gt;B1_Uls_f32</t>
  </si>
  <si>
    <t>CombAstNFSV2_Cnt_M_Str[1].KPtr_Cnt_Str-&gt;B2_Uls_f32</t>
  </si>
  <si>
    <t>CombAstNFSV2_Cnt_M_Str[2].SV1_Uls_f32</t>
  </si>
  <si>
    <t>CombAstNFSV2_Cnt_M_Str[2].SV2_Uls_f32</t>
  </si>
  <si>
    <t>CombAstNFSV2_Cnt_M_Str[2].Out_Uls_f32</t>
  </si>
  <si>
    <t>CombAstNFSV2_Cnt_M_Str[2].KPtr_Cnt_Str-&gt;A1_Uls_f32</t>
  </si>
  <si>
    <t>CombAstNFSV2_Cnt_M_Str[2].KPtr_Cnt_Str-&gt;A2_Uls_f32</t>
  </si>
  <si>
    <t>CombAstNFSV2_Cnt_M_Str[2].KPtr_Cnt_Str-&gt;B0_Uls_f32</t>
  </si>
  <si>
    <t>CombAstNFSV2_Cnt_M_Str[2].KPtr_Cnt_Str-&gt;B1_Uls_f32</t>
  </si>
  <si>
    <t>CombAstNFSV2_Cnt_M_Str[2].KPtr_Cnt_Str-&gt;B2_Uls_f32</t>
  </si>
  <si>
    <t>CombAstNFSV2_Cnt_M_Str[3].SV1_Uls_f32</t>
  </si>
  <si>
    <t>CombAstNFSV2_Cnt_M_Str[3].SV2_Uls_f32</t>
  </si>
  <si>
    <t>CombAstNFSV2_Cnt_M_Str[3].Out_Uls_f32</t>
  </si>
  <si>
    <t>CombAstNFSV2_Cnt_M_Str[3].KPtr_Cnt_Str-&gt;A1_Uls_f32</t>
  </si>
  <si>
    <t>CombAstNFSV2_Cnt_M_Str[3].KPtr_Cnt_Str-&gt;A2_Uls_f32</t>
  </si>
  <si>
    <t>CombAstNFSV2_Cnt_M_Str[3].KPtr_Cnt_Str-&gt;B0_Uls_f32</t>
  </si>
  <si>
    <t>CombAstNFSV2_Cnt_M_Str[3].KPtr_Cnt_Str-&gt;B1_Uls_f32</t>
  </si>
  <si>
    <t>CombAstNFSV2_Cnt_M_Str[3].KPtr_Cnt_Str-&gt;B2_Uls_f32</t>
  </si>
  <si>
    <t>HwTrqSV_HwNm_M_Str</t>
  </si>
  <si>
    <t>Handwheel torque filter state variable</t>
  </si>
  <si>
    <t>HwTrqSV_HwNm_M_Str.SV_Uls_f32</t>
  </si>
  <si>
    <t>HwTrqSV_HwNm_M_Str.K_Uls_f32</t>
  </si>
  <si>
    <t>StCmpAsstFctrCmpBlnd_Uls_D_f32</t>
  </si>
  <si>
    <t xml:space="preserve">StCmp_AsstFctrCmpBlnd </t>
  </si>
  <si>
    <t>StabilityComp.1O</t>
  </si>
  <si>
    <t>StCmp12Blend_Uls_D_f32</t>
  </si>
  <si>
    <t>StCmp_12Blend</t>
  </si>
  <si>
    <t>StabilityComp.2O</t>
  </si>
  <si>
    <t>StCmp34Blend_Uls_D_f32</t>
  </si>
  <si>
    <t>StCmp_34Blend</t>
  </si>
  <si>
    <t>StabilityComp.3O</t>
  </si>
  <si>
    <t>StCmp02Blend_Uls_D_f32</t>
  </si>
  <si>
    <t>StCmp_02Blend</t>
  </si>
  <si>
    <t>StabilityComp.??</t>
  </si>
  <si>
    <t>StCmp04Blend_Uls_D_f32</t>
  </si>
  <si>
    <t>StCmp_04Blend</t>
  </si>
  <si>
    <t>StCmp1Out_MtrNm_D_f32</t>
  </si>
  <si>
    <t>StCmp_1Out</t>
  </si>
  <si>
    <t>StCmp2Out_MtrNm_D_f32</t>
  </si>
  <si>
    <t>StCmp_2Out</t>
  </si>
  <si>
    <t>StCmp3Out_MtrNm_D_f32</t>
  </si>
  <si>
    <t>StCmp_3Out</t>
  </si>
  <si>
    <t>StCmp4Out_MtrNm_D_f32</t>
  </si>
  <si>
    <t>StCmp_4Out</t>
  </si>
  <si>
    <t>AssistCmdSV_MtrNm_M_f32</t>
  </si>
  <si>
    <t>StCmp1Out2_MtrNm_D_f32</t>
  </si>
  <si>
    <t xml:space="preserve">StCmp_Sys1Out </t>
  </si>
  <si>
    <t>StCmp2Out2_MtrNm_D_f32</t>
  </si>
  <si>
    <t>StCmp_Sys2Out</t>
  </si>
  <si>
    <t>StCmp3Out2_MtrNm_D_f32</t>
  </si>
  <si>
    <t xml:space="preserve">StCmp_Sys3Out  </t>
  </si>
  <si>
    <t>StCmp4Out2_MtrNm_D_f32</t>
  </si>
  <si>
    <t xml:space="preserve">StCmp_Sys4Out </t>
  </si>
  <si>
    <t>HwTorqueSV_HwNm_M_f32</t>
  </si>
  <si>
    <t>VehicleSpeedSV_Kph_M_f32</t>
  </si>
  <si>
    <t>AssistDDFactorSV_Uls_M_f32</t>
  </si>
  <si>
    <t>StabCompOverThresh_Cnt_D_lgc</t>
  </si>
  <si>
    <t xml:space="preserve">StCmp_SysCorrOverThresh_lgc </t>
  </si>
  <si>
    <t>StCmpPNStatus_Cnt_M_lgc</t>
  </si>
  <si>
    <t>ATerm_Cnt_lgc</t>
  </si>
  <si>
    <t>StaMd</t>
  </si>
  <si>
    <t>A Term</t>
  </si>
  <si>
    <t>Customer specific term (defined in the control module specification) to determine whether or not the conditions exist from the customer view to maintain or remove control module power supply voltage (ie – turn off completely)</t>
  </si>
  <si>
    <t>CTerm_Cnt_lgc</t>
  </si>
  <si>
    <t>C Term</t>
  </si>
  <si>
    <t>Customer specific term (defined in the control module specification) to determine whether or not the conditions exist from the customer view to command or remove assist.</t>
  </si>
  <si>
    <t>FTerm_Cnt_lgc</t>
  </si>
  <si>
    <t>F1_F2_Terms</t>
  </si>
  <si>
    <t>Diagnostic flag from the diagnostic manager FDD that is used to indicate a fault requesting assist removal is present</t>
  </si>
  <si>
    <t>RampStatusComplete_Cnt_lgc</t>
  </si>
  <si>
    <t>Ramp Status Complete</t>
  </si>
  <si>
    <t>Indicates normal ramping has completed – used for milestone data.</t>
  </si>
  <si>
    <t>ControlledDampStatusComplete_Cnt_lgc</t>
  </si>
  <si>
    <t>Indicates special torque fault ramping has completed – used for milestone data.</t>
  </si>
  <si>
    <t>CloseCheck_Cnt_u32</t>
  </si>
  <si>
    <t>TypeHData_Cnt_u08 [D_TYPEHDATASIZE_CNT_U16]</t>
  </si>
  <si>
    <t>DiagStsDiagRmpActive_Cnt_lgc</t>
  </si>
  <si>
    <t>StOpCtrl</t>
  </si>
  <si>
    <t>DiagRampRate_XpmS_f32</t>
  </si>
  <si>
    <t>Diagnostic Ramp Rate</t>
  </si>
  <si>
    <t>Input value for the commanded ramp rate due to a dignostic action</t>
  </si>
  <si>
    <t>DiagRampValue_Uls_f32</t>
  </si>
  <si>
    <t>Diagnostic Ramp Value</t>
  </si>
  <si>
    <t>Input value for the final of the ramp function for a diagnostic action</t>
  </si>
  <si>
    <t>Operational Ramp Rate</t>
  </si>
  <si>
    <t>Input value for the commanded ramp rate from operational related functions.
Note: FDD has units in Percent/sec, whereas in software units are XpmS.</t>
  </si>
  <si>
    <t>Operational Ramp Value</t>
  </si>
  <si>
    <t>Input variable for the final value of the ramp function</t>
  </si>
  <si>
    <t>RampDwnStatusComplete_Cnt_lgc</t>
  </si>
  <si>
    <t>RampStatusComplete</t>
  </si>
  <si>
    <t>Output indicating that the ramp factor has reached zero and the output is to be completely ramped down to zero.</t>
  </si>
  <si>
    <t>scaling multiplier used to perform ramp down of motor torque</t>
  </si>
  <si>
    <t>RampSrlComSvcDft_Cnt_lgc</t>
  </si>
  <si>
    <t>Defeat Ramp Service</t>
  </si>
  <si>
    <t>Service used to defeat the ramping functions for manufacturing</t>
  </si>
  <si>
    <t>PrevTargetRampMult_Uls_M_f32</t>
  </si>
  <si>
    <t>Ramp Target</t>
  </si>
  <si>
    <t>PrevOutputRampMult_Uls_M_f32</t>
  </si>
  <si>
    <t>PrevRate_XpmS_M_f32</t>
  </si>
  <si>
    <t>Rate</t>
  </si>
  <si>
    <t>RampState_M_Str</t>
  </si>
  <si>
    <t>RampState_T</t>
  </si>
  <si>
    <t>RampState_M_Str.StartTime_mS_u32</t>
  </si>
  <si>
    <t>RampState_M_Str.Duration_mS_u32</t>
  </si>
  <si>
    <t>RampState_M_Str.StartVal_Uls_f32</t>
  </si>
  <si>
    <t>RampState_M_Str.EndVal_Uls_f32</t>
  </si>
  <si>
    <t>FETFaultPhase_Cnt_enum</t>
  </si>
  <si>
    <t>FETFaultType_Cnt_enum</t>
  </si>
  <si>
    <t>MtrDrvrInit_Complete</t>
  </si>
  <si>
    <t>FET_DiagSts</t>
  </si>
  <si>
    <t>ExpectedOnTimeA_Cnt_u32</t>
  </si>
  <si>
    <t>ExpectedOnTime_A</t>
  </si>
  <si>
    <t>Expected On Time</t>
  </si>
  <si>
    <t>ExpectedOnTimeB_Cnt_u32</t>
  </si>
  <si>
    <t>ExpectedOnTime_B</t>
  </si>
  <si>
    <t>ExpectedOnTimeC_Cnt_u32</t>
  </si>
  <si>
    <t>ExpectedOnTime_C</t>
  </si>
  <si>
    <t>MeasuredOnTimeA_Cnt_u32</t>
  </si>
  <si>
    <t>MeasuredOnTime_A</t>
  </si>
  <si>
    <t>Measured On Time</t>
  </si>
  <si>
    <t>MeasuredOnTimeB_Cnt_u32</t>
  </si>
  <si>
    <t>MeasuredOnTime_B</t>
  </si>
  <si>
    <t>MeasuredOnTimeC_Cnt_u32</t>
  </si>
  <si>
    <t>MeasuredOnTime_C</t>
  </si>
  <si>
    <t>LPF State Variable for each phase</t>
  </si>
  <si>
    <t>s18p13_T</t>
  </si>
  <si>
    <t>HighResPhsReasDisable</t>
  </si>
  <si>
    <t>Delay counter for HighRes Phase Reasonableness</t>
  </si>
  <si>
    <t>LowResPhsReasDisable</t>
  </si>
  <si>
    <t>Delay counter for LowRes  Phase Reasonableness</t>
  </si>
  <si>
    <t>PDActivateTest_Cnt_T_lgc</t>
  </si>
  <si>
    <t>PDActivateTest</t>
  </si>
  <si>
    <t>LRPRHighLimit</t>
  </si>
  <si>
    <t>LRPRLowLimit</t>
  </si>
  <si>
    <t>CDD_SeedPWMDither_Cnt_M_u16</t>
  </si>
  <si>
    <t>CDD_DitherFlt1SV_Cnt_M_u16</t>
  </si>
  <si>
    <t>CDD_DitherFlt2SV_Cnt_M_u16</t>
  </si>
  <si>
    <t>CDD_PhaseOffset_Rev_M_u0p16[3]</t>
  </si>
  <si>
    <t>PrevDCPhsAComp_Cnt_M_u16p0</t>
  </si>
  <si>
    <t>z-1 Number of On-Time high res NHET Counts for  phase</t>
  </si>
  <si>
    <t>PrevDCPhsBComp_Cnt_M_u16p0</t>
  </si>
  <si>
    <t>PrevDCPhsCComp_Cnt_M_u16p0</t>
  </si>
  <si>
    <t>DCPhsAComp_Cnt_M_u16p0</t>
  </si>
  <si>
    <t>DCPhsBComp_Cnt_M_u16p0</t>
  </si>
  <si>
    <t>PWM_Duty_Cycle_B</t>
  </si>
  <si>
    <t>DCPhsCComp_Cnt_M_u16p0</t>
  </si>
  <si>
    <t>PWM_Duty_Cycle_C</t>
  </si>
  <si>
    <t>PrevPWMPeriod_Cnt_M_u16</t>
  </si>
  <si>
    <t>z-1 Number of high res NHET Counts for the current period</t>
  </si>
  <si>
    <t>PWMPeriod_Cnt_M_u16</t>
  </si>
  <si>
    <t>Number of high res NHET Counts for the current period</t>
  </si>
  <si>
    <t>Data access semaphore to provide data access consistency for Application to Motor Control ISR communication.</t>
  </si>
  <si>
    <t>CDD_AppDataFwdPthAccessBfr_Cnt_G_u16</t>
  </si>
  <si>
    <t>CDD_PWMDutyCycleASum_Cnt_G_u32[2]</t>
  </si>
  <si>
    <t>Sum of the phase on time. Intermediate unnamed signal in the FDD.</t>
  </si>
  <si>
    <t>CDD_PWMDutyCycleBSum_Cnt_G_u32[2]</t>
  </si>
  <si>
    <t>CDD_PWMDutyCycleCSum_Cnt_G_u32[2]</t>
  </si>
  <si>
    <t>CDD_PWMPeriodSum_Cnt_G_u32[2]</t>
  </si>
  <si>
    <t>Deprecated from version FDD 15C 001</t>
  </si>
  <si>
    <t>CDD_PhsReasA_Cnt_G_u16[2]</t>
  </si>
  <si>
    <t>phy_PhsAV</t>
  </si>
  <si>
    <t>Deprecated from version FDD 15C 001. Applied voltage to the motor phase</t>
  </si>
  <si>
    <t>CDD_PhsReasB_Cnt_G_u16[2]</t>
  </si>
  <si>
    <t>phy_PhsBV</t>
  </si>
  <si>
    <t>CDD_PhsReasC_Cnt_G_u16[2]</t>
  </si>
  <si>
    <t>phy_PhsCV</t>
  </si>
  <si>
    <t>CDD_PhaseAdvFinal_Cnt_G_u16[2]</t>
  </si>
  <si>
    <t>Phase_Advance</t>
  </si>
  <si>
    <t>Phase angle offset of the motor voltage command with respect to the motor BEMF.</t>
  </si>
  <si>
    <t>CDD_CommOffset_Cnt_G_u16[2]</t>
  </si>
  <si>
    <t>CommutationVoltageOffset</t>
  </si>
  <si>
    <t>Amount of phase offset applied to the three phase voltages</t>
  </si>
  <si>
    <t>CDD_MtrPosElec_Rev_G_u0p16[2]</t>
  </si>
  <si>
    <t>BEMF aligned motor position</t>
  </si>
  <si>
    <t>CDD_PwmDisable_Cnt_G_lgc[2]</t>
  </si>
  <si>
    <t>CDD_ModIdxFinal_Uls_G_u16p16[2]</t>
  </si>
  <si>
    <t>Duty cycle command as a percentage of Vecu</t>
  </si>
  <si>
    <t>u16p16_T</t>
  </si>
  <si>
    <t>PrevLowerEnd_Cnt_M_u16[4]</t>
  </si>
  <si>
    <t>{0,0,0,0}</t>
  </si>
  <si>
    <t>MtrPkCurr_AmpSq_f32</t>
  </si>
  <si>
    <t>Peak Current Estimate (Squared) from Motor Control Function (units of Amps Squared)</t>
  </si>
  <si>
    <t>FilteredPkCurr_AmpSq_f32</t>
  </si>
  <si>
    <t>Filtered_PkCurr_AmpsSq</t>
  </si>
  <si>
    <t>Filtered Peak Current Estimate (Squared) from Motor Control Function (units of Amps Squared)</t>
  </si>
  <si>
    <t>Motor velocity signal in mechanical radians per second  from Motor Velocity Function</t>
  </si>
  <si>
    <t>Filtered measured temperature value from Temperature Estimation Function</t>
  </si>
  <si>
    <t>Estimated temperature of FET’s (power transistors) from Temperature Estimation Function</t>
  </si>
  <si>
    <t>Estimated temperature of motor magnet from Temperature Estimation Function</t>
  </si>
  <si>
    <t>Estimated temperature of motor winding from Temperature Estimation Function</t>
  </si>
  <si>
    <t>DefeatDutySvc_Cnt_lgc</t>
  </si>
  <si>
    <t>Defeat_Duty_Svc</t>
  </si>
  <si>
    <t>Defeat outputs for manufacturing</t>
  </si>
  <si>
    <t>Unsigned torque limit value in units of Motor Nm based on usage and temperature</t>
  </si>
  <si>
    <t>Additional feature which provides a torque command scale factor to reduce the assist gain once the duty cycle usage system level performance specification has been exceeded</t>
  </si>
  <si>
    <t>ThermLimitPerc_Uls_f32</t>
  </si>
  <si>
    <t>ThermLimitPerc</t>
  </si>
  <si>
    <t>Value representing the percent reduction in assist being produced by the Thermal_Limit value</t>
  </si>
  <si>
    <t>Duty_LastTblValRAM</t>
  </si>
  <si>
    <t>Duty_AbsTempFaultCnt</t>
  </si>
  <si>
    <t>Duty_Filt1Out</t>
  </si>
  <si>
    <t>Duty_Filt2Out</t>
  </si>
  <si>
    <t>Duty_Filt3Out</t>
  </si>
  <si>
    <t>Duty_Filt4Out</t>
  </si>
  <si>
    <t>Duty_Filt5Out</t>
  </si>
  <si>
    <t>Duty_Filt6Out</t>
  </si>
  <si>
    <t>Duty_AbsTempLim</t>
  </si>
  <si>
    <t>Duty_Mult12Temp</t>
  </si>
  <si>
    <t>Duty_Mult36Temp</t>
  </si>
  <si>
    <t>Duty_MaxOut</t>
  </si>
  <si>
    <t>Duty_Mult1</t>
  </si>
  <si>
    <t>Duty_Mult2</t>
  </si>
  <si>
    <t>Duty_Mult3</t>
  </si>
  <si>
    <t>Duty_Mult4</t>
  </si>
  <si>
    <t>Duty_Mult5</t>
  </si>
  <si>
    <t>Duty_Mult6</t>
  </si>
  <si>
    <t>Duty_LastTblVal</t>
  </si>
  <si>
    <t>Duty_LastTblValSlew</t>
  </si>
  <si>
    <t>Duty_AbsTemp_Limit</t>
  </si>
  <si>
    <t>Duty_ThrmLoadLmtTblYVal</t>
  </si>
  <si>
    <t>Duty_e_Filt3Val_cnt</t>
  </si>
  <si>
    <t>Duty_e_Filt4Val_cnt</t>
  </si>
  <si>
    <t>Duty_e_Filt5Val_cnt</t>
  </si>
  <si>
    <t>Duty_e_Filt6Val_cnt</t>
  </si>
  <si>
    <t>Signal from Hardware Power Up to begin init sequence</t>
  </si>
  <si>
    <t>Signal to Hardware Power Up  to signal init sequence complete</t>
  </si>
  <si>
    <t>TmprlMonSt_Cnt_M_enum</t>
  </si>
  <si>
    <t>Step</t>
  </si>
  <si>
    <t>State of Temporal Monitor Initialization</t>
  </si>
  <si>
    <t>InitTestStatus_Cnt_M_enum</t>
  </si>
  <si>
    <t>DTC TMF Circuitry Init</t>
  </si>
  <si>
    <t>Initialization Test Status</t>
  </si>
  <si>
    <t>NTCStatusByte_Cnt_M_u08</t>
  </si>
  <si>
    <t>Error status byte</t>
  </si>
  <si>
    <t>InitialTime_mS_M_u32</t>
  </si>
  <si>
    <t>InitialTime_ms</t>
  </si>
  <si>
    <t>Time since entering state</t>
  </si>
  <si>
    <t>TMFTestComplete_Cnt_M_lgc</t>
  </si>
  <si>
    <t>TmprlMonPNAccum_Cnt_M_u16</t>
  </si>
  <si>
    <t>unit16</t>
  </si>
  <si>
    <t>Conditioned vehicle speed from serial communications bus</t>
  </si>
  <si>
    <t>DesiredTunPers_Cnt_u16</t>
  </si>
  <si>
    <t>DesiredTunPers</t>
  </si>
  <si>
    <t>DesiredTunSet_Cnt_u16</t>
  </si>
  <si>
    <t>DesiredTunSet</t>
  </si>
  <si>
    <t xml:space="preserve">TunPer_Ptr_Str </t>
  </si>
  <si>
    <t>TUNING_P_Str*</t>
  </si>
  <si>
    <t xml:space="preserve">TunSet_Ptr_Str </t>
  </si>
  <si>
    <t>TUNING_Y_Str*</t>
  </si>
  <si>
    <t>ActiveTunPers_Cnt_u16</t>
  </si>
  <si>
    <t>ActiveTunPers</t>
  </si>
  <si>
    <t>ActiveTunSet_Cnt_u16</t>
  </si>
  <si>
    <t>ActiveTunSet</t>
  </si>
  <si>
    <t>PrevTunSet_Cnt_M_u16</t>
  </si>
  <si>
    <t>PrevTunPers_Cnt_M_u16</t>
  </si>
  <si>
    <t>VehSpdLmt.1I</t>
  </si>
  <si>
    <t>HwPosAuth_Uls_f32</t>
  </si>
  <si>
    <t>AstVehSpdLimit_MtrNm_f32</t>
  </si>
  <si>
    <t>ZeroVehSpd_MtrNm_D_u5p11</t>
  </si>
  <si>
    <t>VSpdLim_YPtOne</t>
  </si>
  <si>
    <t>LimitTerm_MtrNm_D_u5p11</t>
  </si>
  <si>
    <t>VSpdLim_YPtTwo</t>
  </si>
  <si>
    <t>BkPtOne_HwDeg_D_u12p4</t>
  </si>
  <si>
    <t>VSpdLim_BkPtOne</t>
  </si>
  <si>
    <t>BkPtTwo_HwDeg_D_u12p4</t>
  </si>
  <si>
    <t>VSpdLim_BkPtTwo</t>
  </si>
  <si>
    <t>CMS_Haitec</t>
  </si>
  <si>
    <t>&lt;TUNINGINDEX_P_A&gt;</t>
  </si>
  <si>
    <t>#pragma DATA_SECTION(k_TunSet&lt;TUNINGINDEX_Y&gt;_Cnt_Str, ".TunSet&lt;TUNINGINDEX_Y&gt;CalSeg");
CONST(TUNING_Y_Str, CAL_CONST)k_TunSet&lt;TUNINGINDEX_Y&gt;_Cnt_Str = { &lt;VALUELIST&gt; };</t>
  </si>
  <si>
    <t>#define &lt;ROOTNAME&gt;&lt;TAB&gt;TunSet_Ptr_Str-&gt;&lt;ROOTNAME&gt;</t>
  </si>
  <si>
    <t>k_TunSet&lt;TUNINGINDEX_Y&gt;_Cnt_Str.&lt;ROOTNAME&gt;</t>
  </si>
  <si>
    <t>#error Tuning Personalities not supported in Haitec LC</t>
  </si>
  <si>
    <t>{{0,0.1015625,0.20703125,0.24609375,0.2890625,0.3359375,0.3828125,0.4296875,0.48046875,0.5234375,0.5703125,0.62109375},{0,0.1015625,0.3046875,0.39453125,0.48046875,0.578125,0.66796875,0.765625,0.859375,0.94921875,1.04296875,1.1328125},{0,0.19921875,0.3125,0.44140625,0.56640625,0.6875,0.80078125,0.9296875,1.0390625,1.16015625,1.2890625,1.40625},{0,0.19921875,0.3125,0.4296875,0.5703125,0.67578125,0.80078125,0.92578125,1.0390625,1.16796875,1.2890625,1.40625},{0,0.19921875,0.3125,0.43359375,0.55859375,0.69140625,0.80859375,0.9296875,1.04296875,1.171875,1.2890625,1.40234375},{0,0.19921875,0.30859375,0.43359375,0.54296875,0.6796875,0.8046875,0.921875,1.04296875,1.171875,1.3046875,1.4296875},{0,0.19921875,0.3125,0.4140625,0.5546875,0.68359375,0.80078125,0.93359375,1.0546875,1.171875,1.296875,1.4296875},{0,0.19921875,0.390625,0.5078125,0.63671875,0.7578125,0.89453125,1.01953125,1.13671875,1.265625,1.38671875,1.515625},{0,0.19921875,0.390625,0.5078125,0.640625,0.765625,0.90625,1.015625,1.16015625,1.27734375,1.40625,1.546875},{0,0.19921875,0.390625,0.5078125,0.640625,0.765625,0.90625,1.015625,1.16015625,1.27734375,1.40625,1.546875},{0,0.19921875,0.390625,0.5078125,0.640625,0.765625,0.90625,1.015625,1.16015625,1.27734375,1.40625,1.546875},{0,0.19921875,0.390625,0.5078125,0.640625,0.765625,0.90625,1.015625,1.16015625,1.27734375,1.40625,1.546875}}</t>
  </si>
  <si>
    <t>{{0,0,0.0234375,0.03515625,0.05078125,0.0703125,0.09375,0.12109375,0.15234375,0.18359375,0.21875,0.26171875},{0,0,0.03125,0.05078125,0.07421875,0.10546875,0.140625,0.18359375,0.23046875,0.28125,0.33984375,0.40234375},{0,0,0.015625,0.0390625,0.06640625,0.09765625,0.1328125,0.17578125,0.21875,0.26953125,0.328125,0.38671875},{0,0,0.015625,0.03515625,0.0625,0.0859375,0.1171875,0.15234375,0.1875,0.23046875,0.2734375,0.3203125},{0,0,0.015625,0.03515625,0.05859375,0.0859375,0.11328125,0.14453125,0.17578125,0.21484375,0.25390625,0.29296875},{0,0,0.015625,0.03515625,0.0546875,0.08203125,0.109375,0.13671875,0.16796875,0.203125,0.2421875,0.28125},{0,0,0.015625,0.03125,0.0546875,0.078125,0.1015625,0.12890625,0.15625,0.18359375,0.21484375,0.25},{0,0,0.0234375,0.0390625,0.05859375,0.078125,0.1015625,0.125,0.1484375,0.17578125,0.203125,0.234375},{0,0,0.0234375,0.039062499,0.058593749,0.078124999,0.101562499,0.121093748,0.148437498,0.171874998,0.199218747,0.230468747},{0,0,0.0234375,0.039062499,0.058593749,0.078124999,0.101562499,0.121093748,0.148437498,0.171874998,0.199218747,0.230468747},{0,0,0.0234375,0.039062499,0.058593749,0.078124999,0.101562499,0.121093748,0.148437498,0.171874998,0.199218747,0.230468747},{0,0,0.0234375,0.039062499,0.058593749,0.078124999,0.101562499,0.121093748,0.148437498,0.171874998,0.199218747,0.230468747}}</t>
  </si>
  <si>
    <t>{{0, 0.25, 0.5, 0.75, 1.1},{0, 0.25, 0.5, 0.75, 1.1},{0, 0.25, 0.5, 0.75, 1.1},{0, 0.25, 0.5, 0.75, 1.1},{0, 0.25, 0.5, 0.75, 1.1},{0, 0.25, 0.5, 0.75, 1.1},{0, 0.25, 0.5, 0.75, 1.1},{0, 0.25, 0.5, 0.75, 1.1},{0, 0.25, 0.5, 0.75, 1.1},{0, 0.25, 0.5, 0.75, 1.1},{0, 0.25, 0.5, 0.75, 1.1},{0, 0.25, 0.5, 0.75, 1.1}}</t>
  </si>
  <si>
    <t>{{0, 0, 0.5, 0.9, 1},{0, 0, 0.5, 0.9, 1},{0, 0, 0.5, 0.9, 1},{0, 0, 0.5, 0.9, 1},{0, 0, 0.5, 0.9, 1},{0, 0, 0.5, 0.9, 1},{0, 0, 0.5, 0.9, 1},{0, 0, 0.5, 0.9, 1},{0, 0, 0.5, 0.9, 1},{0, 0, 0.5, 0.9, 1},{0, 0, 0.5, 0.9, 1},{0, 0, 0.5, 0.9, 1}}</t>
  </si>
  <si>
    <t>{{0,0.25,0.5,0.75,1,1.25,1.5,2,4,6,7.5,7.75,8},{0,0.25,0.5,0.75,1,1.25,1.5,2,4,6,7.5,7.75,8},{0,0.25,0.5,0.75,1,1.25,1.5,2,4,6,7.5,7.75,8},{0,0.25,0.5,0.75,1,1.25,1.5,2,4,6,7.5,7.75,8},{0,0.25,0.5,0.75,1,1.25,1.5,2,4,6,7.5,7.75,8},{0,0.25,0.5,0.75,1,1.25,1.5,2,4,6,7.5,7.75,8},{0,0.25,0.5,0.75,1,1.25,1.5,2,4,6,7.5,7.75,8},{0,0.25,0.5,0.75,1,1.25,1.5,2,4,6,7.5,7.75,8},{0,0.25,0.5,0.75,1,1.25,1.5,2,4,6,7.5,7.75,8},{0,0.25,0.5,0.75,1,1.25,1.5,2,4,6,7.5,7.75,8},{0,0.25,0.5,0.75,1,1.25,1.5,2,4,6,7.5,7.75,8},{0,0.25,0.5,0.75,1,1.25,1.5,2,4,6,7.5,7.75,8}}</t>
  </si>
  <si>
    <t>{{0.25,0.2,0.13,0.08,0.04,0.01,0,0,0,0,0,0,0},{0.25,0.2,0.13,0.08,0.04,0.01,0,0,0,0,0,0,0},{0.25,0.2,0.13,0.08,0.04,0.01,0,0,0,0,0,0,0},{0.25,0.2,0.13,0.08,0.04,0.01,0,0,0,0,0,0,0},{0.25,0.2,0.13,0.08,0.04,0.01,0,0,0,0,0,0,0},{0.25,0.2,0.13,0.08,0.04,0.01,0,0,0,0,0,0,0},{0.25,0.2,0.13,0.08,0.04,0.01,0,0,0,0,0,0,0},{0.25,0.2,0.13,0.08,0.04,0.01,0,0,0,0,0,0,0},{0.25,0.2,0.13,0.08,0.04,0.01,0,0,0,0,0,0,0},{0.25,0.2,0.13,0.08,0.04,0.01,0,0,0,0,0,0,0},{0.25,0.2,0.13,0.08,0.04,0.01,0,0,0,0,0,0,0},{0.25,0.2,0.13,0.08,0.04,0.01,0,0,0,0,0,0,0}}</t>
  </si>
  <si>
    <t>{{0,0.25,0.5,0.75,1},{0,0.25,0.5,0.75,1},{0,0.25,0.5,0.75,1},{0,0.25,0.5,0.75,1},{0,0.25,0.5,0.75,1},{0,0.25,0.5,0.75,1},{0,0.25,0.5,0.75,1},{0,0.25,0.5,0.75,1},{0,0.25,0.5,0.75,1},{0,0.25,0.5,0.75,1},{0,0.25,0.5,0.75,1},{0,0.25,0.5,0.75,1}}</t>
  </si>
  <si>
    <t>{{0,0,0,0,0},{0,0,0,0,0},{0,0,0,0,0},{0,0,0,0,0},{0,0,0,0,0},{0,0,0,0,0},{0,0,0,0,0},{0,0,0,0,0},{0,0,0,0,0},{0,0,0,0,0},{0,0,0,0,0},{0,0,0,0,0}}</t>
  </si>
  <si>
    <t>{{0,0,0,0,0,0,0,0,0,0,0,0},{0,0,0,0,0,0,0,0,0,0,0,0}}</t>
  </si>
  <si>
    <t>k_SrvcHwTrqLimit_HwNm_f32</t>
  </si>
  <si>
    <t>Handwheel torque limit for CMS</t>
  </si>
  <si>
    <t>k_SrvcVehSpdLimit_Kph_f32</t>
  </si>
  <si>
    <t>Vehicle speed limit for CMS</t>
  </si>
  <si>
    <t>FDD08B BatterySwitchedVoltage, FDD08B BatterySwitchedVoltage</t>
  </si>
  <si>
    <t>{0,25,50,75,100,125,135}</t>
  </si>
  <si>
    <t>{{0,0,0,0,0,0,0}, {0,0,0,0,0,0,0},{0,0,0,0,0,0,0},{0,0,0,0,0,0,0},{0,0,0,0,0,0,0},{0,0,0,0,0,0,0}}</t>
  </si>
  <si>
    <t>k_MtrMotionThresh_MtrRadpS_f32</t>
  </si>
  <si>
    <t>k_MtrMotionThresh</t>
  </si>
  <si>
    <t>Threshold value used to determine if the motor is moving</t>
  </si>
  <si>
    <t>BkCpPc</t>
  </si>
  <si>
    <t>FDD11B BulkCapacitorPrechargeAndPowerDisconnect</t>
  </si>
  <si>
    <t>k_PwrDiscOpenThresh_Volts_f32</t>
  </si>
  <si>
    <t>k_PwrDisc_Open_Thresh</t>
  </si>
  <si>
    <t>k_PMOSDIAGOpenThresh_Volts_f32</t>
  </si>
  <si>
    <t>k_ PMOS_DIAG _ Open _Thresh</t>
  </si>
  <si>
    <t>k_OVERRIDESIGDIAGOpenThresh_Volts_f32</t>
  </si>
  <si>
    <t>k_ OVERRIDE_SIG_DIAG _ Open _Thresh</t>
  </si>
  <si>
    <t>k_VerifyPwrDiscOpenThresh_mS_u16</t>
  </si>
  <si>
    <t>k_VerifyPwrDiscOpen_Thresh</t>
  </si>
  <si>
    <t>k_WaitForSqrWaveThresh_mS_u16</t>
  </si>
  <si>
    <t>k_WaitForSqrWave_Thresh</t>
  </si>
  <si>
    <t>k_PwrDiscCloseThresh_Volts_f32</t>
  </si>
  <si>
    <t>k_PwrDisc_Close_Thresh</t>
  </si>
  <si>
    <t>k_PrechargeThresh_mS_u16</t>
  </si>
  <si>
    <t>k_Precharge_Thresh</t>
  </si>
  <si>
    <t>k_PMOSVError_Volts_f32</t>
  </si>
  <si>
    <t>k_PMOS_VError</t>
  </si>
  <si>
    <t>k_PMOSTError_mS_u16</t>
  </si>
  <si>
    <t>k_PMOS_TError</t>
  </si>
  <si>
    <t>k_MaxDischEst_Uls_f32</t>
  </si>
  <si>
    <t>k_MaxDischEst</t>
  </si>
  <si>
    <t>Maximum discharge estimator tau equivalent</t>
  </si>
  <si>
    <t>k_MinDischEst_Uls_f32</t>
  </si>
  <si>
    <t>k_MinDischEst</t>
  </si>
  <si>
    <t>Minimum discharge estimator tau equivalent</t>
  </si>
  <si>
    <t>k_VswitchDeltaThresh_Volts_f32</t>
  </si>
  <si>
    <t>k_Vswitch_Delta_Thresh</t>
  </si>
  <si>
    <t>Maximum delta voltage before which the power disconnect is considered open</t>
  </si>
  <si>
    <t>k_VerifyPwrDiscCloseThresh_mS_u16</t>
  </si>
  <si>
    <t>k_VerifyPwrDiscClose_Thresh</t>
  </si>
  <si>
    <t>Maximum time allotted to determine if the power disconnect is indeed closed</t>
  </si>
  <si>
    <t>k_ChargePumpDiag_Cnt_str</t>
  </si>
  <si>
    <t>Charge pump min delta fault accumulator parameters</t>
  </si>
  <si>
    <t>{100, 4, 1}</t>
  </si>
  <si>
    <t>k_VbattSwitchThreshNonExt_Volt_f32</t>
  </si>
  <si>
    <t>k_VbattSwitchThresh_NonExt</t>
  </si>
  <si>
    <t>k_VbattSwitchThreshExNorm_Volt_f32</t>
  </si>
  <si>
    <t>k_VbattSwitchThresh_ExNorm</t>
  </si>
  <si>
    <t>k_ChargeMinDeltaNonOp_Volt_f32</t>
  </si>
  <si>
    <t>k_ChargeMinDelta_NonOp</t>
  </si>
  <si>
    <t>k_ChargeMinDeltaExtOp_Volt_f32</t>
  </si>
  <si>
    <t>k_ChargeMinDelta_ExtOp</t>
  </si>
  <si>
    <t>k_ChargeMinDeltaNormlOp_Volt_f32</t>
  </si>
  <si>
    <t>k_ChargeMinDelta_NormalOp</t>
  </si>
  <si>
    <t>EtDmpFw</t>
  </si>
  <si>
    <t>t_EOTDmpFWActiveBoundX_MtrRadpS_s11p4[5]</t>
  </si>
  <si>
    <t>EOTDmpFW_t_ActiveBoundX_MtrRadpS</t>
  </si>
  <si>
    <t>{-700, -5, 10, 50, 700}</t>
  </si>
  <si>
    <t>t2_EOTDmpFWActiveBoundY_MtrNm_s7p8[4][5]</t>
  </si>
  <si>
    <t>EOTDmpFW_t2_ActiveBoundY_MtrNm</t>
  </si>
  <si>
    <t>{{8.8,8.8,8.8,8.8,8.8},{8.8,8.8,8.8,8.8,8.8},{8.8,8.8,8.8,8.8,8.8},{8.8,8.8,8.8,8.8,8.8}}</t>
  </si>
  <si>
    <t>k_EOTDmpFWInactiveLim_MtrNm_f32</t>
  </si>
  <si>
    <t>EOTDmpFW_k_InactiveLim_MtrNm</t>
  </si>
  <si>
    <t>t_EOTDmpFWVehSpd_Kph_u9p7[4]</t>
  </si>
  <si>
    <t>EOTDmpFW_t_VehSpd_Kph</t>
  </si>
  <si>
    <t>{0, 20, 40, 60}</t>
  </si>
  <si>
    <t>k_Harmonic6thElec_Uls_f32</t>
  </si>
  <si>
    <t>k_HarmonicElec_6th</t>
  </si>
  <si>
    <t>k_Harmonic12thElec_Uls_f32</t>
  </si>
  <si>
    <t>k_Harmonic12thElec</t>
  </si>
  <si>
    <t>k_Harmonic18thElec_Uls_f32</t>
  </si>
  <si>
    <t>k_Harmonic18thElec</t>
  </si>
  <si>
    <t>18th Harmonic</t>
  </si>
  <si>
    <t>t2_MtrCurrQaxRpl18X_Amp_s6p9[6][7]</t>
  </si>
  <si>
    <t>t2_MtrCurrQaxRpl18Y_Amp_s6p9[6][7]</t>
  </si>
  <si>
    <t>t_MtrCurrQaxRplPIY_Amp_u9p7[7]</t>
  </si>
  <si>
    <t>t_MtrCurrQaxRplPIY_Amp</t>
  </si>
  <si>
    <t>t2_MtrTrqCancPIMagRP_Uls_u6p10[10][7]</t>
  </si>
  <si>
    <t>t2_MtrTrqCancPIMagRP_Uls</t>
  </si>
  <si>
    <t>{{0,0,0,0,0,0,0},{0,0,0,0,0,0,0},{0,0,0,0,0,0,0},{0,0,0,0,0,0,0},{0,0,0,0,0,0,0},{0,0,0,0,0,0,0},{0,0,0,0,0,0,0},{0,0,0,0,0,0,0},{0,0,0,0,0,0,0},{0,0,0,0,0,0,0}}</t>
  </si>
  <si>
    <t>t2_MtrTrqCancPIPhRP_Rev_u0p16[10][7]</t>
  </si>
  <si>
    <t>t2_MtrTrqCancPIPhRP_Rev</t>
  </si>
  <si>
    <t>MtrCurrQax12Mag_Amp_M_f32</t>
  </si>
  <si>
    <t>MtrCurrQax6Mag_Amp_M_f32</t>
  </si>
  <si>
    <t>MtrCurrQax6Mag_Amp</t>
  </si>
  <si>
    <t>MtrCurrQax12Ph_Rad_M_f32</t>
  </si>
  <si>
    <t>MtrCurrQax6Ph_Rad_M_f32</t>
  </si>
  <si>
    <t xml:space="preserve">SlowAccessBufIndex_Cnt_M_u16 </t>
  </si>
  <si>
    <t>FastAccessBufIndex_Cnt_M_u16</t>
  </si>
  <si>
    <t>MtrCurrQax18thMagFinal_Amp_D_f32</t>
  </si>
  <si>
    <t>MtrCurrQax18thMagFinal_Amp</t>
  </si>
  <si>
    <t>MtrTrqRip18thPhsFinal_Rad_D_f32</t>
  </si>
  <si>
    <t>MtrTrqRip18thPhsFinal_Rad</t>
  </si>
  <si>
    <t>MtrCurrQax18thMag_Amp_D_f32</t>
  </si>
  <si>
    <t>MtrCurrQax18thMag_Amp</t>
  </si>
  <si>
    <t>MtrTrqRip18thPhs_Rad_D_f32</t>
  </si>
  <si>
    <t>MtrTrqRip18thPhs_Rad</t>
  </si>
  <si>
    <t>MtrCurrQax18Mag_Amp_M_f32</t>
  </si>
  <si>
    <t>MtrCurrQax18Mag_Amp</t>
  </si>
  <si>
    <t>MtrCurrQax18Ph_Rad_M_f32</t>
  </si>
  <si>
    <t>MtrCurrQax18Ph_Rad</t>
  </si>
  <si>
    <t>k_StaMdsSysCDiag_Cnt_str</t>
  </si>
  <si>
    <t>{21,10,1}</t>
  </si>
  <si>
    <t>k_StaMdsSysCDiag_Cnt_str.Threshold</t>
  </si>
  <si>
    <t>k_SysCStatesModesThresh_Cnts</t>
  </si>
  <si>
    <t>k_StaMdsSysCDiag_Cnt_str.PStep</t>
  </si>
  <si>
    <t>k_SysCStatesModesPStep_Cnts</t>
  </si>
  <si>
    <t>k_StaMdsSysCDiag_Cnt_str.NStep</t>
  </si>
  <si>
    <t>k_SysCStatesModesNStep_Cnts</t>
  </si>
  <si>
    <t>Rte_Pim_OvervoltageData.OvervoltageCounter_Cnt_u16</t>
  </si>
  <si>
    <t>NvM_OvervoltageCounter</t>
  </si>
  <si>
    <t>Overvolatge dignostic counter</t>
  </si>
  <si>
    <t>Rte_Pim_OvervoltageData.MaxBattVoltage_Volts_f32</t>
  </si>
  <si>
    <t>NvM_MaxBattVoltage</t>
  </si>
  <si>
    <t>Overvoltage diagnost maximum voltage</t>
  </si>
  <si>
    <t>Vbatt_Volts_M_f32</t>
  </si>
  <si>
    <t>HwTrqSV2_HwNm_M_Str</t>
  </si>
  <si>
    <t>Handwheel torque 2 filter state variable</t>
  </si>
  <si>
    <t>HwTrqSV2_HwNm_M_Str.SV_Uls_f32</t>
  </si>
  <si>
    <t>HwTrqSV2_HwNm_M_Str.K_Uls_f32</t>
  </si>
  <si>
    <t>Integrated latest StaMd</t>
  </si>
  <si>
    <t>Integrated DigMSB and DigMSBSigCorr</t>
  </si>
  <si>
    <t>BatteryVoltage, BkCpPc</t>
  </si>
  <si>
    <t>EOTActuatorMng, EtDmpFw</t>
  </si>
  <si>
    <t>SF18 EndofTravelActuatorManagement, SF27 EOTDampingFirewall</t>
  </si>
  <si>
    <t>MtrVel, MtrVel_Digi</t>
  </si>
  <si>
    <t>FDD02B MotorVelocity, FDD02B MotorVelocity</t>
  </si>
  <si>
    <t>None, None</t>
  </si>
  <si>
    <t>DigMSB</t>
  </si>
  <si>
    <t>OVERRIDESIGDIAGADC_Volt_f32</t>
  </si>
  <si>
    <t>OVERRIDE_SIG_DIAG_ADC</t>
  </si>
  <si>
    <t>ADC Converted representation of the Override signal diagnostic monitor point</t>
  </si>
  <si>
    <t>PMOSDIAGADC_Volt_f32</t>
  </si>
  <si>
    <t>PMOS_DIAG_ADC</t>
  </si>
  <si>
    <t>ADC Converted representation of the PMOS Diagnostic monitor point</t>
  </si>
  <si>
    <t>MotorVelocityMRFUnfiltered_MtrRadpS_f32</t>
  </si>
  <si>
    <t>Motor_Velocity_MRF_Unfiltered</t>
  </si>
  <si>
    <t>Unfiltered version of motor velocity</t>
  </si>
  <si>
    <t>Vbatt_ADC</t>
  </si>
  <si>
    <t>ADC converted representation of Vbatt (Upstream of Power Disconnect)</t>
  </si>
  <si>
    <t>BattSwitched_Volt_f32</t>
  </si>
  <si>
    <t>Vswitch_ADC</t>
  </si>
  <si>
    <t>ADC converted representation of Vswitch (Downstream of Power Disconnect)</t>
  </si>
  <si>
    <t>PwrDiscClosed_Cnt_lgc</t>
  </si>
  <si>
    <t>PwrDisc_Closed</t>
  </si>
  <si>
    <t>Flag indicating that the power disconnect is closed</t>
  </si>
  <si>
    <t>Flag indicating that the sequence A is complete</t>
  </si>
  <si>
    <t>Flag indicating that the sequence B is complete</t>
  </si>
  <si>
    <t>FirstRunComplete_Cnt_M_lgc</t>
  </si>
  <si>
    <t>PowerRelayInitFltFailed_Cnt_M_lgc</t>
  </si>
  <si>
    <t>PwrDiscATestComplete_Cnt_M_lgc</t>
  </si>
  <si>
    <t>PwrDiscBTestComplete_Cnt_M_lgc</t>
  </si>
  <si>
    <t>PwrDiscClosed_Cnt_M_lgc</t>
  </si>
  <si>
    <t>BulkCapPrechargeState_Cnt_M_enum</t>
  </si>
  <si>
    <t>BulkCapPrecharge State</t>
  </si>
  <si>
    <t>RunTimeFaultAcc_Cnt_M_u16</t>
  </si>
  <si>
    <t>VerifyDiscOpenDiagTimer_mS_M_u32</t>
  </si>
  <si>
    <t>WaitForSqrWaveDiagTimer_mS_M_u32</t>
  </si>
  <si>
    <t>PrechargeDiagTimer_mS_M_u32</t>
  </si>
  <si>
    <t>PostCloseDiagTimer_mS_M_u32</t>
  </si>
  <si>
    <t>VerifyCloseDiagTimer_mS_M_u32</t>
  </si>
  <si>
    <t>VdischMax_Volts_M_f32</t>
  </si>
  <si>
    <t>VdischMax</t>
  </si>
  <si>
    <t>VdischMin_Volts_M_f32</t>
  </si>
  <si>
    <t>VdischMin</t>
  </si>
  <si>
    <t>VbattStart_Volts_M_f32</t>
  </si>
  <si>
    <t>VswitchStart_Volts_M_f32</t>
  </si>
  <si>
    <t>MotionDetected_Cnt_D_lgc</t>
  </si>
  <si>
    <t>Motion_Detected</t>
  </si>
  <si>
    <t>DeltaV_Volts_D_f32</t>
  </si>
  <si>
    <t>Delta_V</t>
  </si>
  <si>
    <t>VswitchCorrected_Volts_D_f32</t>
  </si>
  <si>
    <t>Vswitch_Corrected</t>
  </si>
  <si>
    <t>D_PWRDISCCONFIGURATION_CNT_U08</t>
  </si>
  <si>
    <t>A program specific power disconnect configuration variable: 1 - Configuration A (Power Disconnect supplies power to gate drive only. Bridge and Bulk cap are hot at all times). 2 - Configuration B (Power Disconnect supplies power to gate drive, bridge and bulk cap). (ES-11B)</t>
  </si>
  <si>
    <t>MechMtrPos1_Rev_u0p16</t>
  </si>
  <si>
    <t>MechMtrPos2_Rev_u0p16</t>
  </si>
  <si>
    <t>EOTDampingLtd_MtrNm_f32</t>
  </si>
  <si>
    <t>Limited_EOTDamping</t>
  </si>
  <si>
    <t>EOTDmpFWActvLtd_MtrNm_D_f32</t>
  </si>
  <si>
    <t>EOTDmpFW_ActvLtd</t>
  </si>
  <si>
    <t>EOTDmpFWInActvLtd_MtrNm_D_f32</t>
  </si>
  <si>
    <t>EOTDmpFW_InactLtd</t>
  </si>
  <si>
    <t>UprBndActive_MtrNm_D_f32</t>
  </si>
  <si>
    <t>EOTDmpFW_ActvUprBnd</t>
  </si>
  <si>
    <t>LwrBndActive_MtrNm_D_f32</t>
  </si>
  <si>
    <t>EOTDmpFW_ActvLwrBnd</t>
  </si>
  <si>
    <t>EOTDmpFWActvRegion_Cnt_D_lgc</t>
  </si>
  <si>
    <t>EOTDmpFW_ActvRegion</t>
  </si>
  <si>
    <t>EOTDmpFWHWAuth_Cnt_D_lgc</t>
  </si>
  <si>
    <t>EOTDmpFW_HwAuth</t>
  </si>
  <si>
    <t>Vehicle_Speed_Kph_f32</t>
  </si>
  <si>
    <t>EtDmpFw.1BS, EtDmpFw.2BS</t>
  </si>
  <si>
    <t>EOTDisable_Cnt_lgc</t>
  </si>
  <si>
    <t>EOTDmpFWMode_Cnt_M_u08</t>
  </si>
  <si>
    <t>Mode_Cnt</t>
  </si>
  <si>
    <t>MtrVel_Digi</t>
  </si>
  <si>
    <t>k_HwTrqLPFFc_Hz_f32</t>
  </si>
  <si>
    <t>k_HwTrqLPF_Fc</t>
  </si>
  <si>
    <t>LPF cut off frequency on  hw trq signal to induce required lag (similar to pwm digital sensor)</t>
  </si>
  <si>
    <t>DigHwTrqSENT</t>
  </si>
  <si>
    <t>k_T1vsT2TrqSum_HwNm_f32</t>
  </si>
  <si>
    <t>HW Torque Summation Max Limit</t>
  </si>
  <si>
    <t>k_T1T2TransFltLim_HwNm_f32</t>
  </si>
  <si>
    <t>k_T1T2CMCLPFEnable_HwNm_f32</t>
  </si>
  <si>
    <t>k_T1T2_CMC_LPF_Enable</t>
  </si>
  <si>
    <t>k_T1T2CMCLPFFc_Hz_f32</t>
  </si>
  <si>
    <t>k_T1T2_CMC_LPF_Fc</t>
  </si>
  <si>
    <t>T1 vs T2 - Common Mode Compensation LPF Frequency</t>
  </si>
  <si>
    <t>k_CMCLPFOutLim_HwNm_f32</t>
  </si>
  <si>
    <t>k_CMC_LPF_Out_Lim</t>
  </si>
  <si>
    <t>k_T1T2SSLPFFc_Hz_f32</t>
  </si>
  <si>
    <t>k_T1T2_SS_LPF_Fc</t>
  </si>
  <si>
    <t>T1 vs T2 - Steady State Low Pass Filter Cut Off Frequency</t>
  </si>
  <si>
    <t>k_T1T2SSLim_HwNm_f32</t>
  </si>
  <si>
    <t>{ 16.019514175835, 16.019514175835, 16.019514175835, 16.019514175835, 16.019514175835, 10.553716911786, 7.96872965761939, 6.42717395292957, 5.39722706185968, 4.65376910940811, 4.09226390842641, 3.65389865074024, 3.2999820535005, 3.00893568853267, 2.76529899113485, 2.55889942858302, 2.38077029677756}</t>
  </si>
  <si>
    <t>T1 vs T2 - Torque Filter Time Constant Independent Table</t>
  </si>
  <si>
    <t>k_MaxHwTrqTrim_HwNm_f32</t>
  </si>
  <si>
    <t>Maximum  threshold of diff torque to allow the digital torque Sensor Trim</t>
  </si>
  <si>
    <t>k_SENTSyncDelay_Cnt_u32</t>
  </si>
  <si>
    <t>k_HwTrqDiag_Cnt_str</t>
  </si>
  <si>
    <t>k_SPI50UOff_Cnt_u16</t>
  </si>
  <si>
    <t>k_SPI50UOff_Cnts</t>
  </si>
  <si>
    <t>k_SPI1mOff_Cnt_u16</t>
  </si>
  <si>
    <t>k_SPI1mOff_Cnts</t>
  </si>
  <si>
    <t>T1_HwNm_f32</t>
  </si>
  <si>
    <t>T1_HwNm</t>
  </si>
  <si>
    <t>Torque Input #1</t>
  </si>
  <si>
    <t>T2_HwNm_f32</t>
  </si>
  <si>
    <t>T2_HwNm</t>
  </si>
  <si>
    <t>Torque Input #2</t>
  </si>
  <si>
    <t>Nexteer MEC                                          0 - ProductionMode                         1 - ManufacturingMode                     2 - EngineeringMode</t>
  </si>
  <si>
    <t>0 = ProductionMode                         1 = ManufacturingMode                     2 = EngineeringMode</t>
  </si>
  <si>
    <t>Calculated differential hw torque</t>
  </si>
  <si>
    <t>SrlComHwTrq_HwNm_f32</t>
  </si>
  <si>
    <t>SrlComHwTrq</t>
  </si>
  <si>
    <t>HW_Torque transmitted on Serial Comm Interface</t>
  </si>
  <si>
    <t>SrlComHwTrqValid_Cnt_Lgc</t>
  </si>
  <si>
    <t>SrlComHwTrqValid</t>
  </si>
  <si>
    <t>Validity of HW_Torque transmitted on Serial Comm Interface</t>
  </si>
  <si>
    <t>module copy of T1 input</t>
  </si>
  <si>
    <t>module copy of T2 input</t>
  </si>
  <si>
    <t>module copy of HwTorque output</t>
  </si>
  <si>
    <t>TDiagFiltOut</t>
  </si>
  <si>
    <t>output of transient filter in T1vsT2 diagnostic</t>
  </si>
  <si>
    <t>SSDiagFiltOut</t>
  </si>
  <si>
    <t>output of steady state filter in T1vsT2 diagnostic</t>
  </si>
  <si>
    <t>CMCFiltOut</t>
  </si>
  <si>
    <t>output of Common Mode Compensation filter in T1 vs T2 diagnostic</t>
  </si>
  <si>
    <t>Limited sum of T1 and T2 inputs</t>
  </si>
  <si>
    <t>HwTrq filter state variable and constant</t>
  </si>
  <si>
    <t>(0,calibrateable)</t>
  </si>
  <si>
    <t>state variable</t>
  </si>
  <si>
    <t>filter constant</t>
  </si>
  <si>
    <t>calibrateable</t>
  </si>
  <si>
    <t>six significant digits</t>
  </si>
  <si>
    <t>T1vsT2 diagnostic transient filter state variable and constant</t>
  </si>
  <si>
    <t>T1vsT2 diagnostic steady state filter state variable and constant</t>
  </si>
  <si>
    <t>T1vsT2 diagnosticcommon mode compensation filter state variable and constant</t>
  </si>
  <si>
    <t>(NVM, calibrateable)</t>
  </si>
  <si>
    <t>NVM</t>
  </si>
  <si>
    <t>CMC filter state variable to be saved in EEPROM at powerdown and restored on powerup</t>
  </si>
  <si>
    <t>Rte_Pim_DigTrqTrim</t>
  </si>
  <si>
    <t>Structure containing Trim Data</t>
  </si>
  <si>
    <t>from NVM</t>
  </si>
  <si>
    <t>Rte_Pim_DigTrqTrim.k_EOLHwTrqTrim_HwNm_f32</t>
  </si>
  <si>
    <t>K_EOL_HwTrq_Trim</t>
  </si>
  <si>
    <t>End of Line Trim for HwTrq</t>
  </si>
  <si>
    <t>Rte_Pim_DigTrqTrim.k_EOLHwTrqTrimPerformed_Cnt_Lgc</t>
  </si>
  <si>
    <t>K_EOL_HwTrq_Trim_Performed</t>
  </si>
  <si>
    <t>Indicates whether a Trim function has been performed</t>
  </si>
  <si>
    <t>DCPhsComp_Cnt_u16[3]</t>
  </si>
  <si>
    <t>{0,0,0}</t>
  </si>
  <si>
    <t>PWMPeriod_Cnt_u16</t>
  </si>
  <si>
    <t>DigHwTrqT1_HwNm_f32</t>
  </si>
  <si>
    <t>DigHwTrqT2_HwNm_f32</t>
  </si>
  <si>
    <t>t_T1T2DepTrsTimecon_Hz_u6p10[17]</t>
  </si>
  <si>
    <t>t_T1T2IndTrsTimecon_HwNm_u5p11[17]</t>
  </si>
  <si>
    <t>Integrated DigHwTrqSENT, latest ePWM, and SCom calibrations</t>
  </si>
  <si>
    <t>k_DefaultVehSpd_Kph_f32</t>
  </si>
  <si>
    <t>Default vehicle speed</t>
  </si>
  <si>
    <t>SrlComInput</t>
  </si>
  <si>
    <t>k_LVCANNERRSigDiag_Cnt_str</t>
  </si>
  <si>
    <t>P-N step diag settings</t>
  </si>
  <si>
    <t>{1, 1, 1}</t>
  </si>
  <si>
    <t>k_VehSpeedSigDiag_Cnt_str</t>
  </si>
  <si>
    <t>k_ECM1MsgDiag_Cnt_str</t>
  </si>
  <si>
    <t>k_ABS2MsgDiag_Cnt_str</t>
  </si>
  <si>
    <t>k_BCM1MsgDiag_Cnt_str</t>
  </si>
  <si>
    <t>k_ECM1MsgTimeout_mS_u16</t>
  </si>
  <si>
    <t>Message timeout</t>
  </si>
  <si>
    <t>k_ABS2MsgTimeout_mS_u16</t>
  </si>
  <si>
    <t>k_BCM1MsgTimeout_mS_u16</t>
  </si>
  <si>
    <t>k_SASCALAuthorityThresh_Uls_f32</t>
  </si>
  <si>
    <t>SAS_CAL Handwheel Authority Threshold</t>
  </si>
  <si>
    <t>SrlComOutput</t>
  </si>
  <si>
    <t>Integrated AbsHwPos</t>
  </si>
  <si>
    <t>Step size to increment the output HW_Authority to the required target authority.</t>
  </si>
  <si>
    <t>k_MaxSwitchedVolt_Volts</t>
  </si>
  <si>
    <t>1, 1, 1, 1, 1 ,1 ,1, 1 ,1, 1 ,1, 1</t>
  </si>
  <si>
    <t>VBIC_k_DmpGainOnThresh_KphpS</t>
  </si>
  <si>
    <t>VBIC_t_DmpDecelGainSlewX_MtrRapds</t>
  </si>
  <si>
    <t>{0, 20 ,50 ,100, 200, 400}</t>
  </si>
  <si>
    <t>{4500,4500,4500,4500,4500,4500}</t>
  </si>
  <si>
    <t>{{.005,.005,.005,.005,.005,.005,.005,.005,.005,.005},{.005,.005,.005,.005,.005,.005,.005,.005,.005,.005}}</t>
  </si>
  <si>
    <t>0.005, 0.005, 0.005, 0.005, 0.005, 0.005, 0.005, 0.005, 0.005, 0.005</t>
  </si>
  <si>
    <t>1,1,1,1,1</t>
  </si>
  <si>
    <t>1, 1 ,0.3, 0.2, 0.1, 0, 0, 0, 0, 0 ,0, 0</t>
  </si>
  <si>
    <t>{{15, 15, 15 ,15 ,15, 15, 15, 15 ,15 ,15 ,15, 15},{15, 15 ,15 ,15, 15, 15 ,15, 15, 15, 15, 15, 15}}</t>
  </si>
  <si>
    <t>0.05078125, 0.10546875, 0.15625, 0.20703125, 0.2578125</t>
  </si>
  <si>
    <t>62.8125, 586.4375</t>
  </si>
  <si>
    <t>1, 1</t>
  </si>
  <si>
    <t>k_GearRatio</t>
  </si>
  <si>
    <t>MtrVel, AbsHwPos_TcI2cVd, MtrVel_Digi</t>
  </si>
  <si>
    <t>FDD02B MotorVelocity, FDD05G I2CAbsoluteHandwheelPositionFunction, FDD02B MotorVelocity</t>
  </si>
  <si>
    <t>k_UseTurnsCntr_Cnt_lgc</t>
  </si>
  <si>
    <t>K_TurnsCntr_Use</t>
  </si>
  <si>
    <t>Calibration identifying if Turns Counter is used or I2C sensor is used in the hw position calculation.</t>
  </si>
  <si>
    <t>AbsHwPos_TcI2cVd</t>
  </si>
  <si>
    <t>k_HwPosOutputLPFCoeffFc_Hz_f32</t>
  </si>
  <si>
    <t>k_HwPosOutput_LPF_Coeff_Fc</t>
  </si>
  <si>
    <t>Numerator of the output smoothing  Low Pass filter coefficient representing the cut-off frequency.  Denominator is fixed</t>
  </si>
  <si>
    <t>k_HwPosOutputLPFError_HwDeg_f32</t>
  </si>
  <si>
    <t>k_ HwPosOutput _LPF_Error</t>
  </si>
  <si>
    <t>Convergence error to disable the output smoothing LPF.</t>
  </si>
  <si>
    <t>k_TurnsCntrAuthority_Uls_f32</t>
  </si>
  <si>
    <t>k_TurnsCntr_Authority</t>
  </si>
  <si>
    <t>Authority allowed for handwheel position  computed using Turns Counter. (This cal provided to offer design flexibility)</t>
  </si>
  <si>
    <t>k_I2CHwAuthority_Uls_f32</t>
  </si>
  <si>
    <t>k_I2C_HwAuthority</t>
  </si>
  <si>
    <t>Authority allowed for handwheel position  computed by the I2C sensor.</t>
  </si>
  <si>
    <t>k_MaxVehCntrOffDiff_HwDeg_f32</t>
  </si>
  <si>
    <t>k_Max_VehCntrOff_Diff</t>
  </si>
  <si>
    <t>Difference between previous and new veh cntr offset exceeding which the EEPROM value is updated.</t>
  </si>
  <si>
    <t>k_KinmIntDiagMaxRackLimit_HwDeg_f32</t>
  </si>
  <si>
    <t>Total rack travel for a program (travel stop to travel stop) with additional tolerance factor (50%)</t>
  </si>
  <si>
    <t>k_HWAtoMtrADiffLimit_HwDeg_f32</t>
  </si>
  <si>
    <t>k_HWAtoMtrADiff_Limit</t>
  </si>
  <si>
    <t>Maximum allowed difference between hw angle derived from I2C and mtr pos exceeding which correlation fault is set.</t>
  </si>
  <si>
    <t>k_HwAtoMtrAError_str</t>
  </si>
  <si>
    <t>{200, 4, 1}</t>
  </si>
  <si>
    <t>k_HwAtoMtrAError_str.Threshold</t>
  </si>
  <si>
    <t>k_HwAtoMtrA_Error_Thresh</t>
  </si>
  <si>
    <t>HwAtoMtrA NTC: Error threshold</t>
  </si>
  <si>
    <t>k_HwAtoMtrAError_str.PStep</t>
  </si>
  <si>
    <t>k_HwAtoMtrA_Error_Pstep</t>
  </si>
  <si>
    <t>HwAtoMtrA NTC: Error Accumulator P-step</t>
  </si>
  <si>
    <t>k_HwAtoMtrAError_str.NStep</t>
  </si>
  <si>
    <t>k_HwAtoMtrA_Error_Nstep</t>
  </si>
  <si>
    <t>HwAtoMtrA NTC: Error accumulator N-Step</t>
  </si>
  <si>
    <t>k_VehCntrOffValidLimit_HwDeg_f32</t>
  </si>
  <si>
    <t>k_VehCntrOff_ValidLimit</t>
  </si>
  <si>
    <t>k_LoSpdVDAuthority_Uls_f32</t>
  </si>
  <si>
    <t>k_HiSpdVDAuthority_Uls_f32</t>
  </si>
  <si>
    <t>CumMechMtrPosCRF_Deg_f32</t>
  </si>
  <si>
    <t>CumMechMtrPosCRF_DegM</t>
  </si>
  <si>
    <t>Cumulative Motor position adjusted for roll over and counting from zero every ignition cycle in core ref frame.</t>
  </si>
  <si>
    <t>AlignedCumMechMtrPosCRF_Deg_f32</t>
  </si>
  <si>
    <t>AlignedCumMechMtrPosCRF_DegM</t>
  </si>
  <si>
    <t>Cumulative Motor position  adjusted for roll over but not counting from zero every ignition cycle and including the Turns Counter offset in core ref frame.</t>
  </si>
  <si>
    <t>TurnsCntr_Validity</t>
  </si>
  <si>
    <t>Provides indication of turns counter position offset calculation while it is being computed, calculated and valid, or invalid.</t>
  </si>
  <si>
    <t>I2CHwAbsPos_HwDeg_f32</t>
  </si>
  <si>
    <t>I2C_HwAbsPos</t>
  </si>
  <si>
    <t>Absolute steering wheel angle derived from the I2C sensor</t>
  </si>
  <si>
    <t>I2CHwAbsPosValid_Cnt_lgc</t>
  </si>
  <si>
    <t>I2C_HwAbsPos_Valid</t>
  </si>
  <si>
    <t xml:space="preserve">Validity signal associated with the I2C_AbsPos.  </t>
  </si>
  <si>
    <t>Handwheel position determined by the sensorless vehicle dynamics function</t>
  </si>
  <si>
    <t>Authority / Confidence of the hw position determined by the sensorless veh dynamics function</t>
  </si>
  <si>
    <t>ComplError_HwDeg_f32</t>
  </si>
  <si>
    <t xml:space="preserve">Compliance Error related to rotor coupling, etc used to compensate the mtr position. </t>
  </si>
  <si>
    <t>DiagStatusHwPosReducedPerf_Cnt_lgc</t>
  </si>
  <si>
    <t>HwPos_Reduced_Perf bit within this signal indicating that faults associated with EPS will result in incorrect hwa being calculated by this function (for eg motor position, all CPU and memory faults, etc)  Note TC or I2C faults associated with input signals used by this function do not set the HwPos_Reduced_Perf bit to allow the design to use internal calculated hwa.</t>
  </si>
  <si>
    <t>ManufMode_Cnt_enum</t>
  </si>
  <si>
    <t>Mfg Enable Counter to indicate control module in in mfg environment</t>
  </si>
  <si>
    <t xml:space="preserve">Absolute Hand Wheel Position used by EPS  application </t>
  </si>
  <si>
    <t>Final slewed authority of HW_Position in terms of confidence in position.</t>
  </si>
  <si>
    <t>RelHwPos_HwDeg_f32</t>
  </si>
  <si>
    <t>Cumulative Motor position adjusted for compliance error and converted to CRF and hw deg.</t>
  </si>
  <si>
    <t>HwPosSource_Cnt_u16</t>
  </si>
  <si>
    <t>HwPos_Source</t>
  </si>
  <si>
    <t>Source function responsible for a valid calculated function output SrlComHwPos (either I2C, or turns counter or lo spd or hi spd Veh Dynamics functions)</t>
  </si>
  <si>
    <t>SrlComHwPos_HwDeg_f32</t>
  </si>
  <si>
    <t>SrlComHwPos</t>
  </si>
  <si>
    <t xml:space="preserve">Absolute Handwheel Position to be transmitted on the communication interface.  
(Signal must be adjusted for vehicle polarity within SER prior to transmission) 
</t>
  </si>
  <si>
    <t>SrlComHwPosStatus</t>
  </si>
  <si>
    <t>Indicates either valid, fault or unknown status of the function output SrlComHwPos</t>
  </si>
  <si>
    <t>HwPosStateType</t>
  </si>
  <si>
    <t>Rte_Pim_EOLVehCntrOffset()-&gt;EOLVehCntrOffset_HwDeg_f32</t>
  </si>
  <si>
    <t>k_EOL_VehCntr_Offset</t>
  </si>
  <si>
    <t xml:space="preserve">EOL and Stored EEPROM Value representing vehicle center or diff between internal EPS hw pos and turns counter.  </t>
  </si>
  <si>
    <t>k_EOL_HwPosTrim_Performed</t>
  </si>
  <si>
    <t>Unit End Of Line Calibration used to store the status of performing the trim procedure.</t>
  </si>
  <si>
    <t>k_VehSpdResetThresh_Kph_f32</t>
  </si>
  <si>
    <t>k_HwTrqResetThresh_Kph_f32</t>
  </si>
  <si>
    <t>Maximum vehicle speed at which to perform a reset</t>
  </si>
  <si>
    <t>Maximum handwheel torque at which to perform a reset</t>
  </si>
  <si>
    <t>DiagSvc</t>
  </si>
  <si>
    <t>Corrected number of tuning sets, added cals for DiagSvc</t>
  </si>
  <si>
    <t>Integrated latest uDiag</t>
  </si>
  <si>
    <t>FDD05G I2CAbsoluteHandwheelPositionFunction, FDD05G I2CAbsoluteHandwheelPositionFunction</t>
  </si>
  <si>
    <t>InputMtrTrq_MtrNm_f32</t>
  </si>
  <si>
    <t>Sweep</t>
  </si>
  <si>
    <t>InputHwTrq_HwNm_f32</t>
  </si>
  <si>
    <t>OutputMtrTrq_MtrNm_f32</t>
  </si>
  <si>
    <t>OutputHwTrq_HwNm_f32</t>
  </si>
  <si>
    <t>SweepModeEn_Cnt_M_lgc</t>
  </si>
  <si>
    <t>SweepConfig_Cnt_M_u16</t>
  </si>
  <si>
    <t>HwTrqQuantization_Uls_M_f32</t>
  </si>
  <si>
    <t>CosSweepTorque_HwNm_M_f32</t>
  </si>
  <si>
    <t>SweepVehSpdMax_Kph_M_f32</t>
  </si>
  <si>
    <t>DwellStartTime_mS_M_u32p0</t>
  </si>
  <si>
    <t>u32p0_T</t>
  </si>
  <si>
    <t>LastStateSinArg_Uls_M_f32</t>
  </si>
  <si>
    <t>TransStartTime_mS_M_u32p0</t>
  </si>
  <si>
    <t>MtrTrqQuantization_Uls_M_f32</t>
  </si>
  <si>
    <t>SweepTorque_HwNm_M_f32</t>
  </si>
  <si>
    <t>SweepAmplitude_HwNm_M_u5p11</t>
  </si>
  <si>
    <t>SweepOffset_HwNm_M_s4p11</t>
  </si>
  <si>
    <t>SweepState_Cnt_M_u16</t>
  </si>
  <si>
    <t>FreqIndex_Cnt_M_u16</t>
  </si>
  <si>
    <t>k_N_SweepConfig_Cnt_u16</t>
  </si>
  <si>
    <t>k_N_SweepGain_MtrNmpHwNm_u1p15</t>
  </si>
  <si>
    <t>2^-15</t>
  </si>
  <si>
    <t>L5_N_SweepOffset_HwNm_M_s4p11</t>
  </si>
  <si>
    <t>L5_N_SweepAmplitude_HwNm_M_u5p11</t>
  </si>
  <si>
    <t>L5_N_CosSweepTorque_HwNm_M_s10p5</t>
  </si>
  <si>
    <t>2^-5</t>
  </si>
  <si>
    <t>L5_N_RespTorque_HwNm_G_s10p5</t>
  </si>
  <si>
    <t>L5_N_SweepState_Cnt_M_u16</t>
  </si>
  <si>
    <t>L5_N_SweepTorque_HwNm_G_s10p5</t>
  </si>
  <si>
    <t>L5_N_InstFrequency_Hz_G_u7p9</t>
  </si>
  <si>
    <t>2^-9</t>
  </si>
  <si>
    <t>SweepGain_MtrNmpHwNm_M_u1p15</t>
  </si>
  <si>
    <t>L5_N_GenHwTrq_Cnt_M_lgc</t>
  </si>
  <si>
    <t>k_N_EnVehSpdCheck_Cnt_lgc</t>
  </si>
  <si>
    <t>k_N_SweepModeEn_Cnt_lgc</t>
  </si>
  <si>
    <t>EnVehSpdCheck_Cnt_M_lgc</t>
  </si>
  <si>
    <t>GenHwTrq_Cnt_M_lgc</t>
  </si>
  <si>
    <t>FPUExceptionAddr_Cnt_D_u32</t>
  </si>
  <si>
    <t>Program Address where exception occurred</t>
  </si>
  <si>
    <t>CD_UDIAG_VAR_NOINIT</t>
  </si>
  <si>
    <t>Integrated latest DiagSvc</t>
  </si>
  <si>
    <t>Updated tuning set indexing</t>
  </si>
  <si>
    <t>0-5</t>
  </si>
  <si>
    <t>Integrated SignlCond and VehDyn</t>
  </si>
  <si>
    <t>VehDyn_k_LoSpdVDAuthority_Uls</t>
  </si>
  <si>
    <t>Authority value vested in the Low Speed VD  provided hw position.</t>
  </si>
  <si>
    <t>VehDyn_k_HiSpdVDAuthority_Uls</t>
  </si>
  <si>
    <t>Authority value vested in the High Speed VD  provided hw position.</t>
  </si>
  <si>
    <t>k_SysKinRatio_MtrDegpHwDeg_f32</t>
  </si>
  <si>
    <t>Kinematic ratio between handwheel and motor</t>
  </si>
  <si>
    <t>VehDyn</t>
  </si>
  <si>
    <t>MtrDegHwDeg</t>
  </si>
  <si>
    <t>k_AutoCntrPinTrqLPFCoeffKn_Hz_f32</t>
  </si>
  <si>
    <t>VehDyn_k_AutoCntrPinTrqLPFKn_Hz</t>
  </si>
  <si>
    <t>Numerator of the Low Pass filter coefficient representing the cut-off frequency of Filter for pinion torque .</t>
  </si>
  <si>
    <t>k_AutoCntrLoSpdTimer1MtrVel_MtrRadpS_f32</t>
  </si>
  <si>
    <t>VehDyn_k_AutoCntrLoSpdTimer1MtrVel_MtrRadpS</t>
  </si>
  <si>
    <t>Motor Velocity threshold for low vehicle speed autocentering enable criteria</t>
  </si>
  <si>
    <t>k_AutoCntrLoSpdTimer1VehSpd_kph_f32</t>
  </si>
  <si>
    <t>VehDyn_k_AutoCntrLoSpdTimer1VehSpd_kph</t>
  </si>
  <si>
    <t>Vehicle Speed  threshold for low vehicle speed autocentering enable criteria</t>
  </si>
  <si>
    <t>k_AutoCntrLoSpdTimer1PinTrq_HwNm_f32</t>
  </si>
  <si>
    <t>VehDyn_k_AutoCntrLoSpdTimer1PinTrq_HwNm</t>
  </si>
  <si>
    <t>Pinion Torque threshold for low vehicle speed autocentering enable criteria</t>
  </si>
  <si>
    <t>k_AutoCntrLoSpdTimer1_mS_u16</t>
  </si>
  <si>
    <t>VehDyn_k_AutoCntrLoSpdTimer1_mS</t>
  </si>
  <si>
    <t>Time duration for which Enable criteria must be present to enable filter one for low speed autocentering (Timer 1)</t>
  </si>
  <si>
    <t>k_AutoCntrLoSpdFilt1Kn_Hz_f32</t>
  </si>
  <si>
    <t>VehDyn_k_AutoCntrLoSpdFilt1Kn_Hz</t>
  </si>
  <si>
    <t xml:space="preserve">Numerator of the Low Pass filter coefficient representing the cut-off frequency of Filter One for low speed autocentering .  
</t>
  </si>
  <si>
    <t>k_AutoCntrLoSpdCntrWindow_HwDeg_f32</t>
  </si>
  <si>
    <t>VehDyn_k_AutoCntrLoSpdCntrWindow_HwDeg</t>
  </si>
  <si>
    <t>Cntr Window in which motor position should  be for low speed autocentering</t>
  </si>
  <si>
    <t>k_AutoCntrLoSpdFilt2Kn_Hz_f32</t>
  </si>
  <si>
    <t>VehDyn_k_AutoCntrLoSpdFilt2Kn_Hz</t>
  </si>
  <si>
    <t xml:space="preserve">Numerator of the Low Pass filter coefficient representing the cut-off frequency of Filter Two for low speed autocentering .  
</t>
  </si>
  <si>
    <t>k_AutoCntrLoSpdTimer2_mS_u16</t>
  </si>
  <si>
    <t>VehDyn_k_AutoCntrLoSpdTimer2_mS</t>
  </si>
  <si>
    <t>Time threshold for which enable conditions must be present to use low speed autocentering result (Timer 2)</t>
  </si>
  <si>
    <t>k_AutoCntrHiSpdTimer1MtrVel_MtrRadpS_f32</t>
  </si>
  <si>
    <t>VehDyn_k_AutoCntrHiSpdTimer1MtrVel_MtrRadpS</t>
  </si>
  <si>
    <t>Motor Velocity threshold for high vehicle speed autocentering enable criteria</t>
  </si>
  <si>
    <t>k_AutoCntrHiSpdTimer1VehSpd_kph_f32</t>
  </si>
  <si>
    <t>VehDyn_k_AutoCntrHiSpdTimer1VehSpd_kph</t>
  </si>
  <si>
    <t>Vehicle Speed  threshold for high vehicle speed autocentering enable criteria</t>
  </si>
  <si>
    <t>k_AutoCntrHiSpdTimer1PinTrq_HwNm_f32</t>
  </si>
  <si>
    <t>VehDyn_k_AutoCntrHiSpdTimer1PinTrq_HwNm</t>
  </si>
  <si>
    <t>Pinion Torque threshold for high vehicle speed autocentering enable criteria</t>
  </si>
  <si>
    <t>k_AutoCntrHiSpdTimer1_mS_u16</t>
  </si>
  <si>
    <t>VehDyn_k_AutoCntrHiSpdTimer1_mS</t>
  </si>
  <si>
    <t>Time duration for which Enable criteria must be present to enable filter one for high speed autocentering (Timer 1)</t>
  </si>
  <si>
    <t>k_AutoCntrHiSpdFilt1Kn_Hz_f32</t>
  </si>
  <si>
    <t>VehDyn_k_AutoCntrHiSpdFilt1Kn_Hz</t>
  </si>
  <si>
    <t>k_AutoCntrHiSpdCntrWindow_HwDeg_f32</t>
  </si>
  <si>
    <t>VehDyn_k_AutoCntrHiSpdCntrWindow_HwDeg</t>
  </si>
  <si>
    <t>Cntr Window in which motor position should  be for high speed autocentering</t>
  </si>
  <si>
    <t>k_AutoCntrHiSpdFilt2Kn_Hz_f32</t>
  </si>
  <si>
    <t>VehDyn_k_AutoCntrHiSpdFilt2Kn_Hz</t>
  </si>
  <si>
    <t>k_AutoCntrHiSpdTimer2_mS_u16</t>
  </si>
  <si>
    <t>VehDyn_k_AutoCntrHiSpdTimer2_mS</t>
  </si>
  <si>
    <t>Time threshold for which enable conditions must be present to use high speed autocentering result (Timer 2)</t>
  </si>
  <si>
    <t>k_AutoCntrHiSpdTimer4MtrVel_MtrRadpS_f32</t>
  </si>
  <si>
    <t>VehDyn_k_AutoCntrHiSpdTimer4MtrVel_MtrRadpS</t>
  </si>
  <si>
    <t>Motor Velocity  threshold for final enable criteria for high speed autocentering</t>
  </si>
  <si>
    <t>k_AutoCntrHiSpdTimer4VehSpd_kph_f32</t>
  </si>
  <si>
    <t>VehDyn_k_AutoCntrHiSpdTimer4VehSpd_kph</t>
  </si>
  <si>
    <t>Vehicle Speed  threshold for final enable criteria for high speed autocentering</t>
  </si>
  <si>
    <t>k_AutoCntrHiSpdTimer4PinTrq_HwNm_f32</t>
  </si>
  <si>
    <t>VehDyn_k_AutoCntrHiSpdTimer4PinTrq_HwNm</t>
  </si>
  <si>
    <t>Pinion Torque threshold for final enable criteria for high speed autocentering</t>
  </si>
  <si>
    <t>k_AutoCntrHiSpdTimer4CntrWindow_HwDeg_f32</t>
  </si>
  <si>
    <t>VehDyn_k_AutoCntrHiSpdTimer4CntrWindow_HwDeg</t>
  </si>
  <si>
    <t>Cntr Window in which motor position should  be for high speed autocentering for the Timer 4 criteria</t>
  </si>
  <si>
    <t>k_AutoCntrHiSpdTimer4_mS_u16</t>
  </si>
  <si>
    <t>VehDyn_k_AutoCntrHiSpdTimer4_mS</t>
  </si>
  <si>
    <t>Time threshold for which enable conditions must be present to use low speed autocentering result</t>
  </si>
  <si>
    <t>FltInjection</t>
  </si>
  <si>
    <t>CanapeParameters_M_Str</t>
  </si>
  <si>
    <t>CANape_Parameters</t>
  </si>
  <si>
    <t xml:space="preserve"> Input to represent fault injection parameters provided by CANape user interface as fault injection pre-conditions used to configure a fault injection test run.</t>
  </si>
  <si>
    <t>{0, 0, 0, 0, 0, 0, FALSE, 0, 0}</t>
  </si>
  <si>
    <t>CanapeParametersType</t>
  </si>
  <si>
    <t>CanapeParameters_M_Str.FaultInjectionLocation_Cnt_enum</t>
  </si>
  <si>
    <t>Fault_Injection_Location</t>
  </si>
  <si>
    <t>This setting pre-selects which command path location shall receive the fault injection waveform when the fault is triggered.</t>
  </si>
  <si>
    <t>CanapeParameters_M_Str.PathGain_Uls_f32</t>
  </si>
  <si>
    <t>CANape_Parameters.Path_Gain</t>
  </si>
  <si>
    <t>This setting pre-selects the gain to apply to the fault injection command path when the fault injection is triggered.</t>
  </si>
  <si>
    <t>CanapeParameters_M_Str.FaultOffset_Uls_f32</t>
  </si>
  <si>
    <t>CANape_Parameters.Fault_Offset</t>
  </si>
  <si>
    <t>This setting pre-selects the magnitude of a constant offset to be added to the signal command path when the fault injection is triggered.</t>
  </si>
  <si>
    <t>CanapeParameters_M_Str.SinewaveFrequency_Hz_f32</t>
  </si>
  <si>
    <t>CANape_Parameters.Sinewave_Frequency</t>
  </si>
  <si>
    <t>This setting pre-selects the frequency of a sinewave fault injection.</t>
  </si>
  <si>
    <t>CanapeParameters_M_Str.SinewaveAmplitude_Uls_f32</t>
  </si>
  <si>
    <t>CANape_Parameters.Sinewave_Amplitude</t>
  </si>
  <si>
    <t>This setting pre-selects the amplitude of a sinewave fault  injection.</t>
  </si>
  <si>
    <t>CanapeParameters_M_Str.VelocityTriggerSetpoint_MtrRadpS_f32</t>
  </si>
  <si>
    <t>CANape_Parameters.Velocity_Trigger_Setpoint</t>
  </si>
  <si>
    <t>The motor velocity trigger threshold when a velocity triggered fault event has been selected.  A manual trigger of the fault injection is the default when this parameter is set to zero (0).</t>
  </si>
  <si>
    <t>CanapeParameters_M_Str.EnableManualTrigger_Cnt_lgc</t>
  </si>
  <si>
    <t>CANape_Enable_ManualTrigger</t>
  </si>
  <si>
    <t>This input enables/disables a fault injection test.  Additionally if the setup is configured to perform a manually triggered fault injection then the transition of this input from 0 to 1 will trigger the start of the fault injection.</t>
  </si>
  <si>
    <t>CanapeParameters_M_Str.FaultDuration_mS_u32</t>
  </si>
  <si>
    <t>CANape_Parameters.Fault_Duration</t>
  </si>
  <si>
    <t>The time duration parameter for the fault injection.</t>
  </si>
  <si>
    <t>CanapeParameters_M_Str.AssistDDFactor_Uls_f32</t>
  </si>
  <si>
    <t>CANape_Parameters.Assist_DDFactor</t>
  </si>
  <si>
    <t>This setting shall pre-select the value of the Assist_DDFactor to be written to this global variable for driving dynamics interface when the fault injection is triggered.</t>
  </si>
  <si>
    <t>FaultTrigger_Cnt_M_lgc</t>
  </si>
  <si>
    <t>Fault_Trigger</t>
  </si>
  <si>
    <t>ManualTriggerHangover_Cnt_M_lgc</t>
  </si>
  <si>
    <t>FaultInjectionLocation_Cnt_M_enum</t>
  </si>
  <si>
    <t>PathGain_Uls_M_f32</t>
  </si>
  <si>
    <t>Path_Gain</t>
  </si>
  <si>
    <t>FaultOffset_Uls_M_f32</t>
  </si>
  <si>
    <t>Fault_Offset</t>
  </si>
  <si>
    <t>SinewaveAmplitude_Uls_M_f32</t>
  </si>
  <si>
    <t>Sinewave_Amplitude</t>
  </si>
  <si>
    <t>FaultDuration_mS_M_u32</t>
  </si>
  <si>
    <t>Fault_Duration</t>
  </si>
  <si>
    <t>FaultStartTime_mS_M_u32</t>
  </si>
  <si>
    <t>SineFactor_kHz_M_f32</t>
  </si>
  <si>
    <t>kHz</t>
  </si>
  <si>
    <t>PathOffset_Uls_M_f32</t>
  </si>
  <si>
    <t>Path_Offset</t>
  </si>
  <si>
    <t>TorqueCmdCRF_MtrNm_f32</t>
  </si>
  <si>
    <t>ComplErr_t_MtrPosNonLinComplDepTbl_HwDegpMtrNm</t>
  </si>
  <si>
    <t>ComplErr_t_MtrPosNonLinComplIndTbl_MtrNm</t>
  </si>
  <si>
    <t>ComplErr</t>
  </si>
  <si>
    <t>HwDegpMtrNm</t>
  </si>
  <si>
    <t>{0, 0.5, 1.5, 3, 5, 8}</t>
  </si>
  <si>
    <t>t_CompErrMtrPosNonLinComplDepTbl_HwDegpMtrNm_u8p8[6]</t>
  </si>
  <si>
    <t>t_ComplErrMtrPosNonLinComplIndTbl_MtrNm_u5p11[6]</t>
  </si>
  <si>
    <t>Integrated latest DigMSB, DigMSBSigCorr, and MtrVel_Digi</t>
  </si>
  <si>
    <t>{ 0,0.870414402173913,1.73817510190217,2.60858950407609,3.47900390625,4.34676460597826,5.21717900815217,6.08759341032609,6.95535411005435,7.82576851222826,8.69618291440217,9.56394361413043,10.4343580163043,11.3047724184783,12.1751868206522,13.0429475203804,13.9133619225543}</t>
  </si>
  <si>
    <t>SF41 Compliance Error</t>
  </si>
  <si>
    <t>ComplErr_HwDeg_f32</t>
  </si>
  <si>
    <t>SysCHwVel_HwRadpS_f32</t>
  </si>
  <si>
    <t>AsstAssemblyPolarity_Cnt_s08</t>
  </si>
  <si>
    <t>MotorVelMRF_MtrRadpS_f32</t>
  </si>
  <si>
    <t>MtrVel_MtrVel_MtrRadpS_M_f32</t>
  </si>
  <si>
    <t>MtrVel_HwVel_HwRadpS_M_f32</t>
  </si>
  <si>
    <t>MtrVel_MtrVelFiltSV_MtrRadpS_M_s11p20</t>
  </si>
  <si>
    <t>MtrVel_PosAvg_Rev_M_u0p16</t>
  </si>
  <si>
    <t>MtrVel_OldMtrVel_MtrRadpS_M_s11p4</t>
  </si>
  <si>
    <t>MtrVel_MtrVelDelta_MtrRadpS_M_u12p4</t>
  </si>
  <si>
    <t>MtrVel_DiffAcc_Cnt_M_u16</t>
  </si>
  <si>
    <t>MtrVel_HwVelDiffAcc_Cnt_M_u16</t>
  </si>
  <si>
    <t>MtrVel_MtrVel_OldPosBuf_Cnt_M_u16</t>
  </si>
  <si>
    <t>MtrVel_MtrVelCorrLimDiff_MtrRadpS_D_f32</t>
  </si>
  <si>
    <t>MtrVel_HwVelCorrLimDiff_HwRadpS_D_f32</t>
  </si>
  <si>
    <t>SysCDiagHwVel_HwRadpS_f32</t>
  </si>
  <si>
    <t>SysCDiagMtrVelMRF_MtrRadpS_f32</t>
  </si>
  <si>
    <t>CumMechMtrPosMRF_Deg_f32</t>
  </si>
  <si>
    <t>MtrVel2_SysCMtrVelDiffAcc_Cnt_M_u16</t>
  </si>
  <si>
    <t>MtrVel2_SysCHwVelDiffAcc_Cnt_M_u16</t>
  </si>
  <si>
    <t>MtrVel2_PrevMechMtrPos_Rev_M_f32</t>
  </si>
  <si>
    <t>MtrVel2_SysCMtrVelMRF_MtrRadpS_M_f32</t>
  </si>
  <si>
    <t>MtrVel2_SysCHwVelCRF_HwRadpS_M_f32</t>
  </si>
  <si>
    <t>MtrVel2_SysCMtrVelCorrLimDiff_MtrRadpS_D_f32</t>
  </si>
  <si>
    <t>MtrVel2_SysCHwVelCorrLimDiff_HwRadpS_D_f32</t>
  </si>
  <si>
    <t>MtrVel2_SysCDiagDeltaAngle_Rad_D_f32</t>
  </si>
  <si>
    <t>6..28</t>
  </si>
  <si>
    <t>MtrVel2_PrevMechMtrPosTimeStamp_Sec_M_f32</t>
  </si>
  <si>
    <t>MtrVel2_SysCDiagMtrVelRawMRF_MtrRadpS_D_f32</t>
  </si>
  <si>
    <t>MtrVel3_PosBuffer_Rad_M_f32[4][8]</t>
  </si>
  <si>
    <t>2^-3</t>
  </si>
  <si>
    <t>MechMtrPos1TimeStamp_uS_u32</t>
  </si>
  <si>
    <t>MechMtrPos2TimeStamp_uS_u32</t>
  </si>
  <si>
    <t>0 </t>
  </si>
  <si>
    <t>{FALSE,FALSE}</t>
  </si>
  <si>
    <t>Integrated latest CmMtrCurr</t>
  </si>
  <si>
    <t>Integrated UTP updates for various components</t>
  </si>
  <si>
    <t>{{0, 30, 60, 90},{0, 30, 60, 90},{0, 30, 60, 90},{0, 30, 60, 90}}</t>
  </si>
  <si>
    <t>{{0, 0.33, 0.66, 1},{0, 0.33, 0.66, 1},{0, 0.33, 0.66, 1},{0, 0.33, 0.66, 1}}</t>
  </si>
  <si>
    <t>k_LRPRCommOffsetMargin_Uls_f32</t>
  </si>
  <si>
    <t>k_LowResPhsReas_CommOffsetMargin</t>
  </si>
  <si>
    <t>t_AbsCtrlTmpTblX_DegC_s15p0[4]</t>
  </si>
  <si>
    <t>Duty_t_AbsCtrlTmpTblX_DegC</t>
  </si>
  <si>
    <t>t_AbsCtrlTmpTblY_MtrNm_u9p7[4]</t>
  </si>
  <si>
    <t>Duty_t_AbsCtrlTmpTblY_MtrNm</t>
  </si>
  <si>
    <t>t_AbsCuTmpTblX_DegC_s15p0[4]</t>
  </si>
  <si>
    <t>Duty_t_AbsCuTmpTblX_DegC</t>
  </si>
  <si>
    <t>t_AbsCuTmpTblY_MtrNm_u9p7[4]</t>
  </si>
  <si>
    <t>Duty_t_AbsCuTmpTblY_MtrNm</t>
  </si>
  <si>
    <t>LRPRCorrectedMtrPosCaptured_rev_u0p16</t>
  </si>
  <si>
    <t>LRPRPhaseadvanceCaptured_Cnt_s16</t>
  </si>
  <si>
    <t>LRPRModulationIndexCaptured_Uls_f32</t>
  </si>
  <si>
    <t>ThrmDutyCycle_ThrmLoadLmtTblYRam_MtrNm_M_u9p7[8]</t>
  </si>
  <si>
    <t>ThrmDutyCycle_AbsTempFltAcc_Cnt_M_u16</t>
  </si>
  <si>
    <t>ThrmDutyCycle_Filter1KSV_M_str</t>
  </si>
  <si>
    <t>ThrmDutyCycle_Filter1KSV_M_str.
SV_Uls_f32</t>
  </si>
  <si>
    <t>ThrmDutyCycle_Filter1KSV_M_str.
K_Uls_f32</t>
  </si>
  <si>
    <t>ThrmDutyCycle_Filter2KSV_M_str</t>
  </si>
  <si>
    <t>ThrmDutyCycle_Filter2KSV_M_str.
SV_Uls_f32</t>
  </si>
  <si>
    <t>ThrmDutyCycle_Filter2KSV_M_str.
K_Uls_f32</t>
  </si>
  <si>
    <t>ThrmDutyCycle_Filter3KSV_M_str</t>
  </si>
  <si>
    <t>ThrmDutyCycle_Filter3KSV_M_str.
SV_Uls_f32</t>
  </si>
  <si>
    <t>ThrmDutyCycle_Filter3KSV_M_str.
K_Uls_f32</t>
  </si>
  <si>
    <t>ThrmDutyCycle_Filter4KSV_M_str</t>
  </si>
  <si>
    <t>ThrmDutyCycle_Filter4KSV_M_str.
SV_Uls_f32</t>
  </si>
  <si>
    <t>ThrmDutyCycle_Filter4KSV_M_str.
K_Uls_f32</t>
  </si>
  <si>
    <t>ThrmDutyCycle_Filter5KSV_M_str</t>
  </si>
  <si>
    <t>ThrmDutyCycle_Filter5KSV_M_str.
SV_Uls_f32</t>
  </si>
  <si>
    <t>ThrmDutyCycle_Filter5KSV_M_str.
K_Uls_f32</t>
  </si>
  <si>
    <t>ThrmDutyCycle_Filter6KSV_M_str</t>
  </si>
  <si>
    <t>ThrmDutyCycle_Filter6KSV_M_str.
SV_Uls_f32</t>
  </si>
  <si>
    <t>ThrmDutyCycle_Filter6KSV_M_str.
K_Uls_f32</t>
  </si>
  <si>
    <t>ThrmDutyCycle_AbsTempLimit_MtrNm_M_f32</t>
  </si>
  <si>
    <t>ThrmDutyCycle_Mult12Temp_DegC_D_f32</t>
  </si>
  <si>
    <t>ThrmDutyCycle_Mult36Temp_DegC_D_f32</t>
  </si>
  <si>
    <t>ThrmDutyCycle_MaxOut_Uls_D_u16p0</t>
  </si>
  <si>
    <t>ThrmDutyCycle_ThermLim_MtrNm_D_f32</t>
  </si>
  <si>
    <t>ThrmDutyCycle_Mult1_Uls_D_u3p13</t>
  </si>
  <si>
    <t>ThrmDutyCycle_Mult2_Uls_D_u3p13</t>
  </si>
  <si>
    <t>ThrmDutyCycle_Mult3_Uls_D_u3p13</t>
  </si>
  <si>
    <t>ThrmDutyCycle_Mult4_Uls_D_u3p13</t>
  </si>
  <si>
    <t>ThrmDutyCycle_Mult5_Uls_D_u3p13</t>
  </si>
  <si>
    <t>ThrmDutyCycle_Mult6_Uls_D_u3p13</t>
  </si>
  <si>
    <t>ThrmDutyCycle_LastTblVal_MtrNm_D_u9p7</t>
  </si>
  <si>
    <t>ThrmDutyCycle_LastTblValSlew_MtrNm_D_u9p7</t>
  </si>
  <si>
    <t>ThrmDutyCycle_AbsCtrlTempLimit_MtrNm_D_f32</t>
  </si>
  <si>
    <t>Duty_AbsCtrlTemp_Limit</t>
  </si>
  <si>
    <t>ThrmDutyCycle_AbsCuTempLimit_MtrNm_D_f32</t>
  </si>
  <si>
    <t>Duty_AbsCuTemp_Limit</t>
  </si>
  <si>
    <t>ThrmDutyCycle_AbsTempLimit_MtrNm_D_f32</t>
  </si>
  <si>
    <t>ThrmDutyCycle_ThrmLoadLmtTblYVal_MtrNm_D_f32</t>
  </si>
  <si>
    <t>FDD04D AnalogPressureMeasurement</t>
  </si>
  <si>
    <t>Integrated latest DigMSB and DigMSBSigCorr</t>
  </si>
  <si>
    <t>u08</t>
  </si>
  <si>
    <t>Rte_Pim_EOLVehCntrOffset()-&gt;EOLHwPosTrimPerformed_Cnt_u16</t>
  </si>
  <si>
    <t>0xAAAA</t>
  </si>
  <si>
    <t>TurnsCntrValidity_Cnt_u08</t>
  </si>
  <si>
    <t>Clean up for compiler warnings</t>
  </si>
  <si>
    <t>CF11 BMW_TJA_Damping</t>
  </si>
  <si>
    <t>Integrated latest MtrCtrl_Cm</t>
  </si>
  <si>
    <t>t_MtrVelX_MtrRadpS_T_u16[10]</t>
  </si>
  <si>
    <t>PICurrCntrl_MtrCurrQax_Amp_D_f32</t>
  </si>
  <si>
    <t>MtrCurrQax_Amp_D_f32</t>
  </si>
  <si>
    <t>PICurrCntrl_MtrCurrDax_Amp_D_f32</t>
  </si>
  <si>
    <t>MtrCurrDax_Amp_D_f32</t>
  </si>
  <si>
    <t>TrqCanc_MtrCurrQaxRpl6X_Amp_M_s6p9[6][7]</t>
  </si>
  <si>
    <t>MtrCurrQaxRpl6X_Amp</t>
  </si>
  <si>
    <t>TrqCanc_MtrCurrQaxRpl6Y_Amp_M_s6p9[6][7]</t>
  </si>
  <si>
    <t>MtrCurrQaxRpl6Y_Amp</t>
  </si>
  <si>
    <t>TrqCanc_MtrCurrQaxRpl12X_Amp_M_s6p9[6][7]</t>
  </si>
  <si>
    <t>MtrCurrQaxRpl12X_Amp</t>
  </si>
  <si>
    <t>TrqCanc_MtrCurrQaxRpl12Y_Amp_M_s6p9[6][7]</t>
  </si>
  <si>
    <t>MtrCurrQaxRpl12Y_Amp</t>
  </si>
  <si>
    <t>TrqCanc_MtrCurrQaxRpl18X_Amp_M_s6p9[6][7]</t>
  </si>
  <si>
    <t>MtrCurrQaxRpl18X_Amp</t>
  </si>
  <si>
    <t>TrqCanc_MtrCurrQaxRpl18Y_Amp_M_s6p9[6][7]</t>
  </si>
  <si>
    <t>MtrCurrQaxRpl18Y_Amp</t>
  </si>
  <si>
    <t>TrqCanc_CorrecNomKe_VpRadpS_M_f32</t>
  </si>
  <si>
    <t>HS33 CoilPIControl</t>
  </si>
  <si>
    <t>Updates for bootloader changes</t>
  </si>
  <si>
    <t>Integrated latest AbsHwPos</t>
  </si>
  <si>
    <t>SrlComHwPosStatus_Cnt_u16</t>
  </si>
  <si>
    <t>0x5555</t>
  </si>
  <si>
    <t>0xFFFF</t>
  </si>
  <si>
    <t>uses only these three values:  - 0x5555 = Valid,0xFFFE = Unknown, 0xFFFF = fault</t>
  </si>
  <si>
    <t>AbsHwPos_HwPosState_Cnt_M_enum</t>
  </si>
  <si>
    <t>AbsHwPos_HandwheelPositionLPF_M_str</t>
  </si>
  <si>
    <t>AbsHwPos_HandwheelPositionLPF_M_str.SV_Uls_f32</t>
  </si>
  <si>
    <t>AbsHwPos_HandwheelPositionLPF_M_str.K_Uls_f32</t>
  </si>
  <si>
    <t>AbsHwPos_VehCntrValid_Cnt_M_lgc</t>
  </si>
  <si>
    <t>AbsHwPos_VehCntrOfstLearn_Cnt_M_lgc</t>
  </si>
  <si>
    <t>AbsHwPos_HwAtoMtrAFltAcc_Cnt_M_u16</t>
  </si>
  <si>
    <t>AbsHwPos_HwPosSource_Cnt_M_u16</t>
  </si>
  <si>
    <t>AbsHwPos_VehCntrOffset_HwDeg_M_f32</t>
  </si>
  <si>
    <t>AbsHwPos_AlignedHwPos_HwDeg_M_f32</t>
  </si>
  <si>
    <t>AbsHwPos_AlignedCumMtrPos_HwDeg_M_f32</t>
  </si>
  <si>
    <t>AbsHwPos_PrevHandwheelPosition_HwDeg_M_f32</t>
  </si>
  <si>
    <t>AbsHwPos_HandwheelAuthority_Uls_M_f32</t>
  </si>
  <si>
    <t>AbsHwPos_TempHwPos_HwDeg_M_f32</t>
  </si>
  <si>
    <t>AbsHwPos_SrlComHwPos_HwDeg_M_f32</t>
  </si>
  <si>
    <t>AbsHwPos_TargetHwAuthority_Uls_M_f32</t>
  </si>
  <si>
    <t>AbsHwPos_RelHwPos_HwDeg_M_f32</t>
  </si>
  <si>
    <t>CF09 GMOverlayStateHandler</t>
  </si>
  <si>
    <t>CF10 GMTorqueArbitrator</t>
  </si>
  <si>
    <t>HS09 ThermalManagement</t>
  </si>
  <si>
    <t>{140, 2, 1}</t>
  </si>
  <si>
    <t>Integrated latest Metrics</t>
  </si>
  <si>
    <t>Integrated outdated components</t>
  </si>
  <si>
    <t>TempEst_k_TempSnsrFiltDft_Cnt</t>
  </si>
  <si>
    <t>Flag indicating whether software low pass filter should be defeated or bypassed</t>
  </si>
  <si>
    <t>TempEst_k_TempSnsrLPFKn_Hz</t>
  </si>
  <si>
    <t>Cutoff frequency for software low pass filter</t>
  </si>
  <si>
    <t>TempEst_k_TempSnsrDefVal_DegC</t>
  </si>
  <si>
    <t>Default value for controller temperature to be used in fault condition</t>
  </si>
  <si>
    <t>TempEst_k_TempSensDiagThresh_Cnt</t>
  </si>
  <si>
    <t>Threshold value above which the temperature sensor diagnostic active flag should be set to True</t>
  </si>
  <si>
    <t>TempEst_k_TempSensLowLimit_DegC</t>
  </si>
  <si>
    <t>Low limit calibration that defines the low limit floor for diagnostic of the temperature sensor signal</t>
  </si>
  <si>
    <t>TempEst_k_TempSensHighLimit_DegC</t>
  </si>
  <si>
    <t>Upper limit calibration that defines the upper limit floor for diagnostic of the temperature sensor signal</t>
  </si>
  <si>
    <t>TempEst_k_SiLLFiltKB0_Uls</t>
  </si>
  <si>
    <t>TempEst_k_SiLLFiltKB1_Uls</t>
  </si>
  <si>
    <t>TempEst_k_SiLLFiltKA1_Uls</t>
  </si>
  <si>
    <t>TempEst_k_MagLLFiltKB0_Uls</t>
  </si>
  <si>
    <t>TempEst_k_MagLLFiltKB1_Uls</t>
  </si>
  <si>
    <t>TempEst_k_MagLLFiltKA1_Uls</t>
  </si>
  <si>
    <t>TempEst_k_CuLLFiltKB0_Uls</t>
  </si>
  <si>
    <t>TempEst_k_CuLLFiltKB1_Uls</t>
  </si>
  <si>
    <t>TempEst_k_CuLLFiltKA1_Uls</t>
  </si>
  <si>
    <t>TempEst_k_AmbPwrMult_WtspAmpSq</t>
  </si>
  <si>
    <t>TempEst_k_SiAmbLPFKn_Hz</t>
  </si>
  <si>
    <t>TempEst_k_SiAmbMult_DegCpWatt</t>
  </si>
  <si>
    <t>TempEst_k_MagAmbLPFKn_Hz</t>
  </si>
  <si>
    <t>TempEst_k_MagAmbMult_DegCpWatt</t>
  </si>
  <si>
    <t>TempEst_k_CuAmbLPFKn_Hz</t>
  </si>
  <si>
    <t>TempEst_k_CuAmbMult_DegCpWatt</t>
  </si>
  <si>
    <t>TempEst_k_SiCorrLmt_DegC</t>
  </si>
  <si>
    <t>TempEst_k_MagCorrLmt_DegC</t>
  </si>
  <si>
    <t>TempEst_k_CuCorrLmt_DegC</t>
  </si>
  <si>
    <t>TempEst_k_AMDampScl_NmpRadpS</t>
  </si>
  <si>
    <t>TempEst_k_AMAmbMult_DegCpWatt</t>
  </si>
  <si>
    <t>TempEst_k_AMAmbLPFKn_Hz</t>
  </si>
  <si>
    <t>TempEst_k_TrimTempSi_DegC</t>
  </si>
  <si>
    <t>TempEst_k_TrimTempMag_DegC</t>
  </si>
  <si>
    <t>TempEst_k_TrimTempCu_DegC</t>
  </si>
  <si>
    <t>TempEst_k_TrimTempAM_DegC</t>
  </si>
  <si>
    <t>TempEst_k_EngTempScl_Uls</t>
  </si>
  <si>
    <t>TempEst_k_AmbTempScl_Uls</t>
  </si>
  <si>
    <t>TempEst_k_AMLLFiltKA1_Uls</t>
  </si>
  <si>
    <t>TempEst_k_AMLLFiltKB0_Uls</t>
  </si>
  <si>
    <t>TempEst_k_AMLLFiltKB1_Uls</t>
  </si>
  <si>
    <t>TempEst_k_AssistMechSlew_DegCpS</t>
  </si>
  <si>
    <t>k_CurrCorrErrFiltFc_Hz_f32</t>
  </si>
  <si>
    <t>k_TempSensDiag_Cnt_str.PStep</t>
  </si>
  <si>
    <t>TempEst_k_TempSensDiagPStep_Cnt</t>
  </si>
  <si>
    <t>Size of P step for PN diagnostic structure</t>
  </si>
  <si>
    <t>k_TempSensDiag_Cnt_str.NStep</t>
  </si>
  <si>
    <t>TempEst_k_TempSensDiagNStep_Cnt</t>
  </si>
  <si>
    <t>Size of N step for PN diagnostic structure</t>
  </si>
  <si>
    <t>k_CustDiagAmbLowThresh_DegC_f32</t>
  </si>
  <si>
    <t>TempEst_k_CustDiagAmbLowThresh_DegC</t>
  </si>
  <si>
    <t>Customer Specific Low Temperature Threshold for Disabling NTC Diagnostic</t>
  </si>
  <si>
    <t>k_CustDiagAmbLowEnable_Cnt_lgc</t>
  </si>
  <si>
    <t>TempEst_k_CustDiagAmbLowEnable_Cnt</t>
  </si>
  <si>
    <t>Calibration to Enable Customer Specific Low Temperature NTC Diagnostic Disable Logic</t>
  </si>
  <si>
    <t>t2_MtrVelDmpTblX_MtrRadpS_u12p4[12][13]</t>
  </si>
  <si>
    <t>t2_MtrVelDmpTblY_MtrNm_u5p11[12][13]</t>
  </si>
  <si>
    <t>k_DmpBoundLPFKn_Hz_f32</t>
  </si>
  <si>
    <t>DampFW_k_DmpBoundLPFKn_Hz</t>
  </si>
  <si>
    <t>k_CCLTrqRampIncSlew_UlspS_f32</t>
  </si>
  <si>
    <t>LimCon_k_CCLTrqRampIncSlew_UlspS_f32</t>
  </si>
  <si>
    <t>k_IdBoostGain_Uls_f32</t>
  </si>
  <si>
    <t>MtrCtrl_k_IdBoostGain_Uls</t>
  </si>
  <si>
    <t>k_IdBoostVRThreshScl_Uls_f32</t>
  </si>
  <si>
    <t>MtrCtrl_k_IdBoostVRThreshScl_Uls</t>
  </si>
  <si>
    <t>t_IdBoostTrqCmdX_MtrNm_u4p12[11]</t>
  </si>
  <si>
    <t>MtrCtrl_t_IdBoostTrqCmdX_MtrNm</t>
  </si>
  <si>
    <t>{0,1.5,1.75,2,2.25,2.5,3,3.5,4,4.5,5}</t>
  </si>
  <si>
    <t>t_IdBoostTrqCharSclY_Uls_u1p15[11]</t>
  </si>
  <si>
    <t>MtrCtrl_t_IdBoostTrqCharSclY_Uls</t>
  </si>
  <si>
    <t>{0,0.5,0.6,0.7,0.725,0.775,0.825,0.85,0.9,0.95,1}</t>
  </si>
  <si>
    <t>k_AMCorrLmt_DegC_f32</t>
  </si>
  <si>
    <t>TempEst_k_AMCorrLmt_DegC</t>
  </si>
  <si>
    <t>k_AMDefaultTemp_DegC_f32</t>
  </si>
  <si>
    <t>TempEst_k_AMDefaultTemp_DegC</t>
  </si>
  <si>
    <t>k_PWMBaseFrequency_Hz_u16</t>
  </si>
  <si>
    <t>k_PWMBaseFrequency_Hz</t>
  </si>
  <si>
    <t>Motor Control ISR Trigger rate</t>
  </si>
  <si>
    <t>CurrentGainSvc_Cnt_lgc</t>
  </si>
  <si>
    <t>CurrentGainSvc</t>
  </si>
  <si>
    <t>CurrCorrDiagKSV_M_str.SV_Uls_f32</t>
  </si>
  <si>
    <t>CurrCorrDiagKSV_M_str.K_Uls_f32</t>
  </si>
  <si>
    <t>5 significant digits</t>
  </si>
  <si>
    <t>NOTE - because this input is from serial coms and the range is not documented in a single place, for the purpose of unit test the range is given as min-1 to max+1 of the cal that the variable is compared to</t>
  </si>
  <si>
    <t>CtrlTemp_CtrlTempSV_M_str.K_Uls_f32</t>
  </si>
  <si>
    <t>CtrlTemp_CtrlTempSV_M_str.SV_Uls_f32</t>
  </si>
  <si>
    <t>CtrlTemp_CtrlTemp_DegC_M_f32</t>
  </si>
  <si>
    <t>CtrlTemp_CtrlTempErrorAcc_Cnt_M_u16</t>
  </si>
  <si>
    <t>CtrlTemp_CtrlTempFiltOut_DegC_D_f32</t>
  </si>
  <si>
    <t>CustomDamp_MtrNm_f32</t>
  </si>
  <si>
    <t>CustomDamp</t>
  </si>
  <si>
    <t>DampFWLwrBoundFilt_MtrNm_D_f32</t>
  </si>
  <si>
    <t>DampFWUprBoundFilt_MtrNm_D_f32</t>
  </si>
  <si>
    <t>DampFWUprBoundKSV_M_str</t>
  </si>
  <si>
    <t>DampFWUprBoundKSV_M_str.K_Uls_f32</t>
  </si>
  <si>
    <t>DampFWUprBoundKSV_M_str.SV_Uls_f32</t>
  </si>
  <si>
    <t>DampFWLwrBoundKSV_M_str</t>
  </si>
  <si>
    <t>DampFWLwrBoundKSV_M_str.K_Uls_f32</t>
  </si>
  <si>
    <t>DampFWLwrBoundKSV_M_str.SV_Uls_f32</t>
  </si>
  <si>
    <t>CCLTrqRamp_Uls_M_f32</t>
  </si>
  <si>
    <t>CCL_TrqRamp</t>
  </si>
  <si>
    <t>CCLTrqRamp_Uls_f32</t>
  </si>
  <si>
    <t>CCLTrqRamp_Uls</t>
  </si>
  <si>
    <t>CurrentGainSvc_Cnt</t>
  </si>
  <si>
    <t>MtrVoltDax_Volt_M_f32[2]</t>
  </si>
  <si>
    <t>MtrVoltQax_Volt_M_f32[2]</t>
  </si>
  <si>
    <t>MtrCurrQaxFinalRef_Amp_M_f32[2]</t>
  </si>
  <si>
    <t>MtrCurrQaxFinalRef_Amp</t>
  </si>
  <si>
    <t>PICurrCntrl_DervLambdaQax_Volt_D_f32</t>
  </si>
  <si>
    <t>DervLambdaQax_Volt</t>
  </si>
  <si>
    <t>PICurrCntrl_DervLambdaDax_Volt_D_f32</t>
  </si>
  <si>
    <t>DervLambdaDax_Volt</t>
  </si>
  <si>
    <t>CorrMtrPosElec_Rev_f32</t>
  </si>
  <si>
    <t>CorrMtrPosElec_Rev</t>
  </si>
  <si>
    <t>DervLambdaAlphaDiag_Volt_f32</t>
  </si>
  <si>
    <t>DervLambdaAlphaDiag_Volt</t>
  </si>
  <si>
    <t>DervLambdaBetaDiag_Volt_f32</t>
  </si>
  <si>
    <t>DervLambdaBetaDiag_Volt</t>
  </si>
  <si>
    <t>CurrCmd_IdBoostAmount_Amp_D_f32</t>
  </si>
  <si>
    <t>IdBoostAmount_Amp</t>
  </si>
  <si>
    <t>EngTemp_DegC_f32</t>
  </si>
  <si>
    <t>ScomAMDefeat_Cnt_lgc</t>
  </si>
  <si>
    <t>ScomAMDefeat</t>
  </si>
  <si>
    <t>MtrTempEst_CuCorr_DegC_D_f32</t>
  </si>
  <si>
    <t>MtrTempEst_CuLLFiltSV_DegC_M_f32</t>
  </si>
  <si>
    <t>MtrTempEst_CuAmbLPFiltSV_Watts_M_str.K_Uls_f32</t>
  </si>
  <si>
    <t>MtrTempEst_CuAmbLPFiltSV_Watts_M_str.SV_Uls_f32</t>
  </si>
  <si>
    <t>MtrTempEst_MagCorr_DegC_D_f32</t>
  </si>
  <si>
    <t>MtrTempEst_MagLLFiltSV_DegC_M_f32</t>
  </si>
  <si>
    <t>MtrTempEst_MagAmbLPFiltSV_Watts_M_str.K_Uls_f32</t>
  </si>
  <si>
    <t>MtrTempEst_MagAmbLPFiltSV_Watts_M_str.SV_Uls_f32</t>
  </si>
  <si>
    <t>MtrTempEst_SiCorr_DegC_D_f32</t>
  </si>
  <si>
    <t>MtrTempEst_SiLLFiltSV_DegC_M_f32</t>
  </si>
  <si>
    <t>MtrTempEst_SiAmbLPFiltSV_Watts_M_str.K_Uls_f32</t>
  </si>
  <si>
    <t>MtrTempEst_SiAmbLPFiltSV_Watts_M_str.SV_Uls_f32</t>
  </si>
  <si>
    <t>MtrTempEst_AsstMechLPFiltSV_Watts_M_str.K_Uls_f32</t>
  </si>
  <si>
    <t>MtrTempEst_AsstMechLPFiltSV_Watts_M_str.SV_Uls_f32</t>
  </si>
  <si>
    <t>MtrTempEst_AssMechFiltSV_DegC_M_f32</t>
  </si>
  <si>
    <t>MtrTempEst_AMTempEst_DegC_M_f32</t>
  </si>
  <si>
    <t>MtrTempEst_AmbPwr_Watts_D_f32</t>
  </si>
  <si>
    <t>MtrTempEst_ScaledAmbTemp_DegC_D_f32</t>
  </si>
  <si>
    <t>MtrTempEst_ScaledEngTemp_DegC_D_f32</t>
  </si>
  <si>
    <t>MtrTempEst_EstMech_Watts_D_f32</t>
  </si>
  <si>
    <t>MtrTempEst_AMCorr_DegC_D_f32</t>
  </si>
  <si>
    <t>MtrTempEst_AssMechInitComp_Cnt_M_lgc</t>
  </si>
  <si>
    <t>MtrTempEst_AssistMechSlew_DegC_M_f32</t>
  </si>
  <si>
    <t>MtrTempEst_AssistMechFilt_DegC_D_f32</t>
  </si>
  <si>
    <t>MtrTempEst_PrevScomTempDataRcvd_Cnt_M_lgc</t>
  </si>
  <si>
    <t>SVDiag_MtrDrvInitStartTime_mS_M_u32p0</t>
  </si>
  <si>
    <t>SVDiag_ResetWaitLoop_Cnt_M_lgc</t>
  </si>
  <si>
    <t>SVDiag_MtrDrvInitActive_Cnt_M_lgc</t>
  </si>
  <si>
    <t>SVDiag_MtrDrvInitComp_Cnt_M_lgc</t>
  </si>
  <si>
    <t>SVDiag_GateDriveFltAcc_Cnt_M_u16</t>
  </si>
  <si>
    <t>SVDiag_GenGateDriveFltAcc_Cnt_M_u16</t>
  </si>
  <si>
    <t>SVDiag_OnStateFltAcc_Cnt_M_u16</t>
  </si>
  <si>
    <t>SVDiag_FETFaultType_Cnt_M_enum</t>
  </si>
  <si>
    <t>SVDiag_FETFaultPhase_Cnt_M_enum</t>
  </si>
  <si>
    <t>SVDiag_GateDrvFltSts_Cnt_D_b16</t>
  </si>
  <si>
    <t>SVDiag_FilterSV_Cnt_M_s18p13[3]</t>
  </si>
  <si>
    <t>SVDiag_HighResPhsReasDisable_M_u8</t>
  </si>
  <si>
    <t>SVDiag_LowResPhsReasDisable_M_u8</t>
  </si>
  <si>
    <t>SVDiag_LRPRHighLimit_Cnt_D_f32[3]</t>
  </si>
  <si>
    <t>SVDiag_LRPRLowLimit_Cnt_D_f32[3]</t>
  </si>
  <si>
    <t>SVDiag_MaxNrCommOffVltg_Cnt_M_f32</t>
  </si>
  <si>
    <t>{0,120,240}</t>
  </si>
  <si>
    <t>{0,120,240},{30,150,270}</t>
  </si>
  <si>
    <t>PwmCdd_PWMPrdMax_Cnt_M_u16</t>
  </si>
  <si>
    <t>PwmCdd_PWMPrdMin_Cnt_M_u16</t>
  </si>
  <si>
    <t>PwmCdd_PWMPrdRange_Cnt_M_u16</t>
  </si>
  <si>
    <t>DCPhsBComp_Cnt_u16p0</t>
  </si>
  <si>
    <t>DCPhsBComp</t>
  </si>
  <si>
    <t>DCPhsCComp_Cnt_u16p0</t>
  </si>
  <si>
    <t>DCPhsCComp</t>
  </si>
  <si>
    <t>CDD_DCPhsComp_Cnt_G_u16[3]</t>
  </si>
  <si>
    <t>Output torque command</t>
  </si>
  <si>
    <t>HW_Torque</t>
  </si>
  <si>
    <t>Handwheel Torque</t>
  </si>
  <si>
    <t>Validity of the vehicle speed signal</t>
  </si>
  <si>
    <t>Motor Velocity in Core Ref Frame</t>
  </si>
  <si>
    <t>Unlitless</t>
  </si>
  <si>
    <t>VehDyn_PinTrqSV_M_Str. SV_Uls_f32</t>
  </si>
  <si>
    <t>VehDyn_PinTrqSV_M_Str. K_Uls_f32</t>
  </si>
  <si>
    <t>VehDyn_AutoCntrLoSpd_M_str. MtrVel_MtrRadpS_f32</t>
  </si>
  <si>
    <t>VehDyn_AutoCntrLoSpd_M_str. VehSpd_kph_f32</t>
  </si>
  <si>
    <t>VehDyn_AutoCntrLoSpd_M_str. FiltPinTrq_HwNm_f32</t>
  </si>
  <si>
    <t>VehDyn_AutoCntrLoSpd_M_str. CntrWindow_HwDeg_f32</t>
  </si>
  <si>
    <t>VehDyn_AutoCntrLoSpd_M_str. Timer1Thresh_mS_u16</t>
  </si>
  <si>
    <t>VehDyn_AutoCntrLoSpd_M_str. Timer2Thresh_mS_u16</t>
  </si>
  <si>
    <t>VehDyn_AutoCntrLoSpd_M_str. Timer1_mS_u32</t>
  </si>
  <si>
    <t>VehDyn_AutoCntrLoSpd_M_str. Timer2_mS_u32</t>
  </si>
  <si>
    <t>VehDyn_AutoCntrLoSpd_M_str. RelHwPosFilt1SV_HwDeg_str. SV_Uls_f32</t>
  </si>
  <si>
    <t>VehDyn_AutoCntrLoSpd_M_str. RelHwPosFilt1SV_HwDeg_str. K_Uls_f32</t>
  </si>
  <si>
    <t>VehDyn_AutoCntrLoSpd_M_str. RelHwPosFilt2SV_HwDeg_str. SV_Uls_f32</t>
  </si>
  <si>
    <t>VehDyn_AutoCntrLoSpd_M_str. RelHwPosFilt2SV_HwDeg_str. K_Uls_f32</t>
  </si>
  <si>
    <t>VehDyn_AutoCntrLoSpd_M_str. Filter1Enable_Cnt_lgc</t>
  </si>
  <si>
    <t>VehDyn_AutoCntrLoSpd_M_str. Filter2Enable_Cnt_lgc</t>
  </si>
  <si>
    <t>VehDyn_AutoCntrLoSpd_M_str. Filter1Initialized_Cnt_lgc</t>
  </si>
  <si>
    <t>VehDyn_AutoCntrLoSpd_M_str. Filter2Initialized_Cnt_lgc</t>
  </si>
  <si>
    <t>VehDyn_AutoCntrDetSpd_M_str. MtrVel_MtrRadpS_f32</t>
  </si>
  <si>
    <t>VehDyn_AutoCntrDetSpd_M_str. VehSpd_kph_f32</t>
  </si>
  <si>
    <t>VehDyn_AutoCntrDetSpd_M_str. FiltPinTrq_HwNm_f32</t>
  </si>
  <si>
    <t>VehDyn_AutoCntrDetSpd_M_str. CntrWindow_HwDeg_f32</t>
  </si>
  <si>
    <t>VehDyn_AutoCntrDetSpd_M_str. Timer1Thresh_mS_u16</t>
  </si>
  <si>
    <t>VehDyn_AutoCntrDetSpd_M_str. Timer2Thresh_mS_u16</t>
  </si>
  <si>
    <t>VehDyn_AutoCntrDetSpd_M_str. Timer1_mS_u32</t>
  </si>
  <si>
    <t>VehDyn_AutoCntrDetSpd_M_str. Timer2_mS_u32</t>
  </si>
  <si>
    <t>VehDyn_AutoCntrDetSpd_M_str. RelHwPosFilt1SV_HwDeg_str. SV_Uls_f32</t>
  </si>
  <si>
    <t>VehDyn_AutoCntrDetSpd_M_str. RelHwPosFilt1SV_HwDeg_str. K_Uls_f32</t>
  </si>
  <si>
    <t>VehDyn_AutoCntrDetSpd_M_str. RelHwPosFilt2SV_HwDeg_str. SV_Uls_f32</t>
  </si>
  <si>
    <t>VehDyn_AutoCntrDetSpd_M_str. RelHwPosFilt2SV_HwDeg_str. K_Uls_f32</t>
  </si>
  <si>
    <t>VehDyn_AutoCntrDetSpd_M_str. Filter1Enable_Cnt_lgc</t>
  </si>
  <si>
    <t>VehDyn_AutoCntrDetSpd_M_str. Filter2Enable_Cnt_lgc</t>
  </si>
  <si>
    <t>VehDyn_AutoCntrDetSpd_M_str. Filter1Initialized_Cnt_lgc</t>
  </si>
  <si>
    <t>VehDyn_AutoCntrDetSpd_M_str. Filter2Initialized_Cnt_lgc</t>
  </si>
  <si>
    <t>VehDyn_AutoCntrHiSpd_M_str. MtrVel_MtrRadpS_f32</t>
  </si>
  <si>
    <t>VehDyn_AutoCntrHiSpd_M_str. VehSpd_kph_f32</t>
  </si>
  <si>
    <t>VehDyn_AutoCntrHiSpd_M_str. FiltPinTrq_HwNm_f32</t>
  </si>
  <si>
    <t>VehDyn_AutoCntrHiSpd_M_str. CntrWindow_HwDeg_f32</t>
  </si>
  <si>
    <t>VehDyn_AutoCntrHiSpd_M_str. Timer1Thresh_mS_u16</t>
  </si>
  <si>
    <t>VehDyn_AutoCntrHiSpd_M_str. Timer2Thresh_mS_u16</t>
  </si>
  <si>
    <t>VehDyn_AutoCntrHiSpd_M_str. Timer1_mS_u32</t>
  </si>
  <si>
    <t>VehDyn_AutoCntrHiSpd_M_str. Timer2_mS_u32</t>
  </si>
  <si>
    <t>VehDyn_AutoCntrHiSpd_M_str. RelHwPosFilt1SV_HwDeg_str. SV_Uls_f32</t>
  </si>
  <si>
    <t>VehDyn_AutoCntrHiSpd_M_str. RelHwPosFilt1SV_HwDeg_str. K_Uls_f32</t>
  </si>
  <si>
    <t>VehDyn_AutoCntrHiSpd_M_str.. RelHwPosFilt2SV_HwDeg_str. SV_Uls_f32</t>
  </si>
  <si>
    <t>VehDyn_AutoCntrHiSpd_M_str.. RelHwPosFilt2SV_HwDeg_str. K_Uls_f32</t>
  </si>
  <si>
    <t>VehDyn_AutoCntrHiSpd_M_str. Filter1Enable_Cnt_lgc</t>
  </si>
  <si>
    <t>VehDyn_AutoCntrHiSpd_M_str. Filter2Enable_Cnt_lgc</t>
  </si>
  <si>
    <t>VehDyn_AutoCntrHiSpd_M_str. Filter1Initialized_Cnt_lgc</t>
  </si>
  <si>
    <t>VehDyn_AutoCntrHiSpd_M_str. Filter2Initialized_Cnt_lgc</t>
  </si>
  <si>
    <t>VehDyn_AllowHiSpdAutoCntr_Cnt_M_lgc</t>
  </si>
  <si>
    <t>VehDyn_LoSpdLearnt_Cnt_M_lgc</t>
  </si>
  <si>
    <t>VehDyn_HiSpdLearnt_Cnt_M_lgc</t>
  </si>
  <si>
    <t>{{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t>
  </si>
  <si>
    <t>{{0,0,0,0,0,0,0,0,0,0,0,0,0},{0,0,0,0,0,0,0,0,0,0,0,0,0},{0,0,0,0,0,0,0,0,0,0,0,0,0},{0,0,0,0,0,0,0,0,0,0,0,0,0},{4.72862E-06,0.000112305,0.000497601,0.001303225,0.003227861,0.006733764,0.011729028,0.017516747,0.024461291,0.032580633,0.052235875,0.083377663,0.148226957},{0.000486471,0.002683176,0.006562175,0.0123626,0.023575163,0.041301363,0.064455533,0.089909836,0.119413028,0.153038774,0.232215934,0.354221553,0.601993991},{0.00237325,0.012012076,0.02659086,0.045522684,0.077527555,0.122334762,0.175664812,0.230589844,0.291299003,0.357935954,0.508131234,0.728886973,1.157132994},{0.004734678,0.02374339,0.051937718,0.087787305,0.146985458,0.227835113,0.322007055,0.417387822,0.521444778,0.634420325,0.885672782,1.249329789,1.943698596},{0.004734678,0.02374339,0.051937718,0.087787305,0.146985458,0.227835113,0.322007055,0.417387822,0.521444778,0.634420325,0.885672782,1.249329789,1.943698596},{0.004734678,0.02374339,0.051937718,0.087787305,0.146985458,0.227835113,0.322007055,0.417387822,0.521444778,0.634420325,0.885672782,1.249329789,1.943698596},{0.004734678,0.02374339,0.051937718,0.087787305,0.146985458,0.227835113,0.322007055,0.417387822,0.521444778,0.634420325,0.885672782,1.249329789,1.943698596},{0.004734678,0.02374339,0.051937718,0.087787305,0.146985458,0.227835113,0.322007055,0.417387822,0.521444778,0.634420325,0.885672782,1.249329789,1.943698596}}</t>
  </si>
  <si>
    <t>k_FrictionDiagThreshold_HwNm_f32</t>
  </si>
  <si>
    <t>FricLrn_k_FrictionDiagThreshold_HwNm</t>
  </si>
  <si>
    <t>Threshold to set high friction diagnostic flag</t>
  </si>
  <si>
    <t>k_FrictionDiagTimer_mS_u32</t>
  </si>
  <si>
    <t>FricLrn_k_FrictionDiagTimer_s</t>
  </si>
  <si>
    <t>Time that measured friction needs to be above FrictionDiagThreshold</t>
  </si>
  <si>
    <t>k_MSALowNotDetect_Volts_u10p6</t>
  </si>
  <si>
    <t>k_MSALowDetect_Volts_u10p6</t>
  </si>
  <si>
    <t>k_MSALowDetect_ms_u16p0</t>
  </si>
  <si>
    <t>k_MSALowNotDetect_ms_u16p0</t>
  </si>
  <si>
    <t>k_BattDiagUvMin_Volt_u10p6</t>
  </si>
  <si>
    <t>Under Volt Min</t>
  </si>
  <si>
    <t>k_UvNotDetect_ms_u16p0</t>
  </si>
  <si>
    <t>UnderVolt non detection time</t>
  </si>
  <si>
    <t>k_UvDetect_ms_u16p0</t>
  </si>
  <si>
    <t>UnderVolt detection time</t>
  </si>
  <si>
    <t>k_BattUvRecMax_Volt_u10p6</t>
  </si>
  <si>
    <t>k_BattDiagUvMax_Volt_u10p6</t>
  </si>
  <si>
    <t>t_DLVTblX_Volt_u5p11[10]</t>
  </si>
  <si>
    <t>PwrLmt_t_DLVTblX_Volts</t>
  </si>
  <si>
    <t>{8.54296875, 9.14453125, 9.2421875, 9.34375, 9.44140625, 9.54296875, 10.04296875, 10.54296875, 10.84375, 12.34375}</t>
  </si>
  <si>
    <t>t_DLVTblY_MtrRadpS_u11p5[10]</t>
  </si>
  <si>
    <t>{106.09375, 89.34375, 86.53125, 83.75, 80.96875, 78.15625 ,64.1875 ,50.25 ,41.875 ,0}</t>
  </si>
  <si>
    <t>t_MtrEnvTblX_MtrRadpS_s11p4[14]</t>
  </si>
  <si>
    <t>Table to determine motor velocity dependent torque limit (nominal)</t>
  </si>
  <si>
    <t>t_MtrEnvTblY_MtrNm_u5p11[14]</t>
  </si>
  <si>
    <t>k_KeStdTemp_VpRadpS_f32</t>
  </si>
  <si>
    <t>t_StdOpMtrEnvTblX_MtrRadpS_u11p5[6]</t>
  </si>
  <si>
    <t>Table to determine motor velocity dependent torque limit at minimum Standard Operating Conditions Voltage</t>
  </si>
  <si>
    <t>t_StdOpMtrEnvTblY_MtrNm_u4p12[6]</t>
  </si>
  <si>
    <t>k_FiltAsstReducTh_Uls_f32</t>
  </si>
  <si>
    <t>k_PwrLmtVecuAltFltAdj_Volt_f32</t>
  </si>
  <si>
    <t>PwrLmt_k_VecuAltFltAdj_Volts</t>
  </si>
  <si>
    <t>Calibration value representing the amount by which Vecu should be reduced during an alternator fault.</t>
  </si>
  <si>
    <t>k_PwrLmtVecuAdjSlew_VoltspL_f32</t>
  </si>
  <si>
    <t>PwrLmt_k_VecuAdjSlew_VoltspL</t>
  </si>
  <si>
    <t>Calibration value to set the slew limit rate at which the Vecu Adjust value can change.</t>
  </si>
  <si>
    <t>Volts/Loop</t>
  </si>
  <si>
    <t>unit32</t>
  </si>
  <si>
    <t>OvervoltageFaultSet_Cnt_M_lgc</t>
  </si>
  <si>
    <t>BVDiag_LowSetInitBD_ms_M_u32p0</t>
  </si>
  <si>
    <t>BVDiag_LowClrInitBD_ms_M_u32p0</t>
  </si>
  <si>
    <t>BVDiag_OvSetInitBD_ms_M_u32p0</t>
  </si>
  <si>
    <t>BVDiag_OvClrInitBD_ms_M_u32p0</t>
  </si>
  <si>
    <t>CCLMSAActive_Cnt_lgc</t>
  </si>
  <si>
    <t>CCL_MSAACTIVE</t>
  </si>
  <si>
    <t>BVDiag_UvSetInitBD_ms_M_u32</t>
  </si>
  <si>
    <t>BVDiag_UvClrInitBD_ms_M_u32</t>
  </si>
  <si>
    <t>Limited torque command -- The output of ES25A – Polarity Assignments Brushless</t>
  </si>
  <si>
    <t>MotorVelMRF_MtrRadpS</t>
  </si>
  <si>
    <t>Motor Velocity signal, motor reference frame</t>
  </si>
  <si>
    <t>EstKe_VpRadpS</t>
  </si>
  <si>
    <t>AltFaultActive_Cnt_lgc</t>
  </si>
  <si>
    <t>AltFaultActive_Uls</t>
  </si>
  <si>
    <t>Serial Comm. flag indicating a fault in the vehicle battery charging  system</t>
  </si>
  <si>
    <t>FltTrqLmt_Uls_f32</t>
  </si>
  <si>
    <t>FltTrqLmt</t>
  </si>
  <si>
    <t>PwrLmtFuncCr_SpdAdj_MtrRadpS_M_f32</t>
  </si>
  <si>
    <t>PwrLmtFuncCr_VoltageRecoveryTimer_mS_M_u32</t>
  </si>
  <si>
    <t>PwrLmtFuncCr_ThresholdExceeded_Cnt_M_lgc</t>
  </si>
  <si>
    <t>PwrLmtFuncCr_TrqLmtKSV_M_str</t>
  </si>
  <si>
    <t>PwrLmtFuncCr_TrqLmtKSV_M_str.SV_Uls_f32</t>
  </si>
  <si>
    <t>PwrLmtFuncCr_TrqLmtKSV_M_str.K_Uls_f32</t>
  </si>
  <si>
    <t>PwrLmtFuncCr_MtrVelKSV_M_str</t>
  </si>
  <si>
    <t>PwrLmtFuncCr_MtrVelKSV_M_str.SV_Uls_f32</t>
  </si>
  <si>
    <t>PwrLmtFuncCr_MtrVelKSV_M_str.K_Uls_f32</t>
  </si>
  <si>
    <t>PwrLmtFuncCr_OPVelOffset_MtrRadpS_D_f32</t>
  </si>
  <si>
    <t>PwrLmtFuncCr_TLimitMaxCurr_MtrNm_D_f32</t>
  </si>
  <si>
    <t>PwrLmtFuncCr_MinStdOpLmt_MtrNm_D_f32</t>
  </si>
  <si>
    <t>PwrLmtFuncCr_LimitDifference_MtrNm_D_f32</t>
  </si>
  <si>
    <t>PwrLmtFuncCr_TrqLmt_Uls_D_f32</t>
  </si>
  <si>
    <t>PwrLmtFuncCr_MtrEnvSpd_MtrRadpS_M_f32</t>
  </si>
  <si>
    <t>PwrLmtFuncCr_MinStdOpLmt_MtrNm_M_f32</t>
  </si>
  <si>
    <t>PwrLmtFuncCr_TrqEnvLmt1_MtrNm_M_f32</t>
  </si>
  <si>
    <t>PwrLmtFuncCr_TrqLmt1_MtrNm_D_f32</t>
  </si>
  <si>
    <t>PwrLmtFuncCr_TrqEnvLmt4_MtrNm_D_f32</t>
  </si>
  <si>
    <t>PwrLmtFuncCr_TrqLmt4_MtrNm_D_f32</t>
  </si>
  <si>
    <t>PwrLmtFuncCr_MtrVelFilt_MtrRadpS_D_f32</t>
  </si>
  <si>
    <t>PwrLmtFuncCr_VecuSlewAdj_Volt_M_f32</t>
  </si>
  <si>
    <t>Duty_k_DefIgnOffTime_Sec</t>
  </si>
  <si>
    <t>k_IgnOffCntrEnb_Cnt_lgc</t>
  </si>
  <si>
    <t>Duty_k_IgnOffCntrEnb_Cnt</t>
  </si>
  <si>
    <t>k_IgnOffMsgWaitTime_Sec_f32</t>
  </si>
  <si>
    <t>Duty_k_IgnOffMsgWaitTime_Sec</t>
  </si>
  <si>
    <t>k_CurrDiagPrimLPFKn_Hz_f32</t>
  </si>
  <si>
    <t>CurrReas_k_CurrDiagPrimLPFKn_Hz</t>
  </si>
  <si>
    <t>k_CurrDiagSecLPFKn_Hz_f32</t>
  </si>
  <si>
    <t>CurrReas_k_CurrDiagSecLPFKn_Hz</t>
  </si>
  <si>
    <t>k_CurrDiagSecTrqLmtThresh_Uls_f32</t>
  </si>
  <si>
    <t>CurrReas_k_CurrDiagSecTrqLmtThresh_Uls</t>
  </si>
  <si>
    <t>k_CurrDiagPrimErrorThresh_Volt_f32</t>
  </si>
  <si>
    <t>CurrReas_k_CurrDiagPrimErrorThresh_Volt</t>
  </si>
  <si>
    <t>k_CurrDiagSecErrorThresh_Volt_f32</t>
  </si>
  <si>
    <t>CurrReas_k_CurrDiagSecErrorThresh_Volt</t>
  </si>
  <si>
    <t>k_CurrDiagSec_Cnt_Str</t>
  </si>
  <si>
    <t>{200,2,1}</t>
  </si>
  <si>
    <t>{255.255.255}</t>
  </si>
  <si>
    <t>k_CurrDiagPrim_Cnt_Str</t>
  </si>
  <si>
    <t>CurrReas_k_CurrDiagPrim_Cnt_Str</t>
  </si>
  <si>
    <t>k_CurrDiagMtrEnvTblMax_MtrNm_f32</t>
  </si>
  <si>
    <t>CurrReas_k_CurrDiagMtrEnvTblMax_MtrNm</t>
  </si>
  <si>
    <t>k_CurrDiagLambdaMinMax_Volt_f32</t>
  </si>
  <si>
    <t>CurrReas_k_LambdaMinMax_Volt</t>
  </si>
  <si>
    <t>AstLmt_ManualTrqCmd_MtrNm_M_f32</t>
  </si>
  <si>
    <t>AstLmt_ManualTrqCmdEn_Cnt_M_lgc</t>
  </si>
  <si>
    <t>AstLmt_SteeringAsstDefeat_Cnt_M_lgc</t>
  </si>
  <si>
    <t>TrqLimitMin_MtrNm_f32</t>
  </si>
  <si>
    <t>TrqLimitMin_MtrNm</t>
  </si>
  <si>
    <t>IgnTimeOff_Cnt_u32</t>
  </si>
  <si>
    <t>IgnTimeOff</t>
  </si>
  <si>
    <t>Time elapsed between Last Key OFF and current Key ON – based on Vehicle Time signals obtained from vehicle CAN Bus</t>
  </si>
  <si>
    <t>VehTimeValid_Cnt_lgc</t>
  </si>
  <si>
    <t>VehTimeValid</t>
  </si>
  <si>
    <t xml:space="preserve">TRUE/FALSE Flag to indicate whether Time signal from vehicle is legitimate or not. </t>
  </si>
  <si>
    <t>DutyCycleLevel_Uls_f32</t>
  </si>
  <si>
    <t>Duty_Cycle_Level</t>
  </si>
  <si>
    <t>Duty_ThermLoadLmt</t>
  </si>
  <si>
    <t>Rte_Pim_ThrmlDutyCycle_FltStVal</t>
  </si>
  <si>
    <t>ThrmlDutyCycle_FltStVal_Datatype</t>
  </si>
  <si>
    <t>Rte_Pim_ThrmlDutyCycle_FltStVal.Filt3Val_Cnt_u8</t>
  </si>
  <si>
    <t>Rte_Pim_ThrmlDutyCycle_FltStVal.Filt4Val_Cnt_u8</t>
  </si>
  <si>
    <t>Rte_Pim_ThrmlDutyCycle_FltStVal.Filt5Val_Cnt_u8</t>
  </si>
  <si>
    <t>Rte_Pim_ThrmlDutyCycle_FltStVal.Filt6Val_Cnt_u8</t>
  </si>
  <si>
    <t>ThrmDutyCycle_CntrFlagInit_Cnt_M_lgc</t>
  </si>
  <si>
    <t>CntrFlagInit</t>
  </si>
  <si>
    <t>ThrmDutyCycle_ReInitCntrFlag_Cnt_M_lgc</t>
  </si>
  <si>
    <t>CounterFlag</t>
  </si>
  <si>
    <t>CounterValue</t>
  </si>
  <si>
    <t>ThrmDutyCycle_eFilt3ValPowerup_Cnt_M_u8</t>
  </si>
  <si>
    <t>ThrmDutyCycle_eFilt4ValPowerup_Cnt_M_u8</t>
  </si>
  <si>
    <t>ThrmDutyCycle_eFilt5ValPowerup_Cnt_M_u8</t>
  </si>
  <si>
    <t>ThrmDutyCycle_eFilt6ValPowerup_Cnt_M_u8</t>
  </si>
  <si>
    <t>TqRsDg_AlpaCurrDiagPrimLPF_M_Str</t>
  </si>
  <si>
    <t>TqRsDg_AlpaCurrDiagPrimLPF_M_Str.SV_Uls_f32</t>
  </si>
  <si>
    <t>TqRsDg_AlpaCurrDiagPrimLPF_M_Str.K_Uls_f32</t>
  </si>
  <si>
    <t>TqRsDg_BetaCurrDiagPrimLPF_M_Str</t>
  </si>
  <si>
    <t>TqRsDg_BetaCurrDiagPrimLPF_M_Str.SV_Uls_f32</t>
  </si>
  <si>
    <t>TqRsDg_BetaCurrDiagPrimLPF_M_Str.K_Uls_f32</t>
  </si>
  <si>
    <t>TqRsDg_AlpaCurrDiagSecLPF_M_Str</t>
  </si>
  <si>
    <t>TqRsDg_AlpaCurrDiagSecLPF_M_Str.SV_Uls_f32</t>
  </si>
  <si>
    <t>TqRsDg_AlpaCurrDiagSecLPF_M_Str.K_Uls_f32</t>
  </si>
  <si>
    <t>TqRsDg_BetaCurrDiagSecLPF_M_Str</t>
  </si>
  <si>
    <t>TqRsDg_BetaCurrDiagSecLPF_M_Str.SV_Uls_f32</t>
  </si>
  <si>
    <t>TqRsDg_BetaCurrDiagSecLPF_M_Str.K_Uls_f32</t>
  </si>
  <si>
    <t>TqRsDg_CurrDiagPrimPNAccum_Cnt_M_u16</t>
  </si>
  <si>
    <t>TqRsDg_CurrDiagSecPNAccum_Cnt_M_u16</t>
  </si>
  <si>
    <t>TqRsDg_DervLambdaAlphaDiagPrimFilt_Volt_D_f32</t>
  </si>
  <si>
    <t>TqRsDg_DervLambdaBetaDiagPrimFilt_Volt_D_f32</t>
  </si>
  <si>
    <t>TqRsDg_DervLambdaAlphaDiagSecFilt_Volt_D_f32</t>
  </si>
  <si>
    <t>TqRsDg_DervLambdaBetaDiagSecFilt_Volt_D_f32</t>
  </si>
  <si>
    <t>TqRsDg_DervLambdaAlphaDiagLmtd_Volt_D_f32</t>
  </si>
  <si>
    <t>TqRsDg_DervLambdaBetaDiagLmtd_Volt_D_f32</t>
  </si>
  <si>
    <t>t_LatchFaults_Cnt_str[8]</t>
  </si>
  <si>
    <t>{{0x000,{65535,1,1}},{0x000,{65535,1,1}},{0x000,{65535,1,1}},{0x000,{65535,1,1}},{0x000,{65535,1,1}},{0x000,{65535,1,1}},{0x000,{65535,1,1}},{0x000,{65535,1,1}}}</t>
  </si>
  <si>
    <t>NTCLatch_Str</t>
  </si>
  <si>
    <t>t_LatchFaults_Cnt_str[8].NTC</t>
  </si>
  <si>
    <t>t_LatchFaults_Cnt_str[8].DiagSettings.Threshold</t>
  </si>
  <si>
    <t>t_LatchFaults_Cnt_str[8].DiagSettings.Pstep</t>
  </si>
  <si>
    <t>t_LatchFaults_Cnt_str[8].DiagSettings.Nstep</t>
  </si>
  <si>
    <t>DiagHwTrqPolarity_Cnt_s08</t>
  </si>
  <si>
    <t>DiagHwPosPolarity_Cnt_s08</t>
  </si>
  <si>
    <t>DiagMtrPosPolarity_Cnt_s08</t>
  </si>
  <si>
    <t>DiagMtrVelPolarity_Cnt_s08</t>
  </si>
  <si>
    <t>DiagAssistAssyPolarity_Cnt_s08</t>
  </si>
  <si>
    <t>DiagMtrElecMechPolarity_Cnt_s08</t>
  </si>
  <si>
    <t>ActiveTunOvrPtrAddr_Cnt_u32</t>
  </si>
  <si>
    <t>Pointer address for RAM copy of tuning set/personalitiy</t>
  </si>
  <si>
    <t>TuningSessionActPtr_Cnt_u8</t>
  </si>
  <si>
    <t xml:space="preserve">Enum stating if the over ride should be used or not. </t>
  </si>
  <si>
    <t>TuningSessionAddrPtrEnum</t>
  </si>
  <si>
    <t>k_EOTOriginalImpactandSoftEnd_Cnt_lgc</t>
  </si>
  <si>
    <t>k_EOTActuatorMgt_RunEOTOrigImpactAndSoftEndStop_lgc</t>
  </si>
  <si>
    <t>k_EOTPosDepDempFinalSlew_MtrNmpS_T_f32</t>
  </si>
  <si>
    <t>k_EOTActuatorMgt_EOTPosDepDmpSlew_MtrNmpS</t>
  </si>
  <si>
    <t>AbsHwPos_SrlComHwPosStatus_Cnt_M_u16</t>
  </si>
  <si>
    <t>EOTActuatorMng_EOTDet_Cnt_D_lgc</t>
  </si>
  <si>
    <t>EOTActuatorMng_EOTImpact_HwDeg_D_f32</t>
  </si>
  <si>
    <t>EOTActuatorMng_LimitPosition_HwDeg_D_f32</t>
  </si>
  <si>
    <t>EOTActuatorMng_EOTEnterGain_Uls_D_f32</t>
  </si>
  <si>
    <t>EOTActuatorMng_EOTExitgain_Uls_D_f32</t>
  </si>
  <si>
    <t>EOTActuatorMng_EOTGain_Uls_D_f32</t>
  </si>
  <si>
    <t>EOTActuatorMng_FiltEOTGain_Uls_D_f32</t>
  </si>
  <si>
    <t>EOTActuatorMng_EOTDamping_MtrNm_D_f32</t>
  </si>
  <si>
    <t>EOTActuatorMng_EOTImpactPos_HwDeg_M_f32</t>
  </si>
  <si>
    <t>EOTActuatorMng_PrevEOTGain_Uls_M_f32</t>
  </si>
  <si>
    <t>EOTActuatorMng_FiltHWTrqSV_HwNm_M_s7p24</t>
  </si>
  <si>
    <t>EOTActuatorMng_SESState_Uls_M_enum</t>
  </si>
  <si>
    <t>EOTActuatorMng_FiltEOTGainSV_HwNm_M_u1p31</t>
  </si>
  <si>
    <t>EOTActuatorMng_Damping_MtrNm_M_f32</t>
  </si>
  <si>
    <t>FDD13B HwPwUpSeq</t>
  </si>
  <si>
    <t>SFD20 ParkAsstManufacturingServices</t>
  </si>
  <si>
    <t>Updates for SER 001F</t>
  </si>
  <si>
    <t>k_NTCEnableTimeout_mS_u16</t>
  </si>
  <si>
    <t>NTC Enable timeout</t>
  </si>
  <si>
    <t>ES34C NhetTimer_for_Brush</t>
  </si>
  <si>
    <t>SF43 TorqueOscillation</t>
  </si>
  <si>
    <t>SF44 HandsOnWheelDetect</t>
  </si>
  <si>
    <t>k_MaxTSyncDelay_Cnts</t>
  </si>
  <si>
    <t>{128,10,1}</t>
  </si>
  <si>
    <t>k_CMSGotoPosPol_Cnt_s08</t>
  </si>
  <si>
    <t>cnt</t>
  </si>
  <si>
    <t>k_SENTSyncTrgMin_Cnt_u32</t>
  </si>
  <si>
    <t>k_MaxSyncMin_Cnts</t>
  </si>
  <si>
    <t>k_VrefMax_Volt_f32</t>
  </si>
  <si>
    <t>k_VrefMax</t>
  </si>
  <si>
    <t>IoHwAbstractionUsr</t>
  </si>
  <si>
    <t>k_VrefMin_Volt_f32</t>
  </si>
  <si>
    <t>k_VrefMin</t>
  </si>
  <si>
    <t>k_VrefDiag_Cnt_str</t>
  </si>
  <si>
    <t>k_VrefDiag_Cnt_str.Threshold</t>
  </si>
  <si>
    <t>k_VRefOORThreshold</t>
  </si>
  <si>
    <t>k_VrefDiag_Cnt_str.Pstep</t>
  </si>
  <si>
    <t>k_VRefOORPstep</t>
  </si>
  <si>
    <t>k_VrefDiag_Cnt_str.Nstep</t>
  </si>
  <si>
    <t>k_VRefOORNstep</t>
  </si>
  <si>
    <t>k_TempSensorScale_Uls_f32</t>
  </si>
  <si>
    <t>TempSensor Scaling</t>
  </si>
  <si>
    <t>k_TempSensorOffset_Volt_f32</t>
  </si>
  <si>
    <t>TempSensor Offset</t>
  </si>
  <si>
    <t>k_VbattScale_Uls_f32</t>
  </si>
  <si>
    <t>Vbatt Scaling</t>
  </si>
  <si>
    <t>k_VswitchScale_Uls_f32</t>
  </si>
  <si>
    <t>Vswitch Scaling</t>
  </si>
  <si>
    <t>k_VrefScale_Uls_f32</t>
  </si>
  <si>
    <t>Vref Scaling</t>
  </si>
  <si>
    <t>Nhet1_NTCParamT1_Cnt_M_u08</t>
  </si>
  <si>
    <t>Nhet1_NTCParamT2_Cnt_M_u08</t>
  </si>
  <si>
    <t>Nhet1_FltAccT1_Cnt_M_u16</t>
  </si>
  <si>
    <t>Nhet1_FltAccT2_Cnt_M_u16</t>
  </si>
  <si>
    <t>Nhet1_HwTrqT1_HwNm_M_f32</t>
  </si>
  <si>
    <t>Nhet1_HwTrqT2_HwNm_M_f32</t>
  </si>
  <si>
    <t>Nhet_HtuDataTrq_Cnt_G_str</t>
  </si>
  <si>
    <t>HtuDataTrq_Str</t>
  </si>
  <si>
    <t>Nhet1_TotalMsg_Cnt_M_u32</t>
  </si>
  <si>
    <t>Nhet1_T1MissMsg_Cnt_M_u32</t>
  </si>
  <si>
    <t>Nhet1_T2MissMsg_Cnt_M_u32</t>
  </si>
  <si>
    <t>Nhet1_PrevPulseCountT1_Cnt_M_u32</t>
  </si>
  <si>
    <t>Nhet1_PrevPulseCountT2_Cnt_M_u32</t>
  </si>
  <si>
    <t>Nhet1_T1CalcCRC_Cnt_D_u08</t>
  </si>
  <si>
    <t>Nhet1_T2CalcCRC_Cnt_D_u08</t>
  </si>
  <si>
    <t>Updates for DMA integration</t>
  </si>
  <si>
    <t>k_VerifyPwrDiscCloseDiag_Cnt_str</t>
  </si>
  <si>
    <t>{200,4,2}</t>
  </si>
  <si>
    <t>VerifyPwrDiscCloseErrAcc_Cnt_M_u16</t>
  </si>
  <si>
    <t>Error Accumulator for PN Steping for Diagnostics in the Verify Power Disconnect Close state.</t>
  </si>
  <si>
    <t xml:space="preserve">Motor_Vel_MRF </t>
  </si>
  <si>
    <t>MtrCurrAplha_eRad</t>
  </si>
  <si>
    <t>CmMtrCurr_CorrMtrCurr1_Amp_D_f32</t>
  </si>
  <si>
    <t>CmMtrCurr_CorrMtrCurr2_Amp_D_f32</t>
  </si>
  <si>
    <t>CmMtrCurr_CurrVectPosition_Rev_D_f32</t>
  </si>
  <si>
    <t>CurrVect_Position_eRad</t>
  </si>
  <si>
    <t>CmMtrCurr_VectPosCosTheta_Uls_D_f32</t>
  </si>
  <si>
    <t>Cos_CVP</t>
  </si>
  <si>
    <t>CmMtrCurr_VectPosSinTheta_Uls_D_f32</t>
  </si>
  <si>
    <t>Sin_CVP</t>
  </si>
  <si>
    <t>CmMtrCurr_CurrCorrDiag_Amp_D_f32</t>
  </si>
  <si>
    <t>CurrCorr_Diag</t>
  </si>
  <si>
    <t>CmMtrCurr_FiltCurrCorrDiag_Amp_D_f32</t>
  </si>
  <si>
    <t>FiltCurrCorr_Diag</t>
  </si>
  <si>
    <t>ComOffset_Cnt_u16</t>
  </si>
  <si>
    <t>ComOffsetReq_Cnts</t>
  </si>
  <si>
    <t>CmMtrCurr_CurrentGainSvc_Cnt_M_lgc</t>
  </si>
  <si>
    <t>CmMtrCurr_CurrCorrDiagKSV_M_str</t>
  </si>
  <si>
    <t>VhSpdValid_Cnt_lgc</t>
  </si>
  <si>
    <t>MtrCurr1TempOffset_Volt_f32</t>
  </si>
  <si>
    <t>MtrCurr1_TempOffset_Volts</t>
  </si>
  <si>
    <t>MtrCurr2TempOffset_Volt_f32</t>
  </si>
  <si>
    <t>Phs1Curr_Cnt_u16</t>
  </si>
  <si>
    <t>u16</t>
  </si>
  <si>
    <t>Phs2Curr_Cnt_u16</t>
  </si>
  <si>
    <t>MtrElecPol_Cnt_s08</t>
  </si>
  <si>
    <t xml:space="preserve">k_System_Polarity.MtrElecMech_Polarity </t>
  </si>
  <si>
    <t>DCPhsBComp_Cnt_u16</t>
  </si>
  <si>
    <t>PWM_Duty_Cycle_1</t>
  </si>
  <si>
    <t>DCPhsCComp_Cnt_u16</t>
  </si>
  <si>
    <t>PWM_Duty_Cycle_2</t>
  </si>
  <si>
    <t>DCPhsAComp_Cnt_u16</t>
  </si>
  <si>
    <t xml:space="preserve">Pos_Delay_Comp </t>
  </si>
  <si>
    <t>CorrMtrCurrPosition_Rev_f32</t>
  </si>
  <si>
    <t>Buffer write output</t>
  </si>
  <si>
    <t>MtrCurrK1_Amps_f32</t>
  </si>
  <si>
    <t>MtrCurrK2_Amps_f32</t>
  </si>
  <si>
    <t>MtrCurr1_Volts_f32</t>
  </si>
  <si>
    <t>Phy_MtrCurr1_Volts</t>
  </si>
  <si>
    <t>MtrCurr2_Volts_f32</t>
  </si>
  <si>
    <t>Phy_MtrCurr2_Volts</t>
  </si>
  <si>
    <t>CmMtrCurr_MtrCurr1LpFltrSV_Volt_M_u3p29</t>
  </si>
  <si>
    <t>CmMtrCurr_MtrCurr2LpFltrSV_Volt_M_u3p29</t>
  </si>
  <si>
    <t>CmMtrCurr_FiltMtrCurr1_Volt_M_f32</t>
  </si>
  <si>
    <t>Filtered_MtrCurr1_Volts</t>
  </si>
  <si>
    <t>CmMtrCurr_FiltMtrCurr2_Volt_M_f32</t>
  </si>
  <si>
    <t>Filtered_MtrCurr2_Volts</t>
  </si>
  <si>
    <t>CmMtrCurr_MtrCurr1SumHi_Volt_M_f32</t>
  </si>
  <si>
    <t>CmMtrCurr_MtrCurr2SumHi_Volt_M_f32</t>
  </si>
  <si>
    <t>CmMtrCurr_MtrCurr1SumLo_Volt_M_f32</t>
  </si>
  <si>
    <t>CmMtrCurr_MtrCurr2SumLo_Volt_M_f32</t>
  </si>
  <si>
    <t>CmMtrCurr_MtrCurr1SumZero_Volt_M_f32</t>
  </si>
  <si>
    <t>CmMtrCurr_MtrCurr2SumZero_Volt_M_f32</t>
  </si>
  <si>
    <t>CmMtrCurr_VecuSum_Volt_M_f32</t>
  </si>
  <si>
    <t>CmMtrCurr_MtrCurr1OffsetHi_Volt_M_f32</t>
  </si>
  <si>
    <t xml:space="preserve">tmp_MtrCurr1_EOL_OffsetHi_Volts </t>
  </si>
  <si>
    <t>CmMtrCurr_MtrCurr2OffsetHi_Volt_M_f32</t>
  </si>
  <si>
    <t xml:space="preserve">tmp_MtrCurr2_EOL_OffsetHi_Volts </t>
  </si>
  <si>
    <t>CmMtrCurr_MtrCurr1OffsetLo_Volt_M_f32</t>
  </si>
  <si>
    <t>CmMtrCurr_MtrCurr2OffsetLo_Volt_M_f32</t>
  </si>
  <si>
    <t>CmMtrCurr_MtrCurr1OffsetZero_Volt_M_f32</t>
  </si>
  <si>
    <t xml:space="preserve">MtrCurr1_EOL_ZeroOffsetLo_Volts </t>
  </si>
  <si>
    <t>CmMtrCurr_MtrCurr2OffsetZero_Volt_M_f32</t>
  </si>
  <si>
    <t>CmMtrCurr_MtrCurrValCmd_VoltCnt_M_f32</t>
  </si>
  <si>
    <t>VoltCnt</t>
  </si>
  <si>
    <t>CmMtrCurr_MtrCurr1OffDelta_VoltpVoltCnt_M_f32</t>
  </si>
  <si>
    <t>VoltpVoltCnt</t>
  </si>
  <si>
    <t>CmMtrCurr_MtrCurr2OffDelta_VoltpVoltCnt_M_f32</t>
  </si>
  <si>
    <t>CmMtrCurr_CurrOffAvgCounter_Cnt_M_u16</t>
  </si>
  <si>
    <t>CmMtrCurr_CurrOffState_Uls_M_enum</t>
  </si>
  <si>
    <t>CurrOffState_T</t>
  </si>
  <si>
    <t>CmMtrCurr_CurroffProcessFlag_M_enum</t>
  </si>
  <si>
    <t>MtrCurrOffProcessFlag</t>
  </si>
  <si>
    <t>CmMtrCurr_CurrOffTrimFlag_Cnt_M_lgc</t>
  </si>
  <si>
    <t>CmMtrCurr_MtrCurr1Offset_Volt_D_f32</t>
  </si>
  <si>
    <t>MtrCurr1_Offset_Volts</t>
  </si>
  <si>
    <t>full</t>
  </si>
  <si>
    <t>CmMtrCurr_MtrCurr2Offset_Volt_D_f32</t>
  </si>
  <si>
    <t>MtrCurr2_Offset_Volts</t>
  </si>
  <si>
    <t>Rte_Pim_ShCurrCal.EOLMtrCurrVcalCmd_VoltCnts_f32</t>
  </si>
  <si>
    <t>k_MtrCurr_EOL_VcalCmd_VoltCnts</t>
  </si>
  <si>
    <t>VoltCnts</t>
  </si>
  <si>
    <t>Rte_Pim_ShCurrCal.EOLMtrCurr1OffsetLo_Volts_f32</t>
  </si>
  <si>
    <t>k_MtrCurr1_EOL_OffsetLo_Volts</t>
  </si>
  <si>
    <t>Rte_Pim_ShCurrCal.EOLMtrCurr2OffsetLo_Volts_f32</t>
  </si>
  <si>
    <t>k_MtrCurr2_EOL_OffsetLo_Volts</t>
  </si>
  <si>
    <t>Rte_Pim_ShCurrCal.EOLMtrCurr1OffsetDiff_Volts_f32</t>
  </si>
  <si>
    <t>k_MtrCurr1_EOL_OffsetDiff_Volts</t>
  </si>
  <si>
    <t>Rte_Pim_ShCurrCal.EOLMtrCurr2OffsetDiff_Volts_f32</t>
  </si>
  <si>
    <t>k_MtrCurr2_EOL_OffsetDiff_Volts</t>
  </si>
  <si>
    <t>Rte_Pim_ShCurrCal.EOLPhscurr1Gain_AmpspVolt_f32</t>
  </si>
  <si>
    <t>k_MtrCurr1_EOL_Gain_AmpspVolt</t>
  </si>
  <si>
    <t>Rte_Pim_ShCurrCal.EOLPhscurr2Gain_AmpspVolt_f32</t>
  </si>
  <si>
    <t>k_MtrCurr2_EOL_Gain_AmpspVolt</t>
  </si>
  <si>
    <t>Rte_Pim_CurrTempOffset.CurrTempOffsetX_DegC_s10p5</t>
  </si>
  <si>
    <t>t_CurrOffsetX_C</t>
  </si>
  <si>
    <t>Rte_Pim_CurrTempOffset.CurrOffsetY2_Volts_s4p11</t>
  </si>
  <si>
    <t>t_CurrOffsetY1_Volts</t>
  </si>
  <si>
    <t>Rte_Pim_CurrTempOffset.CurrOffsetY1_Volts_s4p11</t>
  </si>
  <si>
    <t>t_CurrOffsetY2_Volts</t>
  </si>
  <si>
    <t>DMAData_G_str</t>
  </si>
  <si>
    <t>Dma</t>
  </si>
  <si>
    <t>FDD52 Dma</t>
  </si>
  <si>
    <t>DMA RAM Buffer</t>
  </si>
  <si>
    <t>DMADataType_Str</t>
  </si>
  <si>
    <t>DMAData_G_str.FastSPI_Cnt_u16[]</t>
  </si>
  <si>
    <t>Ch2 RAM Buffer</t>
  </si>
  <si>
    <t>DMAData_G_str.SlowSPI_Cnt_u16[]</t>
  </si>
  <si>
    <t>Ch12 RAM Buffer</t>
  </si>
  <si>
    <t>DMAData_G_str.SlowADC_Cnt_u16[]</t>
  </si>
  <si>
    <t>Ch9 RAM Buffer</t>
  </si>
  <si>
    <t>DMAData_G_str.FastADC_Cnt_u16[]</t>
  </si>
  <si>
    <t>Ch3 RAM Buffer</t>
  </si>
  <si>
    <t>DMAData_G_str.PWMCmp_Cnt_u16[4][2]</t>
  </si>
  <si>
    <t>Ch6 RAM Buffer</t>
  </si>
  <si>
    <t>{{0, 0}, {0, 0}, {0, 0}, {0, 0}}</t>
  </si>
  <si>
    <t>DMAData_G_str.PWMPeriod_Cnt_u32</t>
  </si>
  <si>
    <t>Ch5 RAM Buffer</t>
  </si>
  <si>
    <t>ThrmDutyCycle_ReInitCntrVal_Sec_M_f32</t>
  </si>
  <si>
    <t>Misc component updates</t>
  </si>
  <si>
    <t>DigHwTrqSENT_T1_HwNm_M_f32</t>
  </si>
  <si>
    <t>DigHwTrqSENT_T2_HwNm_M_f32</t>
  </si>
  <si>
    <t>DigHwTrqSENT_HwTrq_HwNm_M_f32</t>
  </si>
  <si>
    <t>DigHwTrqSENT_TDiagFiltOut_HwNm_M_f32</t>
  </si>
  <si>
    <t>DigHwTrqSENT_SSDiagFiltOut_HwNm_M_f32</t>
  </si>
  <si>
    <t>DigHwTrqSENT_CMCFiltOut_HwNm_M_f32</t>
  </si>
  <si>
    <t>DigHwTrqSENT_TrqSum_HwNm_M_f32</t>
  </si>
  <si>
    <t>DigHwTrqSENT_DigHwTrqKSV_M_str</t>
  </si>
  <si>
    <t>DigHwTrqSENT_DigHwTrqKSV_M_str.SV_Uls_f32</t>
  </si>
  <si>
    <t>DigHwTrqSENT_DigHwTrqKSV_M_str.K_Uls_f32</t>
  </si>
  <si>
    <t>DigHwTrqSENT_TDiagFiltKSV_M_str</t>
  </si>
  <si>
    <t>DigHwTrqSENT_TDiagFiltKSV_M_str.SV_Uls_f32</t>
  </si>
  <si>
    <t>DigHwTrqSENT_TDiagFiltKSV_M_str.K_Uls_f32</t>
  </si>
  <si>
    <t>DigHwTrqSENT_SSFiltKSV_M_str</t>
  </si>
  <si>
    <t>DigHwTrqSENT_SSFiltKSV_M_str.SV_Uls_f32</t>
  </si>
  <si>
    <t>DigHwTrqSENT_SSFiltKSV_M_str.K_Uls_f32</t>
  </si>
  <si>
    <t>DigHwTrqSENT_CMCFiltKSV_M_str</t>
  </si>
  <si>
    <t>DigHwTrqSENT_CMCFiltKSV_M_str.SV_Uls_f32</t>
  </si>
  <si>
    <t>DigHwTrqSENT_CMCFiltKSV_M_str.K_Uls_f32</t>
  </si>
  <si>
    <t>DigHwTrqSENT_NvMBlkStatus_Cnt_M_u8</t>
  </si>
  <si>
    <t>DigHwTrqSENT_CMCFiltSV_HwNm_M_f32</t>
  </si>
  <si>
    <t>DigHwTrqSENT_SumFiltOut_HwNm_D_f32</t>
  </si>
  <si>
    <t>DigHwTrqSENT_CorrDiagFiltOut_HwNm_D_f32</t>
  </si>
  <si>
    <t>DigHwTrqSENT_DigHwTrq_HwNm_D_f32</t>
  </si>
  <si>
    <t>DigHwTrqSENT_HwTrqTrim_HwNm_D_f32</t>
  </si>
  <si>
    <t>DigHwTrqSENT_TmpDigHwTrq_HwNm_D_f32</t>
  </si>
  <si>
    <t>phyOvrVoltFdbk_OP_GET</t>
  </si>
  <si>
    <t xml:space="preserve"> Rte_Mode_SystemState_Mode</t>
  </si>
  <si>
    <t>Rte_ModeType_StaMd_Mode</t>
  </si>
  <si>
    <t>OvrVoltMon_OverVoltAcc_Cnt_M_u16</t>
  </si>
  <si>
    <t>PwrDnFastWriteComplete_Cnt_lgc</t>
  </si>
  <si>
    <t>PwrDnFastWriteComplete</t>
  </si>
  <si>
    <t xml:space="preserve">Indicates that the transition to OFF and NVM fast write requested via  and the scom function, StaMd_SCom_FBLTransitionReq has completed. </t>
  </si>
  <si>
    <t>Integrated latest DigMSB</t>
  </si>
  <si>
    <t>k_Die1RPMMode_Cnt_u08</t>
  </si>
  <si>
    <t>DigMSBA1331_k_Die1RPMMode_Cnt_u8</t>
  </si>
  <si>
    <t>k_Die2RPMMode_Cnt_u08</t>
  </si>
  <si>
    <t>DigMSBA1331_k_Die2RPMMode_Cnt_u8</t>
  </si>
  <si>
    <t>k_DigMSBParity_Cnt_str</t>
  </si>
  <si>
    <t>{256,4,1}</t>
  </si>
  <si>
    <t>k_DigMSBParity_Cnt_str.Threshold</t>
  </si>
  <si>
    <t>k_DigMSBParity_Cnt_str.Pstep</t>
  </si>
  <si>
    <t>k_DigMSBParity_Cnt_str.Nstep</t>
  </si>
  <si>
    <t>k_DigMSBTCRunTimeParity_Cnt_str</t>
  </si>
  <si>
    <t>k_DigMSBTCRunTimeParity_Cnt_str.Threshold</t>
  </si>
  <si>
    <t>k_DigMSBTCRunTimeParity_Cnt_str.Pstep</t>
  </si>
  <si>
    <t>k_DigMSBTCRunTimeParity_Cnt_str.Nstep</t>
  </si>
  <si>
    <t>k_ErrorRegTCAcc_Cnt_str</t>
  </si>
  <si>
    <t>k_ErrorRegTCAcc_Cnt_str.Threshold</t>
  </si>
  <si>
    <t>k_ErrorRegTCAcc_Cnt_str.Pstep</t>
  </si>
  <si>
    <t>k_ErrorRegTCAcc_Cnt_str.Nstep</t>
  </si>
  <si>
    <t>k_MtrPos1vsMtrPos2Diag_Cnt_str</t>
  </si>
  <si>
    <t>k_MtrPos1vsMtrPos2Diag_Cnt_str.Threshold</t>
  </si>
  <si>
    <t>k_MtrPos1vsMtrPos2Diag_Cnt_str.Pstep</t>
  </si>
  <si>
    <t>k_MtrPos1vsMtrPos2Diag_Cnt_str.Nstep</t>
  </si>
  <si>
    <t>k_Die1vsDie2TrnsCntrThresh_Deg_f32</t>
  </si>
  <si>
    <t>DigMSBA1331_k_Die1vsDie2TrnsCntrThresh_DegM_p13</t>
  </si>
  <si>
    <t>k_Die2Offset_Rev_u3p13</t>
  </si>
  <si>
    <t>DigMSBA1331_k_Die2Offset_RevM_p13</t>
  </si>
  <si>
    <t>k_MtrPos1vsMtrPos2Thresh_Rev_u3p13</t>
  </si>
  <si>
    <t>DigMSBA1331_k_MtrPos1vsMtrPos2Thresh_RevE_p13</t>
  </si>
  <si>
    <t>k_DigMSBErrorRegGenMask_Cnt_u08</t>
  </si>
  <si>
    <t>DigMSBA1331_k_ErrorRegGenMask_Cnt_u8</t>
  </si>
  <si>
    <t>k_ErrorRegTCMask_Cnt_u08</t>
  </si>
  <si>
    <t>DigMSBA1331_k_ErrorRegTCMask_Cnt_u8</t>
  </si>
  <si>
    <t>k_ErrorRegVehMask_Cnt_u08</t>
  </si>
  <si>
    <t>DigMSBA1331_k_ErrorRegVehMask_Cnt_u8</t>
  </si>
  <si>
    <t>k_TurnsCntrOffset_Rev_f32</t>
  </si>
  <si>
    <t>DigMSBA1331_k_TurnsCntrOffset_RevM_p13</t>
  </si>
  <si>
    <t>Die2RxError_Cnt_u16</t>
  </si>
  <si>
    <t>Die2RxRevCtr_Cnt_u16</t>
  </si>
  <si>
    <t>Die2RxMtrPos_Cnt_u16</t>
  </si>
  <si>
    <t>DigMSB_ResetTC_Cnt_M_lgc</t>
  </si>
  <si>
    <t>DigMSB_ResetIC_Cnt_M_lgc</t>
  </si>
  <si>
    <t>DigMSB_EnableAsyncConfigGrp_Cnt_M_lgc</t>
  </si>
  <si>
    <t>Die1RxError_Cnt_u16</t>
  </si>
  <si>
    <t>Die1RxRevCtr_Cnt_u16</t>
  </si>
  <si>
    <t>Die1RxMtrPos_Cnt_u16</t>
  </si>
  <si>
    <t>DigMSB_Die1ErrorOkAccPassed_Cnt_M_lgc</t>
  </si>
  <si>
    <t>DigMSB_Die2ErrorOkAccPassed_Cnt_M_lgc</t>
  </si>
  <si>
    <t>DigMSB_Die2Errorflag_Cnt_M_u08</t>
  </si>
  <si>
    <t>DigMSB_Die1Errorflag_Cnt_M_u08</t>
  </si>
  <si>
    <t>DigMSB_CumMechMtrPosStatus_Cnt_M_u08</t>
  </si>
  <si>
    <t>DigMSB_AlignedCumMechMtrPosStatus_Cnt_M_u08</t>
  </si>
  <si>
    <t>LrnEOT_CcwEOTTimer_mS_M_u32</t>
  </si>
  <si>
    <t>LrnEOT_CwEOTTimer_mS_M_u32</t>
  </si>
  <si>
    <t>LrnEOT_Position1Timer_mS_M_u32</t>
  </si>
  <si>
    <t>LrnEOT_Position2Timer_mS_M_u32</t>
  </si>
  <si>
    <t>LrnEOT_ResetLimitReq_Cnt_M_lgc</t>
  </si>
  <si>
    <t>DigMSB_PWMGrpData_Cnt_M_u16[3]</t>
  </si>
  <si>
    <t>{0,0.0}</t>
  </si>
  <si>
    <t>DigMSB_AsyncConfigGrpDie1_Cnt_M_u16[3]</t>
  </si>
  <si>
    <t>{0.0.0}</t>
  </si>
  <si>
    <t>DigMSB_AsyncConfigGrpDie2_Cnt_M_u16[3]</t>
  </si>
  <si>
    <t>DigMSB_MechMtrPos1UnCorrec_Rev_M_u0p16</t>
  </si>
  <si>
    <t>DigMSB_RxMtrPos1ParityAccum_Cnt_M_u16</t>
  </si>
  <si>
    <t>DigMSB_Die1R0ParityFault_Cnt_M_u16</t>
  </si>
  <si>
    <t>DigMSB_Die1R1ParityFault_Cnt_M_u16</t>
  </si>
  <si>
    <t>DigMSB_Die2R2ParityFault_Cnt_M_u16</t>
  </si>
  <si>
    <t>DigMSB_Die1ErrorOkAcc_Cnt_M_u16</t>
  </si>
  <si>
    <t>DigMSB_Die2ErrorOkAcc_Cnt_M_u16</t>
  </si>
  <si>
    <t>DigMSB_MechMtrPos2UnCorrec_Rev_M_u0p16</t>
  </si>
  <si>
    <t>DigMSB_Die1vsDie2TrnsCntrAcc_Cnt_M_u16</t>
  </si>
  <si>
    <t>DigMSB_ErrorRegTCAcc_Cnt_M_u16</t>
  </si>
  <si>
    <t>DigMSB_ErrorRegVehMaskAcc_Cnt_M_u16</t>
  </si>
  <si>
    <t>DigMSB_MtrPosErrAcc_Cnt_M_u16</t>
  </si>
  <si>
    <t>DigMSB_Die2RevCntr_Cnt_M_s16</t>
  </si>
  <si>
    <t>DigMSB_Die1RevCntr_Cnt_M_s16</t>
  </si>
  <si>
    <t>DigMSB_Die1R2ParityFault_Cnt_M_u16</t>
  </si>
  <si>
    <t>DigMSB_Die2R1ParityFault_Cnt_M_u16</t>
  </si>
  <si>
    <t>DigMSB_Die2R0ParityFault_Cnt_M_u16</t>
  </si>
  <si>
    <t>DigMSB_AlignedCumMechMtrPos2CRF_Deg_D_f32</t>
  </si>
  <si>
    <t>Single preision float</t>
  </si>
  <si>
    <t>DigMSB_AlignedCumMechMtrPos2MRF_Deg_D_f32</t>
  </si>
  <si>
    <t>DigMSB_CumMtrPos1MRF_Rev_M_s15p16</t>
  </si>
  <si>
    <t>DigMSB_AlignedCumMechMtrPos1_Rev_M_s15p16</t>
  </si>
  <si>
    <t>DigMSB_AlignedCumMechMtrPos2_Rev_M_s15p16</t>
  </si>
  <si>
    <t>DigMSB_PrevAlignedCumMechMtrPos2_Rev_M_s15p16</t>
  </si>
  <si>
    <t>DigMSB_PrevAlignedCumMechMtrPos1_Rev_M_s15p16</t>
  </si>
  <si>
    <t>DigMSB_AlignedCumMtrPos2Init_Cnt_M_lgc</t>
  </si>
  <si>
    <t>DigMSB_AlignedCumMtrPos1Init_Cnt_M_lgc</t>
  </si>
  <si>
    <t>DigMSB_Die1ErrorOk_Cnt_M_enum</t>
  </si>
  <si>
    <t>NTCStateType_Enum</t>
  </si>
  <si>
    <t>DigMSB_Die2ErrorOk_Cnt_M_enum</t>
  </si>
  <si>
    <t>DigMSB_Die1vsDie2TrnsCntrAcc_Cnt_M_enum</t>
  </si>
  <si>
    <t>DigMSB_MtrPosErrAcc_Cnt_M_enum</t>
  </si>
  <si>
    <t>DigMSB_ErrorRegTC_Cnt_M_enum</t>
  </si>
  <si>
    <t>DigMSB_ErrorRegVehMask_Cnt_M_enum</t>
  </si>
  <si>
    <t>UncorrMechMtrPos1_Rev_u0p16</t>
  </si>
  <si>
    <t xml:space="preserve">CumMechMtrPos_Rev_f32 </t>
  </si>
  <si>
    <t>RxMtrPosParityAccum_Cnt_u16</t>
  </si>
  <si>
    <t>AssistAssemblyPolarity_Cnt_s08</t>
  </si>
  <si>
    <t>CorrectedElecMtrPos_Rev_u0p16</t>
  </si>
  <si>
    <t>AlignedCumMechMtrPosMRF_Deg_f32</t>
  </si>
  <si>
    <t>SysCCumMechMtrPosMRF_Deg_f32</t>
  </si>
  <si>
    <t>AlignedCumMechMtrPosStatus_Cnt_u08</t>
  </si>
  <si>
    <t>CumMechMtrPosStatus_Cnt_u08</t>
  </si>
  <si>
    <t>EnergyModeState_Cnt_enum</t>
  </si>
  <si>
    <t>EnergyModeStateType</t>
  </si>
  <si>
    <t>SysCMechMtrPos1_Rev_u0p16</t>
  </si>
  <si>
    <t>SysCorrectedElecMtrPos_Rev_u0p16</t>
  </si>
  <si>
    <t>MechMtrPos1TimeStamp_uSec_u32</t>
  </si>
  <si>
    <t>MechMtrPos2TimeStamp_uSec_u32</t>
  </si>
  <si>
    <t>CumMechMtrPos_Rev_s15p16</t>
  </si>
  <si>
    <t xml:space="preserve">RxMtrPos1ParityAccum_Cnt_u16 </t>
  </si>
  <si>
    <t>DigMSB_CorrectedElecMtrPos2_Rev_D_u0p16</t>
  </si>
  <si>
    <t>Updated ranges for LrnEOT cals</t>
  </si>
  <si>
    <t>DigMSB_PrevMechMtrPos1_Rev_M_u0p16</t>
  </si>
  <si>
    <t>Updates for latest DigMSB</t>
  </si>
  <si>
    <t>{{120,0},{120,0},{120,0},{120,0}}</t>
  </si>
  <si>
    <t>Updaed cal range</t>
  </si>
  <si>
    <t>CF08C ChryslerHalFwithTorqueOverlayFunction</t>
  </si>
  <si>
    <t>CF08B ChryslerStabilityControlTorqueOverlayFunction</t>
  </si>
  <si>
    <t>CF08A ChryslerPark AssistwithTorqueOverlayFunction</t>
  </si>
  <si>
    <t>CF12 StartStop</t>
  </si>
  <si>
    <t>SF08C ElectricPowerConsumption_Brush</t>
  </si>
  <si>
    <t>SF42 VehCentrDtmnByMotPosn</t>
  </si>
  <si>
    <t>SF46 GrossCrossCheckDiag</t>
  </si>
  <si>
    <t>Updates for several minor component updates</t>
  </si>
  <si>
    <t>AvgFricLrn_FiltAvgFric_HwNm_M_f32[4]</t>
  </si>
  <si>
    <t>AvgFricLrn_SatAvgFric_HwNm_M_f32[4]</t>
  </si>
  <si>
    <t>AvgFricLrn_VehBaselineFric_HwNm_M_f32[4]</t>
  </si>
  <si>
    <t>AvgFricLrn_HwAngBuf_HwDeg_M_f32[12]</t>
  </si>
  <si>
    <t>AvgFricLrn_HwVelBuf_HwDegpS_M_f32[12]</t>
  </si>
  <si>
    <t>AvgFricLrn_ColTrqBuf_HwNm_M_f32[6]</t>
  </si>
  <si>
    <t>AvgFricLrn_LearnConstTimer_mS_M_u32</t>
  </si>
  <si>
    <t>AvgFricLrn_EstFric_HwNm_M_f32</t>
  </si>
  <si>
    <t>AvgFricLrn_SatEstFric_HwNm_M_f32</t>
  </si>
  <si>
    <t>AvgFricLrn_HwVelKSV_M_str</t>
  </si>
  <si>
    <t>AvgFricLrn_HwVelKSV_M_str.SV_Uls_f32</t>
  </si>
  <si>
    <t>AvgFricLrn_HwVelKSV_M_str.K_Uls_f32</t>
  </si>
  <si>
    <t>AvgFricLrn_LatAccKSV_M_str</t>
  </si>
  <si>
    <t>AvgFricLrn_LatAccKSV_M_str.SV_Uls_f32</t>
  </si>
  <si>
    <t>AvgFricLrn_LatAccKSV_M_str.K_Uls_f32</t>
  </si>
  <si>
    <t>AvgFricLrn_HwPosAuthorityKSV_M_str</t>
  </si>
  <si>
    <t>AvgFricLrn_HwPosAuthorityKSV_M_str.SV_Uls_f32</t>
  </si>
  <si>
    <t>AvgFricLrn_HwPosAuthorityKSV_M_str.K_Uls_f32</t>
  </si>
  <si>
    <t>AvgFricLrn_VehSpdKSV_M_str</t>
  </si>
  <si>
    <t>AvgFricLrn_VehSpdKSV_M_str.SV_Uls_f32</t>
  </si>
  <si>
    <t>AvgFricLrn_VehSpdKSV_M_str.K_Uls_f32</t>
  </si>
  <si>
    <t>AvgFricLrn_TemperatureKSV_M_str</t>
  </si>
  <si>
    <t>AvgFricLrn_TemperatureKSV_M_str.SV_Uls_f32</t>
  </si>
  <si>
    <t>AvgFricLrn_TemperatureKSV_M_str.K_Uls_f32</t>
  </si>
  <si>
    <t>AvgFricLrn_HwAngKSV_M_str</t>
  </si>
  <si>
    <t>AvgFricLrn_HwAngKSV_M_str.SV_Uls_f32</t>
  </si>
  <si>
    <t>AvgFricLrn_HwAngKSV_M_str.K_Uls_f32</t>
  </si>
  <si>
    <t>AvgFricLrn_ColTrqKSV_M_str</t>
  </si>
  <si>
    <t>AvgFricLrn_ColTrqKSV_M_str.SV_Uls_f32</t>
  </si>
  <si>
    <t>AvgFricLrn_ColTrqKSV_M_str.K_Uls_f32</t>
  </si>
  <si>
    <t>AvgFricLrn_FiltAvgKSV_M_str[4]</t>
  </si>
  <si>
    <t>AvgFricLrn_FiltAvgKSV_M_str[4].SV_Uls_f32</t>
  </si>
  <si>
    <t>AvgFricLrn_FiltAvgKSV_M_str[4].K_Uls_f32</t>
  </si>
  <si>
    <t>AvgFricLrn_AvgFricChgKSV_M_str</t>
  </si>
  <si>
    <t>AvgFricLrn_AvgFricChgKSV_M_str.SV_Uls_f32</t>
  </si>
  <si>
    <t>AvgFricLrn_AvgFricChgKSV_M_str.K_Uls_f32</t>
  </si>
  <si>
    <t>AvgFricLrn_PrevOpMode_Cnt_M_enum</t>
  </si>
  <si>
    <t>AvgFricLrn_RunOnce_Cnt_M_lgc</t>
  </si>
  <si>
    <t>AvgFricLrn_DefeatFricOffsetOutput_Cnt_M_lgc</t>
  </si>
  <si>
    <t>AvgFricLrn_RawAvgFric_HwNm_M_f32[4]</t>
  </si>
  <si>
    <t>AvgFricLrn_FrictionDiagThreshTimer_mS_M_u32</t>
  </si>
  <si>
    <t>DampFWPrev1PreAttnComp_MtrNm_M_s20p11</t>
  </si>
  <si>
    <t>DampFWPrev2PreAttnComp_MtrNm_M_s20p11</t>
  </si>
  <si>
    <t>ElePwr_ModInPower_Watt_D_f32</t>
  </si>
  <si>
    <t>ElePwr_DropInPower_Watt_D_f32</t>
  </si>
  <si>
    <t>HwPwUp_PowerUpState_Cnt_M_enum</t>
  </si>
  <si>
    <t>HwPwUp_PwrDiscATestStart_Cnt_M_lgc</t>
  </si>
  <si>
    <t>HwPwUp_TMFTestStart_Cnt_M_lgc</t>
  </si>
  <si>
    <t>HwPwUp_PwrDiscBTestStart_Cnt_M_lgc</t>
  </si>
  <si>
    <t>HwPwUp_MtrDrvrInitStart_Cnt_M_lgc</t>
  </si>
  <si>
    <t>HwPwUp_PhsDiscTestStart_Cnt_M_lgc</t>
  </si>
  <si>
    <t>CWEOTPosition_HwDeg_f32</t>
  </si>
  <si>
    <t>CCWEOTPosition_HwDeg_f32</t>
  </si>
  <si>
    <t>MtrCurrQaxRef_Amp_M_f32</t>
  </si>
  <si>
    <t>MtrCurrQaxRef_Amp</t>
  </si>
  <si>
    <t>MtrCurrDaxRef_Amp_M_f32</t>
  </si>
  <si>
    <t>MtrCurrDaxRef_Amp</t>
  </si>
  <si>
    <t>MtrDaxIntegralGain_Uls_M_f32</t>
  </si>
  <si>
    <t>MtrDaxIntegralGain_Uls</t>
  </si>
  <si>
    <t>MtrQaxIntegralGain_Uls_M_f32</t>
  </si>
  <si>
    <t>MtrQaxIntegralGain_Uls</t>
  </si>
  <si>
    <t>MtrDaxPropotionalGain_Uls_M_f32</t>
  </si>
  <si>
    <t>MtrDaxPropotionalGain_</t>
  </si>
  <si>
    <t>MtrQaxPropotionalGain_Uls_M_f32</t>
  </si>
  <si>
    <t>MtrQaxPropotionalGain_Uls</t>
  </si>
  <si>
    <t>MtrVoltDaxFF_Volt_M_f32</t>
  </si>
  <si>
    <t>MtrVoltDaxFF_Volt</t>
  </si>
  <si>
    <t>MtrVoltQaxFF_Volt_M_f32</t>
  </si>
  <si>
    <t>MtrVoltQaxFF_Volt</t>
  </si>
  <si>
    <t>MtrDaxVoltage_Volt_f32</t>
  </si>
  <si>
    <t>MtrDaxVoltage_Volt</t>
  </si>
  <si>
    <t>MtrQaxVoltage_Volt_f32</t>
  </si>
  <si>
    <t>MtrQaxVoltage_Volt</t>
  </si>
  <si>
    <t>SignlCondn_CurrSrlComVehSpd_Kph_M_f32</t>
  </si>
  <si>
    <t>SignlCondn_CurrSrlComVehLonAccel_KphpS_M_f32</t>
  </si>
  <si>
    <t>CDD_PWMPeriod_Cnt_G_u16</t>
  </si>
  <si>
    <t>Updates for components with RTE changes</t>
  </si>
  <si>
    <t>TSMitCommand_MtrNm_f32</t>
  </si>
  <si>
    <t>Torque Steer Mitigation Command</t>
  </si>
  <si>
    <t>InitiatePwrDnFastWrite_Cnt_lgc</t>
  </si>
  <si>
    <t>InitiatePwrDnFastWrite</t>
  </si>
  <si>
    <t>Indicates that the transition to OFF and NVM fast write has started based on a ECU Reset or Flash Bootloader Transition request.</t>
  </si>
  <si>
    <t>InitiatePwrDnNormalWrite_Cnt_lgc</t>
  </si>
  <si>
    <t>InitiatePwrDnNormalWrite</t>
  </si>
  <si>
    <t>Indicates a normal transition to OFF and NVM normal write has started.</t>
  </si>
  <si>
    <t>ForceToOff_Cnt_M_lgc</t>
  </si>
  <si>
    <t>ForceToOff</t>
  </si>
  <si>
    <t>Indicates that system state has been forced to OFF as a result of an ECU Reset or Flash Bootloader Transition request.</t>
  </si>
  <si>
    <t>GateDriveResetActive_Cnt_lgc</t>
  </si>
  <si>
    <t>Updates for latest Adc and CmMtrCurr</t>
  </si>
  <si>
    <t>k_MtrCurrOffLoComOff_Cnt_u16</t>
  </si>
  <si>
    <t>k_CurrOffNoofAvg_Cnt_u16</t>
  </si>
  <si>
    <t>k_CurrOffNoofAvg_Cnt</t>
  </si>
  <si>
    <t>ADC1OffsetComp_Cnt_u8p8</t>
  </si>
  <si>
    <t>ADC2OffsetComp_Cnt_u8p8</t>
  </si>
  <si>
    <t>Updates for latest AbsHwPos and VehDyn</t>
  </si>
  <si>
    <t>k_MinSensorlessAuthority_Uls_f32</t>
  </si>
  <si>
    <t>k_Min_SensorlessAuthority</t>
  </si>
  <si>
    <t>Minimum authority allowed to use  handwheel position  computed using Sensorless algorithms</t>
  </si>
  <si>
    <t>k_MaxSensorlessAuthority_Uls_f32</t>
  </si>
  <si>
    <t>K_Max_SensorlessAuthority</t>
  </si>
  <si>
    <t>Maximum authority allowed to use  handwheel position  computed using Sensorless algorithms</t>
  </si>
  <si>
    <t>k_SLPEnableBFCheck_Cnt_lgc</t>
  </si>
  <si>
    <t>VCDMotPos_k_SLP_EnableBFCheck_lgc</t>
  </si>
  <si>
    <t>enables stored last position check against the BF diagnostic</t>
  </si>
  <si>
    <t>k_SLPHwAuthority_Uls_f32</t>
  </si>
  <si>
    <t>VCDMotPos_k_SLP_HwAuthority_Uls</t>
  </si>
  <si>
    <t>Authority provided when stored last position is known</t>
  </si>
  <si>
    <t>k_TravelXCDeadband_Uls_f32</t>
  </si>
  <si>
    <t>VCDMotPos_k_TravelXC_Deadband_HwDeg</t>
  </si>
  <si>
    <t>Deadband within which travel exclusion is considered solved</t>
  </si>
  <si>
    <t>k_TravelXCHwAuthority_Uls_f32</t>
  </si>
  <si>
    <t>VCDMotPos_k_TravelXC_HwAuthority_Uls</t>
  </si>
  <si>
    <t>Authority provided when travel exclusion learns</t>
  </si>
  <si>
    <t>k_SLPMinHwAuthToStoreHwPos_Uls_f32</t>
  </si>
  <si>
    <t>VCDMotPos_k_SLP_MinHwAuthToStoreHwPos_Uls</t>
  </si>
  <si>
    <t>Min hw authority with which the handwheel position will be stored on shutdown</t>
  </si>
  <si>
    <t>SensorlessHwPos_HwDeg_f32</t>
  </si>
  <si>
    <t>Sensorless_HwPos</t>
  </si>
  <si>
    <t>SensorlessAuthority_Uls_f32</t>
  </si>
  <si>
    <t>Sensorless_Authority</t>
  </si>
  <si>
    <t>AbsHwPos_MtrtoHwAOfst_HwDeg_M_f32</t>
  </si>
  <si>
    <t>MtrtoHwAOfst</t>
  </si>
  <si>
    <t>AbsHwPos_MtrToHwAOfstLearnt_Cnt_M_lgc</t>
  </si>
  <si>
    <t>MtrToHwAOfst_Learnt</t>
  </si>
  <si>
    <t>SysCHwTorque_HwNm_f32</t>
  </si>
  <si>
    <t>SysC_HwTorque</t>
  </si>
  <si>
    <t>Systematic C Handwheel Torque</t>
  </si>
  <si>
    <t>HwAuth_Uls_f32</t>
  </si>
  <si>
    <t>HwAuth</t>
  </si>
  <si>
    <t>HandwheelPosition</t>
  </si>
  <si>
    <t>VehDyn_SLPHwPos_HwDeg_M_f32</t>
  </si>
  <si>
    <t>VehDyn_SLPHwAuth_Uls_M_f32</t>
  </si>
  <si>
    <t>VehDyn_MinOffset_HwDeg_M_f32</t>
  </si>
  <si>
    <t>VehDyn_MinAbsHwPos_HwDeg_D_f32</t>
  </si>
  <si>
    <t>VehDyn_MaxOffset_HwDeg_M_f32</t>
  </si>
  <si>
    <t>HeDeg</t>
  </si>
  <si>
    <t>VehDyn_MaxAbsHwPos_HwDeg_D_f32</t>
  </si>
  <si>
    <t>VehDyn_Initialize_Cnt_M_lgc</t>
  </si>
  <si>
    <t>k_NVMStoredLastPos_HwDeg_f32</t>
  </si>
  <si>
    <t>k_NVMStoredLastPosValid_Cnt_lgc</t>
  </si>
  <si>
    <t>VehDyn_RelSLPHwPos_HwDeg_D_f32</t>
  </si>
  <si>
    <t>FDD10B StatesandModes</t>
  </si>
  <si>
    <t>SF33A SignalConditioning</t>
  </si>
  <si>
    <t xml:space="preserve">SF34B AssistSummation </t>
  </si>
  <si>
    <t xml:space="preserve">SF35B DampingSummation </t>
  </si>
  <si>
    <t>Added cal for slow ADC test</t>
  </si>
  <si>
    <t>k_SlowADCDiag_Cnt_str</t>
  </si>
  <si>
    <t>{10, 1, 1}</t>
  </si>
  <si>
    <t>k_SATimer_mS_u16</t>
  </si>
  <si>
    <t>SA_Timer</t>
  </si>
  <si>
    <t>Added cal for new NM message</t>
  </si>
  <si>
    <t>Updates for latest ePWM, DMA, and uDiag</t>
  </si>
  <si>
    <t>RxMtrPos1UnderVoltgFltAccum_Cnt_u16</t>
  </si>
  <si>
    <t>Die1UnderVoltgFltAccum_Cnt_u16</t>
  </si>
  <si>
    <t>DigMSB_Die1UnderVoltgFltAccum_Cnt_M_u16</t>
  </si>
  <si>
    <t>DigMSB_Die1UnderVoltgFltAccum2_Cnt_M_u16</t>
  </si>
  <si>
    <t>DigMSB_Die2UnderVoltgFltAccum_Cnt_M_u16</t>
  </si>
  <si>
    <t>DMAData_G_str.DummyVarForAlignment_Uls_f64</t>
  </si>
  <si>
    <t>dummy var for alignment</t>
  </si>
  <si>
    <t>double precision float</t>
  </si>
  <si>
    <t>float64</t>
  </si>
  <si>
    <t>Dma_DmaRstFail_Cnt_G_lgc</t>
  </si>
  <si>
    <t>DmaRstFail_lgc</t>
  </si>
  <si>
    <t>Dma Reset Fail flag</t>
  </si>
  <si>
    <t>CRFCntDisMtrTrqCmd_MtrNm_f32</t>
  </si>
  <si>
    <t>Indicates Motor Torque command in the CRF</t>
  </si>
  <si>
    <t>Signal indicates controlled damped shutdown has been activated</t>
  </si>
  <si>
    <t>DiagStsNonRecRmpToZeroFltPres_Cnt_lgc</t>
  </si>
  <si>
    <t>Indicates if diagnostic Ramps the output to 0 and Is not recoverable has been activated</t>
  </si>
  <si>
    <t>RampDwnStatusComplete_lgc</t>
  </si>
  <si>
    <t>Indicates Ramp Down from state output control (SF05) has completed</t>
  </si>
  <si>
    <t>ePWM_AdjPWMPeriod_Cnt_G_u16</t>
  </si>
  <si>
    <t>ADJ_PWM_Period</t>
  </si>
  <si>
    <t>Adjusted PWM Period</t>
  </si>
  <si>
    <t>Nhet_Htu1RstFail_Cnt_G_lgc</t>
  </si>
  <si>
    <t>Htu1RstFail_Lgc</t>
  </si>
  <si>
    <t>SF48A TorqueLossofAssist</t>
  </si>
  <si>
    <t>Updates for latest VehDyn</t>
  </si>
  <si>
    <t>MechMtrPos1_Rev_f32</t>
  </si>
  <si>
    <t>MechMtrPos1</t>
  </si>
  <si>
    <t>CF13 PSA_StateHandler</t>
  </si>
  <si>
    <t>CF14 PSA_TorqueArbitrator</t>
  </si>
  <si>
    <t>ES34D ePWM Subsystem</t>
  </si>
  <si>
    <t>ES35A HwTqMeasSent</t>
  </si>
  <si>
    <t>ES53A AnalogMSBSignalInterface</t>
  </si>
  <si>
    <t>ES54A AnaMSBArbitration</t>
  </si>
  <si>
    <t>ES55A AnaMSBCorrelation</t>
  </si>
  <si>
    <t>FDD33F ADCUseandConfiguration</t>
  </si>
  <si>
    <t>SF49A LOAManager</t>
  </si>
  <si>
    <t>SF50A TransitionalDamping</t>
  </si>
  <si>
    <t>Updated fixed addresses for DSR updates</t>
  </si>
  <si>
    <t>{'D','e','f','a','u','l','t',0,0,0,0,0}</t>
  </si>
  <si>
    <t>Updates for VehPwrMd and MtrVel_Digi</t>
  </si>
  <si>
    <t>k_VehicleSpdThresh_Kph_f32</t>
  </si>
  <si>
    <t>k_EngineRPMHighThresh_Rpm_f32</t>
  </si>
  <si>
    <t>Rpm</t>
  </si>
  <si>
    <t>k_EngineRPMLowThresh_Rpm_f32</t>
  </si>
  <si>
    <t>MechMtrPos1Timestamp_USec_u32</t>
  </si>
  <si>
    <t>MtrVel2_PrevSysCDiagCumMtrPos_Rad_M_f32</t>
  </si>
  <si>
    <t>ES34E ePWM Subsystem_v0.0.1</t>
  </si>
  <si>
    <t>ES35B Nhet1CfgAndUse</t>
  </si>
  <si>
    <t>ES36A PhaseFdbkMeas</t>
  </si>
  <si>
    <t>ES54B DigMSBArbitration</t>
  </si>
  <si>
    <t>ES58A MtrPos3SinCos</t>
  </si>
  <si>
    <t xml:space="preserve">SF34B AstPathSum </t>
  </si>
  <si>
    <t xml:space="preserve">SF35B DampgPathSum </t>
  </si>
  <si>
    <t>ES11C Power Disconnect - Dual Inverter</t>
  </si>
  <si>
    <t>ES55B MotAgCorrln</t>
  </si>
  <si>
    <t>ES62A MotPosnCmp</t>
  </si>
  <si>
    <t>ES13C HwPwrUpSeq</t>
  </si>
  <si>
    <t>CF015A HaitecTrqCmd</t>
  </si>
  <si>
    <t>Updates for HaitecTrqCmd</t>
  </si>
  <si>
    <t>k_HaTqCmd_HwTqLpFilFrq_Hz_f32</t>
  </si>
  <si>
    <t>LPF cutoff frequency applied to handwheel torque.</t>
  </si>
  <si>
    <t>HaitecTrqCmd</t>
  </si>
  <si>
    <t>k_HaTqCmd_HwTqMgnLim_HwNm_f32</t>
  </si>
  <si>
    <t>Handwheel torque magnitude must be less than this value to enable control</t>
  </si>
  <si>
    <t>k_HaTqCmd_MotVelLpFilFrq_Hz_f32</t>
  </si>
  <si>
    <t>LPF cutoff frequency applied to motor velocity</t>
  </si>
  <si>
    <t>k_HaTqCmd_PolyOffs_Uls_f32</t>
  </si>
  <si>
    <t>Constant term of the damping curve</t>
  </si>
  <si>
    <t>k_HaTqCmd_PolyTermA_Uls_f32</t>
  </si>
  <si>
    <t>x^3 coefficient of the damping curve</t>
  </si>
  <si>
    <t>k_HaTqCmd_PolyTermB_Uls_f32</t>
  </si>
  <si>
    <t>x^2 coefficient of the damping curve</t>
  </si>
  <si>
    <t>k_HaTqCmd_PolyTermC_Uls_f32</t>
  </si>
  <si>
    <t>x  coefficient of the damping curve</t>
  </si>
  <si>
    <t>k_HaTqCmd_TempEstLim_DegC_f32</t>
  </si>
  <si>
    <t>Assist Mechanism Temperature must be &lt; this value</t>
  </si>
  <si>
    <t>AssitMechTempEst_DegC_f32</t>
  </si>
  <si>
    <t>Single precision Float</t>
  </si>
  <si>
    <t>flaot32</t>
  </si>
  <si>
    <t>HaTqCmd_HwTrqLPFKSV_Cnt_M_Str</t>
  </si>
  <si>
    <t>HaTqCmd_MtrVelLPFKSV_Cnt_M_Str</t>
  </si>
  <si>
    <t>HaTqCmd_ManTrqCmd_MtrNm_M_f32</t>
  </si>
  <si>
    <t>HaTqCmd_AbsFiltHwTrq_HwNm_M_f32</t>
  </si>
  <si>
    <t>HaTqCmd_DefeatTemp_Cnt_M_lgc</t>
  </si>
  <si>
    <t>HaTqCmd_DefeatHwTrq_Cnt_M_lgc</t>
  </si>
  <si>
    <t>HaTqCmd_ManCmdEna_Cnt_M_lgc</t>
  </si>
  <si>
    <t>SF51 SnsrOffsLrng</t>
  </si>
  <si>
    <t>ES19D TmplMonrDualIvtr</t>
  </si>
  <si>
    <t>SF002B CtrldVelRtn</t>
  </si>
  <si>
    <t>SF052A SnsrOffsCorrn</t>
  </si>
  <si>
    <t>CF021A FordTqLoaWarn</t>
  </si>
  <si>
    <t>ES57B HwTqCorrln</t>
  </si>
  <si>
    <t>CF019 BrnwRtnArbn</t>
  </si>
  <si>
    <t>CF020A BmwHaptcFb</t>
  </si>
  <si>
    <t>Relative Position Message Signal Enable</t>
  </si>
  <si>
    <t>WH</t>
  </si>
  <si>
    <t>Added handwheel position transmit enable for EPAS2</t>
  </si>
  <si>
    <t>k_BroadcastRelHwPos_Cnt_lgc</t>
  </si>
  <si>
    <t>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t>
  </si>
  <si>
    <t>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</si>
</sst>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17"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color indexed="81"/>
      <name val="Tahoma"/>
      <family val="2"/>
    </font>
  </fonts>
  <fills count="11">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s>
  <borders count="67">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right style="double">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style="thin">
        <color indexed="64"/>
      </right>
      <top/>
      <bottom style="medium">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
      <left style="double">
        <color indexed="64"/>
      </left>
      <right style="medium">
        <color indexed="64"/>
      </right>
      <top style="thin">
        <color indexed="64"/>
      </top>
      <bottom style="thin">
        <color indexed="64"/>
      </bottom>
      <diagonal/>
    </border>
    <border>
      <left style="medium">
        <color indexed="64"/>
      </left>
      <right style="double">
        <color indexed="64"/>
      </right>
      <top style="thin">
        <color indexed="64"/>
      </top>
      <bottom/>
      <diagonal/>
    </border>
    <border>
      <left style="double">
        <color indexed="64"/>
      </left>
      <right style="double">
        <color indexed="64"/>
      </right>
      <top style="thin">
        <color indexed="64"/>
      </top>
      <bottom/>
      <diagonal/>
    </border>
    <border>
      <left style="double">
        <color indexed="64"/>
      </left>
      <right style="medium">
        <color indexed="64"/>
      </right>
      <top style="thin">
        <color indexed="64"/>
      </top>
      <bottom/>
      <diagonal/>
    </border>
  </borders>
  <cellStyleXfs count="3">
    <xf numFmtId="0" fontId="0" fillId="0" borderId="0"/>
    <xf numFmtId="0" fontId="1" fillId="2" borderId="1" applyFont="0" applyAlignment="0">
      <alignment horizontal="center"/>
    </xf>
    <xf numFmtId="0" fontId="4" fillId="0" borderId="0"/>
  </cellStyleXfs>
  <cellXfs count="301">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0" fontId="0" fillId="0" borderId="2" xfId="0"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3" fillId="0" borderId="17" xfId="0" applyFont="1" applyFill="1" applyBorder="1" applyAlignment="1">
      <alignment horizontal="center" vertical="top"/>
    </xf>
    <xf numFmtId="0" fontId="3" fillId="0" borderId="0" xfId="0" applyFont="1" applyFill="1" applyBorder="1" applyAlignment="1">
      <alignment horizontal="center" vertical="top"/>
    </xf>
    <xf numFmtId="0" fontId="3" fillId="0" borderId="18" xfId="0" applyFont="1" applyFill="1" applyBorder="1" applyAlignment="1">
      <alignment horizontal="center" vertical="top"/>
    </xf>
    <xf numFmtId="0" fontId="6" fillId="0" borderId="17" xfId="0" applyFont="1" applyFill="1" applyBorder="1" applyAlignment="1">
      <alignment horizontal="center" vertical="top"/>
    </xf>
    <xf numFmtId="0" fontId="6" fillId="0" borderId="0" xfId="0" applyFont="1" applyFill="1" applyBorder="1" applyAlignment="1">
      <alignment horizontal="center" vertical="top"/>
    </xf>
    <xf numFmtId="0" fontId="6" fillId="0" borderId="18" xfId="0" applyFont="1" applyFill="1" applyBorder="1" applyAlignment="1">
      <alignment horizontal="center" vertical="top"/>
    </xf>
    <xf numFmtId="0" fontId="8" fillId="0" borderId="17" xfId="0" applyFont="1" applyFill="1" applyBorder="1" applyAlignment="1">
      <alignment horizontal="center" vertical="top"/>
    </xf>
    <xf numFmtId="0" fontId="8" fillId="0" borderId="0" xfId="0" applyFont="1" applyFill="1" applyBorder="1" applyAlignment="1">
      <alignment horizontal="center" vertical="top"/>
    </xf>
    <xf numFmtId="0" fontId="8" fillId="0" borderId="18" xfId="0" applyFont="1" applyFill="1" applyBorder="1" applyAlignment="1">
      <alignment horizontal="center" vertical="top"/>
    </xf>
    <xf numFmtId="0" fontId="2" fillId="3" borderId="19" xfId="0" applyFont="1" applyFill="1" applyBorder="1" applyAlignment="1">
      <alignment horizontal="center"/>
    </xf>
    <xf numFmtId="0" fontId="10" fillId="0" borderId="0" xfId="0" applyFont="1" applyFill="1" applyBorder="1" applyAlignment="1">
      <alignment horizontal="center" vertical="top"/>
    </xf>
    <xf numFmtId="0" fontId="6" fillId="0" borderId="20" xfId="0" applyFont="1" applyFill="1" applyBorder="1" applyAlignment="1">
      <alignment horizontal="center" vertical="top"/>
    </xf>
    <xf numFmtId="0" fontId="6" fillId="0" borderId="21" xfId="0" applyFont="1" applyFill="1" applyBorder="1" applyAlignment="1">
      <alignment horizontal="center" vertical="top"/>
    </xf>
    <xf numFmtId="0" fontId="6" fillId="0" borderId="22"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7" xfId="0" applyFont="1" applyFill="1" applyBorder="1" applyAlignment="1">
      <alignment horizontal="center"/>
    </xf>
    <xf numFmtId="0" fontId="6" fillId="0" borderId="0" xfId="0" applyFont="1" applyFill="1" applyBorder="1" applyAlignment="1">
      <alignment horizontal="center"/>
    </xf>
    <xf numFmtId="0" fontId="6" fillId="0" borderId="18" xfId="0" applyFont="1" applyFill="1" applyBorder="1" applyAlignment="1">
      <alignment horizontal="center"/>
    </xf>
    <xf numFmtId="0" fontId="6" fillId="0" borderId="23" xfId="0" applyFont="1" applyFill="1" applyBorder="1" applyAlignment="1">
      <alignment horizontal="center"/>
    </xf>
    <xf numFmtId="0" fontId="6" fillId="0" borderId="24" xfId="0" applyFont="1" applyFill="1" applyBorder="1" applyAlignment="1">
      <alignment horizontal="center"/>
    </xf>
    <xf numFmtId="0" fontId="6" fillId="0" borderId="25" xfId="0" applyFont="1" applyFill="1" applyBorder="1" applyAlignment="1">
      <alignment horizontal="center"/>
    </xf>
    <xf numFmtId="0" fontId="4" fillId="3" borderId="26" xfId="0" applyFont="1" applyFill="1" applyBorder="1" applyAlignment="1">
      <alignment horizontal="center"/>
    </xf>
    <xf numFmtId="0" fontId="3" fillId="0" borderId="27" xfId="0" applyFont="1" applyFill="1" applyBorder="1" applyAlignment="1">
      <alignment horizontal="center" wrapText="1"/>
    </xf>
    <xf numFmtId="0" fontId="3" fillId="0" borderId="28" xfId="0" applyFont="1" applyFill="1" applyBorder="1" applyAlignment="1">
      <alignment horizontal="center" wrapText="1"/>
    </xf>
    <xf numFmtId="0" fontId="0" fillId="4" borderId="0" xfId="0" applyFill="1"/>
    <xf numFmtId="0" fontId="0" fillId="4" borderId="0" xfId="0" applyFill="1" applyAlignment="1">
      <alignment vertical="top"/>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5" borderId="29" xfId="0" applyFill="1" applyBorder="1"/>
    <xf numFmtId="0" fontId="0" fillId="5" borderId="30" xfId="0" applyFill="1" applyBorder="1" applyAlignment="1">
      <alignment vertical="top"/>
    </xf>
    <xf numFmtId="0" fontId="0" fillId="5" borderId="31" xfId="0" applyFill="1" applyBorder="1" applyAlignment="1">
      <alignment vertical="top"/>
    </xf>
    <xf numFmtId="0" fontId="0" fillId="5" borderId="0" xfId="0" applyFill="1" applyBorder="1" applyAlignment="1">
      <alignment vertical="top"/>
    </xf>
    <xf numFmtId="0" fontId="0" fillId="5" borderId="32" xfId="0" applyFill="1" applyBorder="1" applyAlignment="1">
      <alignment vertical="top"/>
    </xf>
    <xf numFmtId="0" fontId="0" fillId="5" borderId="33" xfId="0" applyFill="1" applyBorder="1"/>
    <xf numFmtId="0" fontId="0" fillId="5" borderId="34" xfId="0" applyFill="1" applyBorder="1"/>
    <xf numFmtId="0" fontId="0" fillId="5" borderId="35"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5" borderId="36"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37" xfId="0" applyNumberFormat="1" applyFont="1" applyFill="1" applyBorder="1" applyAlignment="1">
      <alignment horizontal="center" textRotation="90"/>
    </xf>
    <xf numFmtId="0" fontId="6" fillId="0" borderId="38"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39" xfId="0" applyBorder="1"/>
    <xf numFmtId="0" fontId="0" fillId="0" borderId="40" xfId="0" applyBorder="1"/>
    <xf numFmtId="0" fontId="0" fillId="0" borderId="41" xfId="0" applyBorder="1"/>
    <xf numFmtId="49" fontId="0" fillId="0" borderId="6" xfId="0" quotePrefix="1" applyNumberFormat="1" applyBorder="1" applyAlignment="1">
      <alignment horizontal="center"/>
    </xf>
    <xf numFmtId="0" fontId="0" fillId="0" borderId="42" xfId="0" applyFill="1" applyBorder="1"/>
    <xf numFmtId="0" fontId="6" fillId="0" borderId="43" xfId="0" applyFont="1" applyFill="1" applyBorder="1" applyAlignment="1">
      <alignment horizontal="center" textRotation="90"/>
    </xf>
    <xf numFmtId="0" fontId="3" fillId="0" borderId="24"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26" xfId="2" applyFont="1" applyFill="1" applyBorder="1" applyAlignment="1">
      <alignment horizontal="center"/>
    </xf>
    <xf numFmtId="0" fontId="4" fillId="3" borderId="44" xfId="2" applyFont="1" applyFill="1" applyBorder="1" applyAlignment="1">
      <alignment horizontal="center"/>
    </xf>
    <xf numFmtId="0" fontId="4" fillId="0" borderId="0" xfId="2" applyFont="1" applyAlignment="1">
      <alignment horizontal="left"/>
    </xf>
    <xf numFmtId="0" fontId="1" fillId="0" borderId="0" xfId="2" applyFont="1" applyAlignment="1">
      <alignment horizontal="left"/>
    </xf>
    <xf numFmtId="0" fontId="1" fillId="0" borderId="0" xfId="2" applyFont="1" applyFill="1" applyBorder="1" applyAlignment="1">
      <alignment horizontal="center" wrapText="1"/>
    </xf>
    <xf numFmtId="0" fontId="7" fillId="2" borderId="45" xfId="2" applyFont="1" applyFill="1" applyBorder="1" applyAlignment="1">
      <alignment horizontal="left"/>
    </xf>
    <xf numFmtId="0" fontId="7" fillId="2" borderId="1" xfId="2" applyFont="1" applyFill="1" applyBorder="1" applyAlignment="1">
      <alignment horizontal="left"/>
    </xf>
    <xf numFmtId="0" fontId="1" fillId="2" borderId="1" xfId="2" applyFont="1" applyFill="1" applyBorder="1" applyAlignment="1">
      <alignment wrapText="1"/>
    </xf>
    <xf numFmtId="0" fontId="1" fillId="2" borderId="1" xfId="2" applyFont="1" applyFill="1" applyBorder="1" applyAlignment="1">
      <alignment horizontal="center" wrapText="1"/>
    </xf>
    <xf numFmtId="0" fontId="1" fillId="2" borderId="1" xfId="2" applyNumberFormat="1" applyFont="1" applyFill="1" applyBorder="1" applyAlignment="1">
      <alignment horizontal="center"/>
    </xf>
    <xf numFmtId="0" fontId="1" fillId="2" borderId="1" xfId="2" applyFont="1" applyFill="1" applyBorder="1" applyAlignment="1">
      <alignment horizontal="center"/>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24" xfId="0" applyBorder="1" applyAlignment="1" applyProtection="1">
      <alignment horizontal="center" vertical="center" wrapText="1"/>
      <protection locked="0"/>
    </xf>
    <xf numFmtId="0" fontId="3" fillId="0" borderId="19" xfId="2" applyFont="1" applyBorder="1" applyAlignment="1">
      <alignment wrapText="1"/>
    </xf>
    <xf numFmtId="0" fontId="3" fillId="0" borderId="46" xfId="2" applyFont="1" applyBorder="1" applyAlignment="1">
      <alignment wrapText="1"/>
    </xf>
    <xf numFmtId="0" fontId="3" fillId="0" borderId="46" xfId="2" applyFont="1" applyBorder="1" applyAlignment="1">
      <alignment horizontal="center" wrapText="1"/>
    </xf>
    <xf numFmtId="0" fontId="3" fillId="0" borderId="44" xfId="2" applyFont="1" applyBorder="1" applyAlignment="1">
      <alignment horizontal="center" wrapText="1"/>
    </xf>
    <xf numFmtId="0" fontId="3" fillId="0" borderId="46" xfId="2" applyFont="1" applyBorder="1" applyAlignment="1">
      <alignment horizontal="center" vertical="top" wrapText="1"/>
    </xf>
    <xf numFmtId="0" fontId="3" fillId="0" borderId="46" xfId="2" applyNumberFormat="1" applyFont="1" applyBorder="1" applyAlignment="1">
      <alignment horizontal="center" wrapText="1"/>
    </xf>
    <xf numFmtId="0" fontId="1" fillId="0" borderId="47" xfId="2" applyFont="1" applyBorder="1"/>
    <xf numFmtId="0" fontId="1" fillId="0" borderId="48" xfId="2" applyFont="1" applyBorder="1"/>
    <xf numFmtId="0" fontId="1" fillId="0" borderId="47" xfId="2" applyFont="1" applyBorder="1" applyAlignment="1">
      <alignment horizontal="center"/>
    </xf>
    <xf numFmtId="0" fontId="1" fillId="0" borderId="48"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0" xfId="0" applyFont="1" applyFill="1" applyBorder="1" applyAlignment="1">
      <alignment horizontal="right" vertical="top"/>
    </xf>
    <xf numFmtId="0" fontId="3" fillId="0" borderId="11" xfId="2" applyFont="1" applyBorder="1" applyAlignment="1">
      <alignment wrapText="1"/>
    </xf>
    <xf numFmtId="0" fontId="3" fillId="0" borderId="21"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28" xfId="2" applyFont="1" applyBorder="1" applyAlignment="1">
      <alignment horizontal="center" wrapText="1"/>
    </xf>
    <xf numFmtId="0" fontId="3" fillId="0" borderId="0" xfId="2" applyFont="1" applyBorder="1" applyAlignment="1">
      <alignment horizontal="center" wrapText="1"/>
    </xf>
    <xf numFmtId="0" fontId="3" fillId="0" borderId="12" xfId="2" applyFont="1" applyBorder="1" applyAlignment="1">
      <alignment horizontal="center" vertical="top" wrapText="1"/>
    </xf>
    <xf numFmtId="0" fontId="3" fillId="0" borderId="18" xfId="2" applyFont="1" applyBorder="1" applyAlignment="1">
      <alignment horizontal="center" wrapText="1"/>
    </xf>
    <xf numFmtId="0" fontId="3" fillId="0" borderId="14" xfId="2" applyFont="1" applyBorder="1" applyAlignment="1">
      <alignment horizontal="center" wrapText="1"/>
    </xf>
    <xf numFmtId="0" fontId="3" fillId="0" borderId="24" xfId="2" applyFont="1" applyBorder="1" applyAlignment="1">
      <alignment horizontal="center" wrapText="1"/>
    </xf>
    <xf numFmtId="0" fontId="3" fillId="0" borderId="15" xfId="2" applyFont="1" applyBorder="1" applyAlignment="1">
      <alignment horizontal="center" wrapText="1"/>
    </xf>
    <xf numFmtId="0" fontId="3" fillId="0" borderId="27" xfId="2" applyFont="1" applyBorder="1" applyAlignment="1">
      <alignment horizontal="center" wrapText="1"/>
    </xf>
    <xf numFmtId="0" fontId="3" fillId="0" borderId="49" xfId="2" applyFont="1" applyBorder="1" applyAlignment="1">
      <alignment horizontal="center" wrapText="1"/>
    </xf>
    <xf numFmtId="0" fontId="3" fillId="0" borderId="50" xfId="2" applyNumberFormat="1" applyFont="1" applyBorder="1" applyAlignment="1">
      <alignment horizontal="center" wrapText="1"/>
    </xf>
    <xf numFmtId="0" fontId="3" fillId="0" borderId="25" xfId="2" applyFont="1" applyBorder="1" applyAlignment="1">
      <alignment horizontal="center" wrapText="1"/>
    </xf>
    <xf numFmtId="0" fontId="4" fillId="0" borderId="0" xfId="2" applyFont="1" applyAlignment="1" applyProtection="1">
      <alignment horizontal="left"/>
      <protection locked="0"/>
    </xf>
    <xf numFmtId="0" fontId="4" fillId="0" borderId="0" xfId="2" applyProtection="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24"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1" fillId="2" borderId="1" xfId="2" applyFont="1" applyFill="1" applyBorder="1" applyAlignment="1">
      <alignment horizontal="left" wrapText="1"/>
    </xf>
    <xf numFmtId="0" fontId="4" fillId="0" borderId="0" xfId="2" applyFont="1" applyAlignment="1" applyProtection="1">
      <alignment wrapText="1"/>
      <protection locked="0"/>
    </xf>
    <xf numFmtId="0" fontId="4" fillId="0" borderId="0" xfId="2" applyFont="1" applyAlignment="1" applyProtection="1">
      <alignment horizontal="left" wrapText="1"/>
      <protection locked="0"/>
    </xf>
    <xf numFmtId="0" fontId="3" fillId="0" borderId="15" xfId="0" applyFont="1" applyBorder="1" applyAlignment="1">
      <alignment horizontal="center" wrapText="1"/>
    </xf>
    <xf numFmtId="0" fontId="14" fillId="4" borderId="0" xfId="0" applyFont="1" applyFill="1"/>
    <xf numFmtId="0" fontId="0" fillId="5" borderId="0" xfId="0" applyFill="1" applyBorder="1" applyAlignment="1">
      <alignment horizontal="right" vertical="top"/>
    </xf>
    <xf numFmtId="0" fontId="0" fillId="10" borderId="0" xfId="0" applyFill="1"/>
    <xf numFmtId="0" fontId="0" fillId="10" borderId="0" xfId="0" applyFill="1" applyAlignment="1">
      <alignment vertical="top"/>
    </xf>
    <xf numFmtId="0" fontId="4" fillId="10" borderId="0" xfId="0" applyFont="1" applyFill="1"/>
    <xf numFmtId="0" fontId="4" fillId="10" borderId="0" xfId="0" applyFont="1" applyFill="1" applyAlignment="1">
      <alignment vertical="top"/>
    </xf>
    <xf numFmtId="0" fontId="0" fillId="0" borderId="2" xfId="0" applyBorder="1" applyAlignment="1">
      <alignment horizontal="center" vertical="center"/>
    </xf>
    <xf numFmtId="15" fontId="0" fillId="0" borderId="2" xfId="0" applyNumberFormat="1" applyBorder="1" applyAlignment="1">
      <alignment horizontal="center" vertical="center"/>
    </xf>
    <xf numFmtId="0" fontId="0" fillId="0" borderId="2" xfId="0" applyBorder="1" applyAlignment="1">
      <alignment vertical="center" wrapText="1"/>
    </xf>
    <xf numFmtId="0" fontId="0" fillId="0" borderId="2" xfId="0" quotePrefix="1" applyBorder="1" applyAlignment="1">
      <alignment horizontal="center" vertical="center"/>
    </xf>
    <xf numFmtId="0" fontId="1" fillId="0" borderId="3" xfId="2" applyFont="1" applyBorder="1" applyAlignment="1" applyProtection="1">
      <alignment horizontal="center" vertical="center"/>
      <protection locked="0"/>
    </xf>
    <xf numFmtId="0" fontId="1" fillId="0" borderId="54" xfId="2" applyFont="1" applyBorder="1" applyAlignment="1" applyProtection="1">
      <alignment vertical="center"/>
      <protection locked="0"/>
    </xf>
    <xf numFmtId="0" fontId="1" fillId="0" borderId="52" xfId="2" applyFont="1" applyBorder="1" applyAlignment="1" applyProtection="1">
      <alignment vertical="center" wrapText="1"/>
      <protection locked="0"/>
    </xf>
    <xf numFmtId="0" fontId="1" fillId="0" borderId="52" xfId="2" applyFont="1" applyBorder="1" applyAlignment="1" applyProtection="1">
      <alignment horizontal="center" vertical="center" wrapText="1"/>
      <protection locked="0"/>
    </xf>
    <xf numFmtId="0" fontId="1" fillId="0" borderId="51" xfId="2" applyFont="1" applyBorder="1" applyAlignment="1" applyProtection="1">
      <alignment horizontal="center" vertical="center" wrapText="1"/>
      <protection locked="0"/>
    </xf>
    <xf numFmtId="0" fontId="1" fillId="0" borderId="55" xfId="2" applyFont="1" applyBorder="1" applyAlignment="1" applyProtection="1">
      <alignment horizontal="left" vertical="center" wrapText="1"/>
      <protection locked="0"/>
    </xf>
    <xf numFmtId="0" fontId="1" fillId="0" borderId="53" xfId="2" applyFont="1" applyBorder="1" applyAlignment="1" applyProtection="1">
      <alignment horizontal="center" vertical="center"/>
      <protection locked="0"/>
    </xf>
    <xf numFmtId="0" fontId="1" fillId="0" borderId="6" xfId="2" applyFont="1" applyBorder="1" applyAlignment="1" applyProtection="1">
      <alignment vertical="center" wrapText="1"/>
      <protection locked="0"/>
    </xf>
    <xf numFmtId="0" fontId="1" fillId="0" borderId="56" xfId="0" applyFont="1" applyFill="1" applyBorder="1" applyAlignment="1">
      <alignment vertical="center" wrapText="1"/>
    </xf>
    <xf numFmtId="0" fontId="1" fillId="0" borderId="52" xfId="0" applyFont="1" applyFill="1" applyBorder="1" applyAlignment="1">
      <alignment vertical="center" wrapText="1"/>
    </xf>
    <xf numFmtId="0" fontId="1" fillId="0" borderId="51" xfId="0" applyFont="1" applyFill="1" applyBorder="1" applyAlignment="1">
      <alignment horizontal="center" vertical="center" wrapText="1"/>
    </xf>
    <xf numFmtId="0" fontId="1" fillId="0" borderId="55" xfId="0" applyFont="1" applyFill="1" applyBorder="1" applyAlignment="1">
      <alignment horizontal="center" vertical="center" wrapText="1"/>
    </xf>
    <xf numFmtId="0" fontId="1" fillId="0" borderId="56" xfId="0" applyFont="1" applyFill="1" applyBorder="1" applyAlignment="1">
      <alignment vertical="center"/>
    </xf>
    <xf numFmtId="0" fontId="1" fillId="0" borderId="57" xfId="0" applyFont="1" applyFill="1" applyBorder="1" applyAlignment="1">
      <alignment vertical="center"/>
    </xf>
    <xf numFmtId="0" fontId="1" fillId="0" borderId="57" xfId="0" applyFont="1" applyFill="1" applyBorder="1" applyAlignment="1">
      <alignment vertical="center" wrapText="1"/>
    </xf>
    <xf numFmtId="0" fontId="1" fillId="0" borderId="58" xfId="0" applyFont="1" applyFill="1" applyBorder="1" applyAlignment="1">
      <alignment vertical="center"/>
    </xf>
    <xf numFmtId="6" fontId="1" fillId="0" borderId="55" xfId="0" applyNumberFormat="1" applyFont="1" applyFill="1" applyBorder="1" applyAlignment="1">
      <alignment horizontal="center" vertical="center" wrapText="1"/>
    </xf>
    <xf numFmtId="0" fontId="8" fillId="0" borderId="52" xfId="0" applyFont="1" applyFill="1" applyBorder="1" applyAlignment="1">
      <alignment vertical="center" wrapText="1"/>
    </xf>
    <xf numFmtId="0" fontId="1" fillId="0" borderId="2" xfId="0" applyFont="1" applyFill="1" applyBorder="1" applyAlignment="1">
      <alignment vertical="center"/>
    </xf>
    <xf numFmtId="0" fontId="3" fillId="0" borderId="56" xfId="0" applyFont="1" applyFill="1" applyBorder="1" applyAlignment="1">
      <alignment vertical="center"/>
    </xf>
    <xf numFmtId="0" fontId="1" fillId="0" borderId="56" xfId="0" applyFont="1" applyFill="1" applyBorder="1" applyAlignment="1">
      <alignment horizontal="center" vertical="center" wrapText="1"/>
    </xf>
    <xf numFmtId="0" fontId="1" fillId="0" borderId="51" xfId="0" applyFont="1" applyFill="1" applyBorder="1" applyAlignment="1">
      <alignment vertical="center"/>
    </xf>
    <xf numFmtId="0" fontId="1" fillId="0" borderId="54" xfId="0" applyFont="1" applyFill="1" applyBorder="1" applyAlignment="1">
      <alignment vertical="center"/>
    </xf>
    <xf numFmtId="0" fontId="1" fillId="0" borderId="55" xfId="0" applyNumberFormat="1" applyFont="1" applyFill="1" applyBorder="1" applyAlignment="1">
      <alignment horizontal="center" vertical="center" wrapText="1"/>
    </xf>
    <xf numFmtId="0" fontId="3" fillId="0" borderId="58" xfId="0" applyFont="1" applyFill="1" applyBorder="1" applyAlignment="1">
      <alignment vertical="center" wrapText="1"/>
    </xf>
    <xf numFmtId="0" fontId="1" fillId="0" borderId="55" xfId="0" quotePrefix="1" applyFont="1" applyFill="1" applyBorder="1" applyAlignment="1">
      <alignment horizontal="center" vertical="center" wrapText="1"/>
    </xf>
    <xf numFmtId="0" fontId="13" fillId="0" borderId="57" xfId="0" applyFont="1" applyFill="1" applyBorder="1" applyAlignment="1">
      <alignment vertical="center" wrapText="1"/>
    </xf>
    <xf numFmtId="0" fontId="9" fillId="0" borderId="57" xfId="0" applyFont="1" applyFill="1" applyBorder="1" applyAlignment="1">
      <alignment vertical="center"/>
    </xf>
    <xf numFmtId="0" fontId="3" fillId="0" borderId="57" xfId="0" applyFont="1" applyFill="1" applyBorder="1" applyAlignment="1">
      <alignment vertical="center"/>
    </xf>
    <xf numFmtId="0" fontId="8" fillId="0" borderId="51" xfId="0" applyFont="1" applyFill="1" applyBorder="1" applyAlignment="1">
      <alignment horizontal="center" vertical="center" wrapText="1"/>
    </xf>
    <xf numFmtId="0" fontId="3" fillId="0" borderId="59" xfId="2" applyFont="1" applyBorder="1" applyAlignment="1">
      <alignment horizontal="center" wrapText="1"/>
    </xf>
    <xf numFmtId="11" fontId="1" fillId="0" borderId="55" xfId="2" applyNumberFormat="1" applyFont="1" applyBorder="1" applyAlignment="1" applyProtection="1">
      <alignment horizontal="left" vertical="center" wrapText="1"/>
      <protection locked="0"/>
    </xf>
    <xf numFmtId="11" fontId="1" fillId="0" borderId="53" xfId="2" applyNumberFormat="1" applyFont="1" applyBorder="1" applyAlignment="1" applyProtection="1">
      <alignment horizontal="center" vertical="center"/>
      <protection locked="0"/>
    </xf>
    <xf numFmtId="0" fontId="7" fillId="2" borderId="20" xfId="2" applyFont="1" applyFill="1" applyBorder="1" applyAlignment="1">
      <alignment horizontal="left"/>
    </xf>
    <xf numFmtId="0" fontId="7" fillId="2" borderId="21" xfId="2" applyFont="1" applyFill="1" applyBorder="1" applyAlignment="1">
      <alignment horizontal="left"/>
    </xf>
    <xf numFmtId="0" fontId="1" fillId="2" borderId="21" xfId="2" applyFont="1" applyFill="1" applyBorder="1" applyAlignment="1">
      <alignment wrapText="1"/>
    </xf>
    <xf numFmtId="0" fontId="1" fillId="2" borderId="21" xfId="2" applyFont="1" applyFill="1" applyBorder="1" applyAlignment="1">
      <alignment horizontal="center" wrapText="1"/>
    </xf>
    <xf numFmtId="0" fontId="1" fillId="2" borderId="21" xfId="2" applyFont="1" applyFill="1" applyBorder="1" applyAlignment="1">
      <alignment horizontal="center"/>
    </xf>
    <xf numFmtId="0" fontId="1" fillId="2" borderId="21" xfId="2" applyNumberFormat="1" applyFont="1" applyFill="1" applyBorder="1" applyAlignment="1">
      <alignment horizontal="center"/>
    </xf>
    <xf numFmtId="0" fontId="1" fillId="0" borderId="55" xfId="2" applyFont="1" applyBorder="1" applyAlignment="1" applyProtection="1">
      <alignment horizontal="left" vertical="top" wrapText="1"/>
      <protection locked="0"/>
    </xf>
    <xf numFmtId="0" fontId="1" fillId="0" borderId="52" xfId="2" applyFont="1" applyBorder="1" applyAlignment="1" applyProtection="1">
      <alignment horizontal="left" vertical="top" wrapText="1"/>
      <protection locked="0"/>
    </xf>
    <xf numFmtId="0" fontId="4" fillId="0" borderId="52" xfId="2" applyFont="1" applyBorder="1" applyAlignment="1" applyProtection="1">
      <alignment horizontal="left" vertical="top" wrapText="1"/>
      <protection locked="0"/>
    </xf>
    <xf numFmtId="0" fontId="4" fillId="0" borderId="52" xfId="2" applyNumberFormat="1" applyFont="1" applyBorder="1" applyAlignment="1" applyProtection="1">
      <alignment horizontal="left" vertical="top" wrapText="1"/>
      <protection locked="0"/>
    </xf>
    <xf numFmtId="0" fontId="4" fillId="0" borderId="63" xfId="2" applyFont="1" applyBorder="1" applyAlignment="1" applyProtection="1">
      <alignment horizontal="left" vertical="top" wrapText="1"/>
      <protection locked="0"/>
    </xf>
    <xf numFmtId="0" fontId="1" fillId="0" borderId="64" xfId="2" applyFont="1" applyBorder="1" applyAlignment="1" applyProtection="1">
      <alignment horizontal="left" vertical="top" wrapText="1"/>
      <protection locked="0"/>
    </xf>
    <xf numFmtId="0" fontId="1" fillId="0" borderId="65" xfId="2" applyFont="1" applyBorder="1" applyAlignment="1" applyProtection="1">
      <alignment horizontal="left" vertical="top" wrapText="1"/>
      <protection locked="0"/>
    </xf>
    <xf numFmtId="0" fontId="4" fillId="0" borderId="65" xfId="2" applyFont="1" applyBorder="1" applyAlignment="1" applyProtection="1">
      <alignment horizontal="left" vertical="top" wrapText="1"/>
      <protection locked="0"/>
    </xf>
    <xf numFmtId="0" fontId="4" fillId="0" borderId="65" xfId="2" applyNumberFormat="1" applyFont="1" applyBorder="1" applyAlignment="1" applyProtection="1">
      <alignment horizontal="left" vertical="top" wrapText="1"/>
      <protection locked="0"/>
    </xf>
    <xf numFmtId="0" fontId="4" fillId="0" borderId="66" xfId="2" applyFont="1" applyBorder="1" applyAlignment="1" applyProtection="1">
      <alignment horizontal="left" vertical="top" wrapText="1"/>
      <protection locked="0"/>
    </xf>
    <xf numFmtId="49" fontId="4" fillId="0" borderId="0" xfId="0" applyNumberFormat="1" applyFont="1" applyFill="1" applyBorder="1" applyAlignment="1" applyProtection="1">
      <alignment vertical="top"/>
      <protection locked="0"/>
    </xf>
    <xf numFmtId="0" fontId="4" fillId="0" borderId="2" xfId="0" applyFont="1" applyBorder="1" applyAlignment="1">
      <alignment horizontal="center" vertical="center"/>
    </xf>
    <xf numFmtId="0" fontId="4" fillId="0" borderId="2" xfId="0" applyFont="1" applyBorder="1" applyAlignment="1">
      <alignment vertical="center" wrapText="1"/>
    </xf>
    <xf numFmtId="0" fontId="1" fillId="0" borderId="52" xfId="2" applyFont="1" applyBorder="1" applyAlignment="1" applyProtection="1">
      <alignment vertical="center" wrapText="1"/>
      <protection locked="0"/>
    </xf>
    <xf numFmtId="0" fontId="1" fillId="0" borderId="52" xfId="2" applyFont="1" applyBorder="1" applyAlignment="1" applyProtection="1">
      <alignment horizontal="center" vertical="center" wrapText="1"/>
      <protection locked="0"/>
    </xf>
    <xf numFmtId="0" fontId="1" fillId="0" borderId="51" xfId="2" applyFont="1" applyBorder="1" applyAlignment="1" applyProtection="1">
      <alignment horizontal="center" vertical="center" wrapText="1"/>
      <protection locked="0"/>
    </xf>
    <xf numFmtId="0" fontId="1" fillId="0" borderId="55" xfId="2" applyFont="1" applyBorder="1" applyAlignment="1" applyProtection="1">
      <alignment horizontal="left" vertical="center" wrapText="1"/>
      <protection locked="0"/>
    </xf>
    <xf numFmtId="0" fontId="1" fillId="0" borderId="53" xfId="2" applyFont="1" applyBorder="1" applyAlignment="1" applyProtection="1">
      <alignment horizontal="center" vertical="center"/>
      <protection locked="0"/>
    </xf>
    <xf numFmtId="0" fontId="1" fillId="0" borderId="54" xfId="2" applyFont="1" applyBorder="1" applyAlignment="1" applyProtection="1">
      <alignment vertical="center"/>
      <protection locked="0"/>
    </xf>
    <xf numFmtId="0" fontId="1" fillId="0" borderId="52" xfId="2" applyFont="1" applyBorder="1" applyAlignment="1" applyProtection="1">
      <alignment vertical="center" wrapText="1"/>
      <protection locked="0"/>
    </xf>
    <xf numFmtId="0" fontId="1" fillId="0" borderId="52" xfId="2" applyFont="1" applyBorder="1" applyAlignment="1" applyProtection="1">
      <alignment horizontal="center" vertical="center" wrapText="1"/>
      <protection locked="0"/>
    </xf>
    <xf numFmtId="0" fontId="1" fillId="0" borderId="51" xfId="2" applyFont="1" applyBorder="1" applyAlignment="1" applyProtection="1">
      <alignment horizontal="center" vertical="center" wrapText="1"/>
      <protection locked="0"/>
    </xf>
    <xf numFmtId="0" fontId="1" fillId="0" borderId="55" xfId="2" applyFont="1" applyBorder="1" applyAlignment="1" applyProtection="1">
      <alignment horizontal="left" vertical="center" wrapText="1"/>
      <protection locked="0"/>
    </xf>
    <xf numFmtId="0" fontId="1" fillId="0" borderId="53" xfId="2" applyFont="1" applyBorder="1" applyAlignment="1" applyProtection="1">
      <alignment horizontal="center" vertical="center"/>
      <protection locked="0"/>
    </xf>
    <xf numFmtId="0" fontId="1" fillId="0" borderId="6" xfId="2" applyFont="1" applyBorder="1" applyAlignment="1" applyProtection="1">
      <alignment vertical="center" wrapText="1"/>
      <protection locked="0"/>
    </xf>
    <xf numFmtId="0" fontId="1" fillId="0" borderId="3" xfId="2" applyFont="1" applyBorder="1" applyAlignment="1" applyProtection="1">
      <alignment horizontal="center" vertical="center"/>
      <protection locked="0"/>
    </xf>
    <xf numFmtId="0" fontId="1" fillId="0" borderId="54" xfId="2" applyFont="1" applyBorder="1" applyAlignment="1" applyProtection="1">
      <alignment vertical="center"/>
      <protection locked="0"/>
    </xf>
    <xf numFmtId="0" fontId="1" fillId="0" borderId="52" xfId="2" applyFont="1" applyBorder="1" applyAlignment="1" applyProtection="1">
      <alignment vertical="center" wrapText="1"/>
      <protection locked="0"/>
    </xf>
    <xf numFmtId="0" fontId="1" fillId="0" borderId="52" xfId="2" applyFont="1" applyBorder="1" applyAlignment="1" applyProtection="1">
      <alignment horizontal="center" vertical="center" wrapText="1"/>
      <protection locked="0"/>
    </xf>
    <xf numFmtId="0" fontId="1" fillId="0" borderId="51" xfId="2" applyFont="1" applyBorder="1" applyAlignment="1" applyProtection="1">
      <alignment horizontal="center" vertical="center" wrapText="1"/>
      <protection locked="0"/>
    </xf>
    <xf numFmtId="0" fontId="1" fillId="0" borderId="55" xfId="2" applyFont="1" applyBorder="1" applyAlignment="1" applyProtection="1">
      <alignment horizontal="left" vertical="center" wrapText="1"/>
      <protection locked="0"/>
    </xf>
    <xf numFmtId="0" fontId="1" fillId="0" borderId="53" xfId="2" applyFont="1" applyBorder="1" applyAlignment="1" applyProtection="1">
      <alignment horizontal="center" vertical="center"/>
      <protection locked="0"/>
    </xf>
    <xf numFmtId="0" fontId="1" fillId="0" borderId="6" xfId="2" applyFont="1" applyBorder="1" applyAlignment="1" applyProtection="1">
      <alignment vertical="center" wrapText="1"/>
      <protection locked="0"/>
    </xf>
    <xf numFmtId="0" fontId="5" fillId="8" borderId="14" xfId="0" applyFont="1" applyFill="1" applyBorder="1" applyAlignment="1" applyProtection="1">
      <alignment horizontal="center" vertical="center" wrapText="1"/>
      <protection locked="0"/>
    </xf>
    <xf numFmtId="0" fontId="5" fillId="8" borderId="24" xfId="0" applyFont="1" applyFill="1" applyBorder="1" applyAlignment="1" applyProtection="1">
      <alignment horizontal="center" vertical="center" wrapText="1"/>
      <protection locked="0"/>
    </xf>
    <xf numFmtId="0" fontId="3" fillId="0" borderId="60" xfId="2" applyFont="1" applyBorder="1" applyAlignment="1">
      <alignment horizontal="center" wrapText="1"/>
    </xf>
    <xf numFmtId="0" fontId="3" fillId="0" borderId="61" xfId="2" applyFont="1" applyBorder="1" applyAlignment="1">
      <alignment horizontal="center" wrapText="1"/>
    </xf>
    <xf numFmtId="0" fontId="5" fillId="8" borderId="14" xfId="2" applyFont="1" applyFill="1" applyBorder="1" applyAlignment="1">
      <alignment horizontal="center" vertical="center" wrapText="1"/>
    </xf>
    <xf numFmtId="0" fontId="5" fillId="8" borderId="24" xfId="2" applyFont="1" applyFill="1" applyBorder="1" applyAlignment="1">
      <alignment horizontal="center" vertical="center" wrapText="1"/>
    </xf>
    <xf numFmtId="0" fontId="2" fillId="3" borderId="62" xfId="2" applyFont="1" applyFill="1" applyBorder="1" applyAlignment="1">
      <alignment horizontal="center" wrapText="1"/>
    </xf>
    <xf numFmtId="0" fontId="2" fillId="3" borderId="26" xfId="2" applyFont="1" applyFill="1" applyBorder="1" applyAlignment="1">
      <alignment horizontal="center" wrapText="1"/>
    </xf>
    <xf numFmtId="0" fontId="2" fillId="3" borderId="44" xfId="2" applyFont="1" applyFill="1" applyBorder="1" applyAlignment="1">
      <alignment horizontal="center" wrapText="1"/>
    </xf>
    <xf numFmtId="0" fontId="5" fillId="8" borderId="30" xfId="2" applyFont="1" applyFill="1" applyBorder="1" applyAlignment="1">
      <alignment horizontal="center" vertical="center" wrapText="1"/>
    </xf>
    <xf numFmtId="0" fontId="5" fillId="8" borderId="0" xfId="2" applyFont="1" applyFill="1" applyBorder="1" applyAlignment="1">
      <alignment horizontal="center" vertical="center" wrapText="1"/>
    </xf>
    <xf numFmtId="0" fontId="2" fillId="3" borderId="19" xfId="2" applyFont="1" applyFill="1" applyBorder="1" applyAlignment="1">
      <alignment horizontal="center"/>
    </xf>
    <xf numFmtId="0" fontId="2" fillId="3" borderId="26" xfId="2" applyFont="1" applyFill="1" applyBorder="1" applyAlignment="1">
      <alignment horizontal="center"/>
    </xf>
    <xf numFmtId="0" fontId="2" fillId="3" borderId="44" xfId="2" applyFont="1" applyFill="1" applyBorder="1" applyAlignment="1">
      <alignment horizontal="center"/>
    </xf>
    <xf numFmtId="0" fontId="5" fillId="8" borderId="14" xfId="0" applyFont="1" applyFill="1" applyBorder="1" applyAlignment="1">
      <alignment horizontal="center" vertical="center"/>
    </xf>
    <xf numFmtId="0" fontId="5" fillId="8" borderId="24" xfId="0" applyFont="1" applyFill="1" applyBorder="1" applyAlignment="1">
      <alignment horizontal="center" vertical="center"/>
    </xf>
    <xf numFmtId="0" fontId="2" fillId="3" borderId="62" xfId="0" applyFont="1" applyFill="1" applyBorder="1" applyAlignment="1">
      <alignment horizontal="center" wrapText="1"/>
    </xf>
    <xf numFmtId="0" fontId="4" fillId="3" borderId="26" xfId="0" applyFont="1" applyFill="1" applyBorder="1" applyAlignment="1">
      <alignment horizontal="center"/>
    </xf>
    <xf numFmtId="0" fontId="2" fillId="3" borderId="19" xfId="0" applyFont="1" applyFill="1" applyBorder="1" applyAlignment="1">
      <alignment horizontal="center"/>
    </xf>
    <xf numFmtId="0" fontId="6" fillId="3" borderId="26" xfId="0" applyFont="1" applyFill="1" applyBorder="1" applyAlignment="1">
      <alignment horizontal="center"/>
    </xf>
    <xf numFmtId="0" fontId="6" fillId="3" borderId="44" xfId="0" applyFont="1" applyFill="1" applyBorder="1" applyAlignment="1">
      <alignment horizontal="center"/>
    </xf>
    <xf numFmtId="0" fontId="3" fillId="4" borderId="19" xfId="0" applyFont="1" applyFill="1" applyBorder="1" applyAlignment="1">
      <alignment horizontal="center"/>
    </xf>
    <xf numFmtId="0" fontId="6" fillId="4" borderId="26" xfId="0" applyFont="1" applyFill="1" applyBorder="1" applyAlignment="1">
      <alignment horizontal="center"/>
    </xf>
    <xf numFmtId="0" fontId="6" fillId="4" borderId="44" xfId="0" applyFont="1" applyFill="1" applyBorder="1" applyAlignment="1">
      <alignment horizontal="center"/>
    </xf>
    <xf numFmtId="0" fontId="3" fillId="6" borderId="19" xfId="0" applyFont="1" applyFill="1" applyBorder="1" applyAlignment="1">
      <alignment horizontal="center"/>
    </xf>
    <xf numFmtId="0" fontId="6" fillId="6" borderId="26" xfId="0" applyFont="1" applyFill="1" applyBorder="1" applyAlignment="1">
      <alignment horizontal="center"/>
    </xf>
    <xf numFmtId="0" fontId="6" fillId="6" borderId="44" xfId="0" applyFont="1" applyFill="1" applyBorder="1" applyAlignment="1">
      <alignment horizontal="center"/>
    </xf>
    <xf numFmtId="0" fontId="3" fillId="9" borderId="19" xfId="0" applyFont="1" applyFill="1" applyBorder="1" applyAlignment="1">
      <alignment horizontal="center"/>
    </xf>
    <xf numFmtId="0" fontId="6" fillId="9" borderId="26" xfId="0" applyFont="1" applyFill="1" applyBorder="1" applyAlignment="1">
      <alignment horizontal="center"/>
    </xf>
    <xf numFmtId="0" fontId="6" fillId="9" borderId="44" xfId="0" applyFont="1" applyFill="1" applyBorder="1" applyAlignment="1">
      <alignment horizontal="center"/>
    </xf>
    <xf numFmtId="0" fontId="3" fillId="7" borderId="19" xfId="0" applyFont="1" applyFill="1" applyBorder="1" applyAlignment="1">
      <alignment horizontal="center"/>
    </xf>
    <xf numFmtId="0" fontId="6" fillId="7" borderId="26" xfId="0" applyFont="1" applyFill="1" applyBorder="1" applyAlignment="1">
      <alignment horizontal="center"/>
    </xf>
    <xf numFmtId="0" fontId="6" fillId="7" borderId="44" xfId="0" applyFont="1" applyFill="1" applyBorder="1" applyAlignment="1">
      <alignment horizontal="center"/>
    </xf>
    <xf numFmtId="0" fontId="5" fillId="8" borderId="23" xfId="2" applyFont="1" applyFill="1" applyBorder="1" applyAlignment="1">
      <alignment horizontal="center" vertical="center" wrapText="1"/>
    </xf>
    <xf numFmtId="0" fontId="2" fillId="3" borderId="19" xfId="2" applyFont="1" applyFill="1" applyBorder="1" applyAlignment="1">
      <alignment horizontal="center" wrapText="1"/>
    </xf>
    <xf numFmtId="0" fontId="4" fillId="3" borderId="26" xfId="2" applyFont="1" applyFill="1" applyBorder="1" applyAlignment="1">
      <alignment horizontal="center"/>
    </xf>
    <xf numFmtId="0" fontId="4" fillId="0" borderId="26" xfId="2" applyBorder="1"/>
    <xf numFmtId="0" fontId="4" fillId="0" borderId="44" xfId="2" applyBorder="1"/>
    <xf numFmtId="0" fontId="3" fillId="0" borderId="19" xfId="2" applyFont="1" applyBorder="1" applyAlignment="1">
      <alignment horizontal="center" wrapText="1"/>
    </xf>
    <xf numFmtId="0" fontId="3" fillId="0" borderId="26" xfId="2" applyFont="1" applyBorder="1" applyAlignment="1">
      <alignment horizontal="center" wrapText="1"/>
    </xf>
    <xf numFmtId="0" fontId="0" fillId="0" borderId="0" xfId="0" applyFill="1" applyBorder="1" applyAlignment="1" applyProtection="1">
      <alignment vertical="top"/>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xf numFmtId="0" fontId="0" fillId="0" borderId="0" xfId="0" applyFill="1" applyBorder="1" applyAlignment="1" applyProtection="1">
      <alignment vertical="top" wrapText="1"/>
      <protection locked="0"/>
    </xf>
  </cellXfs>
  <cellStyles count="3">
    <cellStyle name="Heading" xfId="1"/>
    <cellStyle name="Normal" xfId="0" builtinId="0"/>
    <cellStyle name="Normal 2" xfId="2"/>
  </cellStyles>
  <dxfs count="3385">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rgb="FFFFFF66"/>
        </patternFill>
      </fill>
    </dxf>
    <dxf>
      <fill>
        <patternFill>
          <bgColor rgb="FFFFFF66"/>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topLeftCell="A28" zoomScale="80" zoomScaleNormal="80" workbookViewId="0">
      <selection sqref="A1:D1"/>
    </sheetView>
  </sheetViews>
  <sheetFormatPr defaultRowHeight="13.2" x14ac:dyDescent="0.25"/>
  <cols>
    <col min="3" max="3" width="14.6640625" customWidth="1"/>
    <col min="4" max="4" width="68.33203125" style="4" customWidth="1"/>
    <col min="8" max="8" width="10.44140625" bestFit="1" customWidth="1"/>
  </cols>
  <sheetData>
    <row r="1" spans="1:14" ht="18" thickBot="1" x14ac:dyDescent="0.3">
      <c r="A1" s="255" t="str">
        <f>"Haitec LC - Rev " &amp; INDEX(A:A,MATCH(9.99999999999999E+307,A:A))</f>
        <v>Haitec LC - Rev 40</v>
      </c>
      <c r="B1" s="256"/>
      <c r="C1" s="256"/>
      <c r="D1" s="256"/>
      <c r="E1" s="166" t="s">
        <v>149</v>
      </c>
      <c r="F1" s="122"/>
      <c r="G1" s="122"/>
      <c r="H1" s="122"/>
      <c r="I1" s="122"/>
      <c r="J1" s="122"/>
      <c r="K1" s="122"/>
      <c r="L1" s="122"/>
      <c r="M1" s="122"/>
      <c r="N1" s="122"/>
    </row>
    <row r="2" spans="1:14" x14ac:dyDescent="0.25">
      <c r="A2" s="5" t="s">
        <v>47</v>
      </c>
      <c r="B2" s="5" t="s">
        <v>48</v>
      </c>
      <c r="C2" s="5" t="s">
        <v>49</v>
      </c>
      <c r="D2" s="3" t="s">
        <v>50</v>
      </c>
      <c r="G2" s="143" t="s">
        <v>146</v>
      </c>
      <c r="H2" t="s">
        <v>145</v>
      </c>
    </row>
    <row r="3" spans="1:14" x14ac:dyDescent="0.25">
      <c r="A3" s="179">
        <v>1</v>
      </c>
      <c r="B3" s="179" t="s">
        <v>254</v>
      </c>
      <c r="C3" s="180">
        <v>41474</v>
      </c>
      <c r="D3" s="181" t="s">
        <v>255</v>
      </c>
    </row>
    <row r="4" spans="1:14" x14ac:dyDescent="0.25">
      <c r="A4" s="179">
        <v>2</v>
      </c>
      <c r="B4" s="179" t="s">
        <v>254</v>
      </c>
      <c r="C4" s="180">
        <v>41478</v>
      </c>
      <c r="D4" s="181" t="s">
        <v>3547</v>
      </c>
    </row>
    <row r="5" spans="1:14" x14ac:dyDescent="0.25">
      <c r="A5" s="179">
        <v>3</v>
      </c>
      <c r="B5" s="179" t="s">
        <v>254</v>
      </c>
      <c r="C5" s="180">
        <v>41485</v>
      </c>
      <c r="D5" s="181" t="s">
        <v>3548</v>
      </c>
    </row>
    <row r="6" spans="1:14" x14ac:dyDescent="0.25">
      <c r="A6" s="179">
        <v>4</v>
      </c>
      <c r="B6" s="179" t="s">
        <v>254</v>
      </c>
      <c r="C6" s="180">
        <v>41487</v>
      </c>
      <c r="D6" s="181" t="s">
        <v>3705</v>
      </c>
    </row>
    <row r="7" spans="1:14" x14ac:dyDescent="0.25">
      <c r="A7" s="179">
        <v>5</v>
      </c>
      <c r="B7" s="179" t="s">
        <v>254</v>
      </c>
      <c r="C7" s="180">
        <v>41493</v>
      </c>
      <c r="D7" s="181" t="s">
        <v>3723</v>
      </c>
    </row>
    <row r="8" spans="1:14" x14ac:dyDescent="0.25">
      <c r="A8" s="179">
        <v>6</v>
      </c>
      <c r="B8" s="233" t="s">
        <v>254</v>
      </c>
      <c r="C8" s="180">
        <v>41495</v>
      </c>
      <c r="D8" s="234" t="s">
        <v>3826</v>
      </c>
    </row>
    <row r="9" spans="1:14" x14ac:dyDescent="0.25">
      <c r="A9" s="179">
        <v>7</v>
      </c>
      <c r="B9" s="179" t="s">
        <v>254</v>
      </c>
      <c r="C9" s="180">
        <v>41497</v>
      </c>
      <c r="D9" s="181" t="s">
        <v>3827</v>
      </c>
    </row>
    <row r="10" spans="1:14" x14ac:dyDescent="0.25">
      <c r="A10" s="179">
        <v>8</v>
      </c>
      <c r="B10" s="179" t="s">
        <v>254</v>
      </c>
      <c r="C10" s="180">
        <v>41498</v>
      </c>
      <c r="D10" s="181" t="s">
        <v>3870</v>
      </c>
    </row>
    <row r="11" spans="1:14" x14ac:dyDescent="0.25">
      <c r="A11" s="179">
        <v>9</v>
      </c>
      <c r="B11" s="179" t="s">
        <v>254</v>
      </c>
      <c r="C11" s="180">
        <v>41501</v>
      </c>
      <c r="D11" s="181" t="s">
        <v>3871</v>
      </c>
    </row>
    <row r="12" spans="1:14" x14ac:dyDescent="0.25">
      <c r="A12" s="179">
        <v>10</v>
      </c>
      <c r="B12" s="179" t="s">
        <v>254</v>
      </c>
      <c r="C12" s="180">
        <v>41512</v>
      </c>
      <c r="D12" s="181" t="s">
        <v>3873</v>
      </c>
    </row>
    <row r="13" spans="1:14" x14ac:dyDescent="0.25">
      <c r="A13" s="182">
        <v>11</v>
      </c>
      <c r="B13" s="179" t="s">
        <v>254</v>
      </c>
      <c r="C13" s="180">
        <v>41520</v>
      </c>
      <c r="D13" s="181" t="s">
        <v>4004</v>
      </c>
    </row>
    <row r="14" spans="1:14" x14ac:dyDescent="0.25">
      <c r="A14" s="179">
        <v>12</v>
      </c>
      <c r="B14" s="179" t="s">
        <v>254</v>
      </c>
      <c r="C14" s="180">
        <v>41529</v>
      </c>
      <c r="D14" s="181" t="s">
        <v>4042</v>
      </c>
    </row>
    <row r="15" spans="1:14" x14ac:dyDescent="0.25">
      <c r="A15" s="179">
        <v>13</v>
      </c>
      <c r="B15" s="179" t="s">
        <v>254</v>
      </c>
      <c r="C15" s="180">
        <v>41529</v>
      </c>
      <c r="D15" s="181" t="s">
        <v>4043</v>
      </c>
    </row>
    <row r="16" spans="1:14" x14ac:dyDescent="0.25">
      <c r="A16" s="179">
        <v>14</v>
      </c>
      <c r="B16" s="179" t="s">
        <v>254</v>
      </c>
      <c r="C16" s="180">
        <v>41541</v>
      </c>
      <c r="D16" s="181" t="s">
        <v>4099</v>
      </c>
    </row>
    <row r="17" spans="1:4" x14ac:dyDescent="0.25">
      <c r="A17" s="179">
        <v>15</v>
      </c>
      <c r="B17" s="179" t="s">
        <v>254</v>
      </c>
      <c r="C17" s="180">
        <v>41544</v>
      </c>
      <c r="D17" s="181" t="s">
        <v>4104</v>
      </c>
    </row>
    <row r="18" spans="1:4" x14ac:dyDescent="0.25">
      <c r="A18" s="179">
        <v>16</v>
      </c>
      <c r="B18" s="179" t="s">
        <v>254</v>
      </c>
      <c r="C18" s="180">
        <v>41570</v>
      </c>
      <c r="D18" s="181" t="s">
        <v>4106</v>
      </c>
    </row>
    <row r="19" spans="1:4" x14ac:dyDescent="0.25">
      <c r="A19" s="179">
        <v>17</v>
      </c>
      <c r="B19" s="179" t="s">
        <v>254</v>
      </c>
      <c r="C19" s="180">
        <v>41593</v>
      </c>
      <c r="D19" s="181" t="s">
        <v>4126</v>
      </c>
    </row>
    <row r="20" spans="1:4" x14ac:dyDescent="0.25">
      <c r="A20" s="179">
        <v>18</v>
      </c>
      <c r="B20" s="179" t="s">
        <v>254</v>
      </c>
      <c r="C20" s="180">
        <v>41604</v>
      </c>
      <c r="D20" s="181" t="s">
        <v>4127</v>
      </c>
    </row>
    <row r="21" spans="1:4" x14ac:dyDescent="0.25">
      <c r="A21" s="179">
        <v>19</v>
      </c>
      <c r="B21" s="179" t="s">
        <v>254</v>
      </c>
      <c r="C21" s="180">
        <v>41610</v>
      </c>
      <c r="D21" s="181" t="s">
        <v>4099</v>
      </c>
    </row>
    <row r="22" spans="1:4" x14ac:dyDescent="0.25">
      <c r="A22" s="179">
        <v>20</v>
      </c>
      <c r="B22" s="179" t="s">
        <v>254</v>
      </c>
      <c r="C22" s="180">
        <v>41654</v>
      </c>
      <c r="D22" s="181" t="s">
        <v>4153</v>
      </c>
    </row>
    <row r="23" spans="1:4" x14ac:dyDescent="0.25">
      <c r="A23" s="179">
        <v>21</v>
      </c>
      <c r="B23" s="179" t="s">
        <v>254</v>
      </c>
      <c r="C23" s="180">
        <v>41668</v>
      </c>
      <c r="D23" s="181" t="s">
        <v>4154</v>
      </c>
    </row>
    <row r="24" spans="1:4" x14ac:dyDescent="0.25">
      <c r="A24" s="179">
        <v>22</v>
      </c>
      <c r="B24" s="179" t="s">
        <v>254</v>
      </c>
      <c r="C24" s="180">
        <v>41687</v>
      </c>
      <c r="D24" s="181" t="s">
        <v>4583</v>
      </c>
    </row>
    <row r="25" spans="1:4" x14ac:dyDescent="0.25">
      <c r="A25" s="179">
        <v>23</v>
      </c>
      <c r="B25" s="179" t="s">
        <v>254</v>
      </c>
      <c r="C25" s="180">
        <v>41750</v>
      </c>
      <c r="D25" s="181" t="s">
        <v>4632</v>
      </c>
    </row>
    <row r="26" spans="1:4" x14ac:dyDescent="0.25">
      <c r="A26" s="179">
        <v>24</v>
      </c>
      <c r="B26" s="179" t="s">
        <v>254</v>
      </c>
      <c r="C26" s="180">
        <v>41753</v>
      </c>
      <c r="D26" s="181" t="s">
        <v>4756</v>
      </c>
    </row>
    <row r="27" spans="1:4" x14ac:dyDescent="0.25">
      <c r="A27" s="179">
        <v>25</v>
      </c>
      <c r="B27" s="179" t="s">
        <v>254</v>
      </c>
      <c r="C27" s="180">
        <v>41768</v>
      </c>
      <c r="D27" s="181" t="s">
        <v>4790</v>
      </c>
    </row>
    <row r="28" spans="1:4" x14ac:dyDescent="0.25">
      <c r="A28" s="179">
        <v>26</v>
      </c>
      <c r="B28" s="179" t="s">
        <v>254</v>
      </c>
      <c r="C28" s="180">
        <v>41787</v>
      </c>
      <c r="D28" s="181" t="s">
        <v>4903</v>
      </c>
    </row>
    <row r="29" spans="1:4" x14ac:dyDescent="0.25">
      <c r="A29" s="179">
        <v>27</v>
      </c>
      <c r="B29" s="179" t="s">
        <v>254</v>
      </c>
      <c r="C29" s="180">
        <v>41792</v>
      </c>
      <c r="D29" s="181" t="s">
        <v>4905</v>
      </c>
    </row>
    <row r="30" spans="1:4" x14ac:dyDescent="0.25">
      <c r="A30" s="179">
        <v>28</v>
      </c>
      <c r="B30" s="179" t="s">
        <v>254</v>
      </c>
      <c r="C30" s="180">
        <v>41793</v>
      </c>
      <c r="D30" s="181" t="s">
        <v>4907</v>
      </c>
    </row>
    <row r="31" spans="1:4" x14ac:dyDescent="0.25">
      <c r="A31" s="179">
        <v>29</v>
      </c>
      <c r="B31" s="179" t="s">
        <v>254</v>
      </c>
      <c r="C31" s="180">
        <v>41983</v>
      </c>
      <c r="D31" s="181" t="s">
        <v>4915</v>
      </c>
    </row>
    <row r="32" spans="1:4" x14ac:dyDescent="0.25">
      <c r="A32" s="179">
        <v>30</v>
      </c>
      <c r="B32" s="179" t="s">
        <v>254</v>
      </c>
      <c r="C32" s="180">
        <v>41988</v>
      </c>
      <c r="D32" s="181" t="s">
        <v>4992</v>
      </c>
    </row>
    <row r="33" spans="1:4" x14ac:dyDescent="0.25">
      <c r="A33" s="179">
        <v>31</v>
      </c>
      <c r="B33" s="179" t="s">
        <v>254</v>
      </c>
      <c r="C33" s="180">
        <v>41988</v>
      </c>
      <c r="D33" s="181" t="s">
        <v>5005</v>
      </c>
    </row>
    <row r="34" spans="1:4" x14ac:dyDescent="0.25">
      <c r="A34" s="179">
        <v>32</v>
      </c>
      <c r="B34" s="179" t="s">
        <v>254</v>
      </c>
      <c r="C34" s="180">
        <v>41989</v>
      </c>
      <c r="D34" s="181" t="s">
        <v>5011</v>
      </c>
    </row>
    <row r="35" spans="1:4" x14ac:dyDescent="0.25">
      <c r="A35" s="179">
        <v>33</v>
      </c>
      <c r="B35" s="179" t="s">
        <v>254</v>
      </c>
      <c r="C35" s="180">
        <v>42047</v>
      </c>
      <c r="D35" s="181" t="s">
        <v>5062</v>
      </c>
    </row>
    <row r="36" spans="1:4" x14ac:dyDescent="0.25">
      <c r="A36" s="179">
        <v>34</v>
      </c>
      <c r="B36" s="179" t="s">
        <v>254</v>
      </c>
      <c r="C36" s="180">
        <v>42048</v>
      </c>
      <c r="D36" s="181" t="s">
        <v>5067</v>
      </c>
    </row>
    <row r="37" spans="1:4" x14ac:dyDescent="0.25">
      <c r="A37" s="179">
        <v>35</v>
      </c>
      <c r="B37" s="179" t="s">
        <v>254</v>
      </c>
      <c r="C37" s="180">
        <v>42052</v>
      </c>
      <c r="D37" s="181" t="s">
        <v>5068</v>
      </c>
    </row>
    <row r="38" spans="1:4" x14ac:dyDescent="0.25">
      <c r="A38" s="179">
        <v>36</v>
      </c>
      <c r="B38" s="179" t="s">
        <v>254</v>
      </c>
      <c r="C38" s="180">
        <v>42053</v>
      </c>
      <c r="D38" s="181" t="s">
        <v>5094</v>
      </c>
    </row>
    <row r="39" spans="1:4" x14ac:dyDescent="0.25">
      <c r="A39" s="179">
        <v>37</v>
      </c>
      <c r="B39" s="179" t="s">
        <v>254</v>
      </c>
      <c r="C39" s="180">
        <v>42074</v>
      </c>
      <c r="D39" s="181" t="s">
        <v>5107</v>
      </c>
    </row>
    <row r="40" spans="1:4" x14ac:dyDescent="0.25">
      <c r="A40" s="179">
        <v>38</v>
      </c>
      <c r="B40" s="179" t="s">
        <v>254</v>
      </c>
      <c r="C40" s="180">
        <v>42111</v>
      </c>
      <c r="D40" s="181" t="s">
        <v>5109</v>
      </c>
    </row>
    <row r="41" spans="1:4" x14ac:dyDescent="0.25">
      <c r="A41" s="179">
        <v>39</v>
      </c>
      <c r="B41" s="179" t="s">
        <v>254</v>
      </c>
      <c r="C41" s="180">
        <v>42256</v>
      </c>
      <c r="D41" s="181" t="s">
        <v>5128</v>
      </c>
    </row>
    <row r="42" spans="1:4" x14ac:dyDescent="0.25">
      <c r="A42" s="179">
        <v>40</v>
      </c>
      <c r="B42" s="233" t="s">
        <v>5165</v>
      </c>
      <c r="C42" s="180">
        <v>42391</v>
      </c>
      <c r="D42" s="234" t="s">
        <v>5166</v>
      </c>
    </row>
    <row r="43" spans="1:4" x14ac:dyDescent="0.25">
      <c r="A43" s="179"/>
      <c r="B43" s="179"/>
      <c r="C43" s="180"/>
      <c r="D43" s="181"/>
    </row>
    <row r="44" spans="1:4" x14ac:dyDescent="0.25">
      <c r="A44" s="179"/>
      <c r="B44" s="179"/>
      <c r="C44" s="180"/>
      <c r="D44" s="181"/>
    </row>
    <row r="45" spans="1:4" x14ac:dyDescent="0.25">
      <c r="A45" s="179"/>
      <c r="B45" s="179"/>
      <c r="C45" s="180"/>
      <c r="D45" s="181"/>
    </row>
    <row r="46" spans="1:4" x14ac:dyDescent="0.25">
      <c r="A46" s="179"/>
      <c r="B46" s="179"/>
      <c r="C46" s="180"/>
      <c r="D46" s="181"/>
    </row>
  </sheetData>
  <autoFilter ref="A2:D4"/>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1679"/>
  <sheetViews>
    <sheetView topLeftCell="A1655" zoomScale="80" zoomScaleNormal="80" workbookViewId="0">
      <selection activeCell="A1679" sqref="A1679"/>
    </sheetView>
  </sheetViews>
  <sheetFormatPr defaultColWidth="9.109375" defaultRowHeight="13.2" x14ac:dyDescent="0.25"/>
  <cols>
    <col min="1" max="1" width="28.6640625" style="161" customWidth="1"/>
    <col min="2" max="2" width="29.88671875" style="161" customWidth="1"/>
    <col min="3" max="3" width="17.88671875" style="161" customWidth="1"/>
    <col min="4" max="4" width="29.88671875" style="161" customWidth="1"/>
    <col min="5" max="5" width="20.44140625" style="162" customWidth="1"/>
    <col min="6" max="6" width="7.109375" style="163" bestFit="1" customWidth="1"/>
    <col min="7" max="7" width="5.6640625" style="163" bestFit="1" customWidth="1"/>
    <col min="8" max="8" width="9.109375" style="164" bestFit="1" customWidth="1"/>
    <col min="9" max="9" width="18.5546875" style="164" customWidth="1"/>
    <col min="10" max="10" width="24.88671875" style="164" bestFit="1" customWidth="1"/>
    <col min="11" max="11" width="24.33203125" style="165" bestFit="1" customWidth="1"/>
    <col min="12" max="12" width="21.6640625" style="164" bestFit="1" customWidth="1"/>
    <col min="13" max="13" width="15.109375" style="164" bestFit="1" customWidth="1"/>
    <col min="14" max="14" width="14.88671875" style="164" bestFit="1" customWidth="1"/>
    <col min="15" max="15" width="15.6640625" style="164" bestFit="1" customWidth="1"/>
    <col min="16" max="16" width="17.44140625" style="164" bestFit="1" customWidth="1"/>
    <col min="17" max="17" width="36.88671875" style="159" bestFit="1" customWidth="1"/>
    <col min="18" max="18" width="4.5546875" style="159" customWidth="1"/>
    <col min="19" max="19" width="2.5546875" style="160" bestFit="1" customWidth="1"/>
    <col min="20" max="20" width="2.44140625" style="160" bestFit="1" customWidth="1"/>
    <col min="21" max="21" width="2.5546875" style="160" bestFit="1" customWidth="1"/>
    <col min="22" max="23" width="2.33203125" style="160" bestFit="1" customWidth="1"/>
    <col min="24" max="16384" width="9.109375" style="160"/>
  </cols>
  <sheetData>
    <row r="1" spans="1:23" s="105" customFormat="1" ht="29.25" customHeight="1" thickBot="1" x14ac:dyDescent="0.3">
      <c r="A1" s="259" t="str">
        <f>'Change Log'!A1:D1</f>
        <v>Haitec LC - Rev 40</v>
      </c>
      <c r="B1" s="260"/>
      <c r="C1" s="260"/>
      <c r="D1" s="260"/>
      <c r="E1" s="260"/>
      <c r="F1" s="260"/>
      <c r="G1" s="260"/>
      <c r="H1" s="260"/>
      <c r="I1" s="260"/>
      <c r="J1" s="260"/>
      <c r="K1" s="260"/>
      <c r="L1" s="260"/>
      <c r="M1" s="260"/>
      <c r="N1" s="260"/>
      <c r="O1" s="260"/>
      <c r="P1" s="260"/>
      <c r="Q1" s="103"/>
      <c r="R1" s="103"/>
      <c r="S1" s="104" t="s">
        <v>136</v>
      </c>
      <c r="T1" s="104" t="s">
        <v>138</v>
      </c>
      <c r="U1" s="104" t="s">
        <v>139</v>
      </c>
      <c r="V1" s="104" t="s">
        <v>141</v>
      </c>
      <c r="W1" s="104" t="s">
        <v>82</v>
      </c>
    </row>
    <row r="2" spans="1:23" s="105" customFormat="1" ht="13.8" thickBot="1" x14ac:dyDescent="0.3">
      <c r="A2" s="261" t="s">
        <v>137</v>
      </c>
      <c r="B2" s="262"/>
      <c r="C2" s="262"/>
      <c r="D2" s="262"/>
      <c r="E2" s="262"/>
      <c r="F2" s="262"/>
      <c r="G2" s="262"/>
      <c r="H2" s="262"/>
      <c r="I2" s="262"/>
      <c r="J2" s="262"/>
      <c r="K2" s="262"/>
      <c r="L2" s="262"/>
      <c r="M2" s="262"/>
      <c r="N2" s="262"/>
      <c r="O2" s="262"/>
      <c r="P2" s="263"/>
      <c r="Q2" s="108"/>
      <c r="R2" s="108"/>
      <c r="S2" s="104" t="s">
        <v>81</v>
      </c>
      <c r="T2" s="104" t="s">
        <v>82</v>
      </c>
      <c r="U2" s="104"/>
    </row>
    <row r="3" spans="1:23" s="105" customFormat="1" x14ac:dyDescent="0.25">
      <c r="A3" s="144"/>
      <c r="B3" s="145"/>
      <c r="C3" s="145"/>
      <c r="D3" s="145"/>
      <c r="E3" s="146"/>
      <c r="F3" s="147"/>
      <c r="G3" s="148"/>
      <c r="H3" s="147"/>
      <c r="I3" s="149"/>
      <c r="J3" s="257" t="s">
        <v>83</v>
      </c>
      <c r="K3" s="258"/>
      <c r="L3" s="150"/>
      <c r="M3" s="150"/>
      <c r="N3" s="150"/>
      <c r="O3" s="151"/>
      <c r="P3" s="151"/>
      <c r="Q3" s="109"/>
      <c r="R3" s="109"/>
      <c r="S3" s="104"/>
    </row>
    <row r="4" spans="1:23" s="105" customFormat="1" ht="21.6" thickBot="1" x14ac:dyDescent="0.3">
      <c r="A4" s="152" t="s">
        <v>140</v>
      </c>
      <c r="B4" s="153" t="s">
        <v>132</v>
      </c>
      <c r="C4" s="154" t="s">
        <v>94</v>
      </c>
      <c r="D4" s="153" t="s">
        <v>152</v>
      </c>
      <c r="E4" s="154" t="s">
        <v>57</v>
      </c>
      <c r="F4" s="154" t="s">
        <v>162</v>
      </c>
      <c r="G4" s="155" t="s">
        <v>133</v>
      </c>
      <c r="H4" s="154" t="s">
        <v>222</v>
      </c>
      <c r="I4" s="213" t="s">
        <v>147</v>
      </c>
      <c r="J4" s="156" t="s">
        <v>134</v>
      </c>
      <c r="K4" s="157" t="s">
        <v>135</v>
      </c>
      <c r="L4" s="154" t="s">
        <v>51</v>
      </c>
      <c r="M4" s="154" t="s">
        <v>148</v>
      </c>
      <c r="N4" s="154" t="s">
        <v>52</v>
      </c>
      <c r="O4" s="158" t="s">
        <v>90</v>
      </c>
      <c r="P4" s="151" t="s">
        <v>85</v>
      </c>
      <c r="Q4" s="108"/>
      <c r="R4" s="108"/>
      <c r="S4" s="110"/>
    </row>
    <row r="5" spans="1:23" s="105" customFormat="1" ht="15" customHeight="1" x14ac:dyDescent="0.25">
      <c r="A5" s="216" t="s">
        <v>142</v>
      </c>
      <c r="B5" s="217"/>
      <c r="C5" s="217"/>
      <c r="D5" s="217"/>
      <c r="E5" s="218"/>
      <c r="F5" s="219"/>
      <c r="G5" s="219"/>
      <c r="H5" s="220"/>
      <c r="I5" s="220"/>
      <c r="J5" s="220"/>
      <c r="K5" s="221"/>
      <c r="L5" s="220"/>
      <c r="M5" s="220"/>
      <c r="N5" s="220"/>
      <c r="O5" s="220"/>
      <c r="P5" s="220"/>
      <c r="Q5" s="108"/>
      <c r="R5" s="108"/>
    </row>
    <row r="6" spans="1:23" ht="66" x14ac:dyDescent="0.25">
      <c r="A6" s="227" t="s">
        <v>3781</v>
      </c>
      <c r="B6" s="228" t="s">
        <v>3782</v>
      </c>
      <c r="C6" s="228" t="s">
        <v>3745</v>
      </c>
      <c r="D6" s="228" t="s">
        <v>232</v>
      </c>
      <c r="E6" s="229" t="s">
        <v>3783</v>
      </c>
      <c r="F6" s="229" t="s">
        <v>136</v>
      </c>
      <c r="G6" s="229" t="s">
        <v>82</v>
      </c>
      <c r="H6" s="229"/>
      <c r="I6" s="229">
        <v>0</v>
      </c>
      <c r="J6" s="229">
        <v>-10000</v>
      </c>
      <c r="K6" s="230">
        <v>10000</v>
      </c>
      <c r="L6" s="229" t="s">
        <v>1865</v>
      </c>
      <c r="M6" s="229"/>
      <c r="N6" s="229" t="s">
        <v>1866</v>
      </c>
      <c r="O6" s="229" t="s">
        <v>261</v>
      </c>
      <c r="P6" s="231"/>
    </row>
    <row r="7" spans="1:23" ht="105.6" x14ac:dyDescent="0.25">
      <c r="A7" s="227" t="s">
        <v>3784</v>
      </c>
      <c r="B7" s="228" t="s">
        <v>3785</v>
      </c>
      <c r="C7" s="228" t="s">
        <v>3745</v>
      </c>
      <c r="D7" s="228" t="s">
        <v>232</v>
      </c>
      <c r="E7" s="229" t="s">
        <v>3786</v>
      </c>
      <c r="F7" s="229" t="s">
        <v>136</v>
      </c>
      <c r="G7" s="229" t="s">
        <v>82</v>
      </c>
      <c r="H7" s="229"/>
      <c r="I7" s="229">
        <v>0</v>
      </c>
      <c r="J7" s="229">
        <v>-10000</v>
      </c>
      <c r="K7" s="230">
        <v>10000</v>
      </c>
      <c r="L7" s="229" t="s">
        <v>1865</v>
      </c>
      <c r="M7" s="229"/>
      <c r="N7" s="229" t="s">
        <v>1866</v>
      </c>
      <c r="O7" s="229" t="s">
        <v>261</v>
      </c>
      <c r="P7" s="231"/>
    </row>
    <row r="8" spans="1:23" ht="79.2" x14ac:dyDescent="0.25">
      <c r="A8" s="227" t="s">
        <v>4103</v>
      </c>
      <c r="B8" s="228" t="s">
        <v>3787</v>
      </c>
      <c r="C8" s="228" t="s">
        <v>3745</v>
      </c>
      <c r="D8" s="228" t="s">
        <v>232</v>
      </c>
      <c r="E8" s="229" t="s">
        <v>3788</v>
      </c>
      <c r="F8" s="229" t="s">
        <v>136</v>
      </c>
      <c r="G8" s="229" t="s">
        <v>82</v>
      </c>
      <c r="H8" s="229"/>
      <c r="I8" s="229">
        <v>0</v>
      </c>
      <c r="J8" s="229">
        <v>0</v>
      </c>
      <c r="K8" s="230">
        <v>255</v>
      </c>
      <c r="L8" s="229">
        <v>1</v>
      </c>
      <c r="M8" s="229"/>
      <c r="N8" s="229" t="s">
        <v>271</v>
      </c>
      <c r="O8" s="229" t="s">
        <v>4100</v>
      </c>
      <c r="P8" s="231"/>
    </row>
    <row r="9" spans="1:23" ht="39.6" x14ac:dyDescent="0.25">
      <c r="A9" s="227" t="s">
        <v>3789</v>
      </c>
      <c r="B9" s="228" t="s">
        <v>3790</v>
      </c>
      <c r="C9" s="228" t="s">
        <v>3745</v>
      </c>
      <c r="D9" s="228" t="s">
        <v>232</v>
      </c>
      <c r="E9" s="229" t="s">
        <v>3791</v>
      </c>
      <c r="F9" s="229" t="s">
        <v>136</v>
      </c>
      <c r="G9" s="229" t="s">
        <v>82</v>
      </c>
      <c r="H9" s="229"/>
      <c r="I9" s="229">
        <v>0</v>
      </c>
      <c r="J9" s="229">
        <v>-900</v>
      </c>
      <c r="K9" s="230">
        <v>900</v>
      </c>
      <c r="L9" s="229" t="s">
        <v>1865</v>
      </c>
      <c r="M9" s="229"/>
      <c r="N9" s="229" t="s">
        <v>268</v>
      </c>
      <c r="O9" s="229" t="s">
        <v>261</v>
      </c>
      <c r="P9" s="231"/>
    </row>
    <row r="10" spans="1:23" ht="39.6" x14ac:dyDescent="0.25">
      <c r="A10" s="227" t="s">
        <v>3792</v>
      </c>
      <c r="B10" s="228" t="s">
        <v>3793</v>
      </c>
      <c r="C10" s="228" t="s">
        <v>3745</v>
      </c>
      <c r="D10" s="228" t="s">
        <v>232</v>
      </c>
      <c r="E10" s="229" t="s">
        <v>3794</v>
      </c>
      <c r="F10" s="229" t="s">
        <v>136</v>
      </c>
      <c r="G10" s="229" t="s">
        <v>82</v>
      </c>
      <c r="H10" s="229"/>
      <c r="I10" s="229" t="b">
        <v>0</v>
      </c>
      <c r="J10" s="229" t="b">
        <v>0</v>
      </c>
      <c r="K10" s="230" t="b">
        <v>1</v>
      </c>
      <c r="L10" s="229" t="s">
        <v>1883</v>
      </c>
      <c r="M10" s="229"/>
      <c r="N10" s="229" t="s">
        <v>271</v>
      </c>
      <c r="O10" s="229" t="s">
        <v>501</v>
      </c>
      <c r="P10" s="231"/>
    </row>
    <row r="11" spans="1:23" ht="52.8" x14ac:dyDescent="0.25">
      <c r="A11" s="227" t="s">
        <v>5033</v>
      </c>
      <c r="B11" s="228" t="s">
        <v>5034</v>
      </c>
      <c r="C11" s="228" t="s">
        <v>3745</v>
      </c>
      <c r="D11" s="228" t="s">
        <v>232</v>
      </c>
      <c r="E11" s="229" t="s">
        <v>3795</v>
      </c>
      <c r="F11" s="229" t="s">
        <v>136</v>
      </c>
      <c r="G11" s="229" t="s">
        <v>82</v>
      </c>
      <c r="H11" s="229"/>
      <c r="I11" s="229">
        <v>0</v>
      </c>
      <c r="J11" s="229">
        <v>-1600</v>
      </c>
      <c r="K11" s="230">
        <v>1600</v>
      </c>
      <c r="L11" s="229" t="s">
        <v>1865</v>
      </c>
      <c r="M11" s="229"/>
      <c r="N11" s="229" t="s">
        <v>268</v>
      </c>
      <c r="O11" s="229" t="s">
        <v>261</v>
      </c>
      <c r="P11" s="231"/>
    </row>
    <row r="12" spans="1:23" ht="66" x14ac:dyDescent="0.25">
      <c r="A12" s="227" t="s">
        <v>5035</v>
      </c>
      <c r="B12" s="228" t="s">
        <v>5036</v>
      </c>
      <c r="C12" s="228" t="s">
        <v>3745</v>
      </c>
      <c r="D12" s="228" t="s">
        <v>232</v>
      </c>
      <c r="E12" s="229" t="s">
        <v>3796</v>
      </c>
      <c r="F12" s="229" t="s">
        <v>136</v>
      </c>
      <c r="G12" s="229" t="s">
        <v>82</v>
      </c>
      <c r="H12" s="229"/>
      <c r="I12" s="229">
        <v>0</v>
      </c>
      <c r="J12" s="229">
        <v>0</v>
      </c>
      <c r="K12" s="230">
        <v>1</v>
      </c>
      <c r="L12" s="229" t="s">
        <v>1865</v>
      </c>
      <c r="M12" s="229"/>
      <c r="N12" s="229" t="s">
        <v>260</v>
      </c>
      <c r="O12" s="229" t="s">
        <v>261</v>
      </c>
      <c r="P12" s="231"/>
    </row>
    <row r="13" spans="1:23" ht="66" x14ac:dyDescent="0.25">
      <c r="A13" s="227" t="s">
        <v>3797</v>
      </c>
      <c r="B13" s="228" t="s">
        <v>1881</v>
      </c>
      <c r="C13" s="228" t="s">
        <v>3745</v>
      </c>
      <c r="D13" s="228" t="s">
        <v>232</v>
      </c>
      <c r="E13" s="229" t="s">
        <v>3798</v>
      </c>
      <c r="F13" s="229" t="s">
        <v>136</v>
      </c>
      <c r="G13" s="229" t="s">
        <v>82</v>
      </c>
      <c r="H13" s="229"/>
      <c r="I13" s="229">
        <v>0</v>
      </c>
      <c r="J13" s="229">
        <v>-125</v>
      </c>
      <c r="K13" s="230">
        <v>125</v>
      </c>
      <c r="L13" s="229" t="s">
        <v>1865</v>
      </c>
      <c r="M13" s="229"/>
      <c r="N13" s="229" t="s">
        <v>268</v>
      </c>
      <c r="O13" s="229" t="s">
        <v>261</v>
      </c>
      <c r="P13" s="231"/>
    </row>
    <row r="14" spans="1:23" ht="224.4" x14ac:dyDescent="0.25">
      <c r="A14" s="227" t="s">
        <v>3799</v>
      </c>
      <c r="B14" s="228" t="s">
        <v>2263</v>
      </c>
      <c r="C14" s="228" t="s">
        <v>3745</v>
      </c>
      <c r="D14" s="228" t="s">
        <v>232</v>
      </c>
      <c r="E14" s="229" t="s">
        <v>3800</v>
      </c>
      <c r="F14" s="229" t="s">
        <v>136</v>
      </c>
      <c r="G14" s="229" t="s">
        <v>82</v>
      </c>
      <c r="H14" s="229"/>
      <c r="I14" s="229" t="b">
        <v>0</v>
      </c>
      <c r="J14" s="229" t="b">
        <v>0</v>
      </c>
      <c r="K14" s="230" t="b">
        <v>1</v>
      </c>
      <c r="L14" s="229" t="s">
        <v>1883</v>
      </c>
      <c r="M14" s="229"/>
      <c r="N14" s="229" t="s">
        <v>271</v>
      </c>
      <c r="O14" s="229" t="s">
        <v>501</v>
      </c>
      <c r="P14" s="231"/>
    </row>
    <row r="15" spans="1:23" ht="39.6" x14ac:dyDescent="0.25">
      <c r="A15" s="227" t="s">
        <v>3801</v>
      </c>
      <c r="B15" s="228" t="s">
        <v>2069</v>
      </c>
      <c r="C15" s="228" t="s">
        <v>3745</v>
      </c>
      <c r="D15" s="228" t="s">
        <v>232</v>
      </c>
      <c r="E15" s="229" t="s">
        <v>3802</v>
      </c>
      <c r="F15" s="229" t="s">
        <v>136</v>
      </c>
      <c r="G15" s="229" t="s">
        <v>82</v>
      </c>
      <c r="H15" s="229"/>
      <c r="I15" s="229">
        <v>0</v>
      </c>
      <c r="J15" s="229">
        <v>0</v>
      </c>
      <c r="K15" s="230">
        <v>2</v>
      </c>
      <c r="L15" s="229">
        <v>1</v>
      </c>
      <c r="M15" s="229"/>
      <c r="N15" s="229" t="s">
        <v>271</v>
      </c>
      <c r="O15" s="229" t="s">
        <v>2071</v>
      </c>
      <c r="P15" s="231"/>
    </row>
    <row r="16" spans="1:23" ht="39.6" x14ac:dyDescent="0.25">
      <c r="A16" s="227" t="s">
        <v>1887</v>
      </c>
      <c r="B16" s="228" t="s">
        <v>1880</v>
      </c>
      <c r="C16" s="228" t="s">
        <v>3745</v>
      </c>
      <c r="D16" s="228" t="s">
        <v>232</v>
      </c>
      <c r="E16" s="229" t="s">
        <v>3803</v>
      </c>
      <c r="F16" s="229" t="s">
        <v>138</v>
      </c>
      <c r="G16" s="229" t="s">
        <v>82</v>
      </c>
      <c r="H16" s="229"/>
      <c r="I16" s="229">
        <v>0</v>
      </c>
      <c r="J16" s="229">
        <v>-1600</v>
      </c>
      <c r="K16" s="230">
        <v>1600</v>
      </c>
      <c r="L16" s="229" t="s">
        <v>1865</v>
      </c>
      <c r="M16" s="229">
        <v>0.1</v>
      </c>
      <c r="N16" s="229" t="s">
        <v>268</v>
      </c>
      <c r="O16" s="229" t="s">
        <v>261</v>
      </c>
      <c r="P16" s="231"/>
    </row>
    <row r="17" spans="1:16" ht="52.8" x14ac:dyDescent="0.25">
      <c r="A17" s="227" t="s">
        <v>1889</v>
      </c>
      <c r="B17" s="228" t="s">
        <v>1878</v>
      </c>
      <c r="C17" s="228" t="s">
        <v>3745</v>
      </c>
      <c r="D17" s="228" t="s">
        <v>232</v>
      </c>
      <c r="E17" s="229" t="s">
        <v>3804</v>
      </c>
      <c r="F17" s="229" t="s">
        <v>138</v>
      </c>
      <c r="G17" s="229" t="s">
        <v>82</v>
      </c>
      <c r="H17" s="229"/>
      <c r="I17" s="229">
        <v>0</v>
      </c>
      <c r="J17" s="229">
        <v>0</v>
      </c>
      <c r="K17" s="230">
        <v>1</v>
      </c>
      <c r="L17" s="229" t="s">
        <v>1865</v>
      </c>
      <c r="M17" s="229">
        <v>4.0000000000000001E-3</v>
      </c>
      <c r="N17" s="229" t="s">
        <v>260</v>
      </c>
      <c r="O17" s="229" t="s">
        <v>261</v>
      </c>
      <c r="P17" s="231"/>
    </row>
    <row r="18" spans="1:16" ht="66" x14ac:dyDescent="0.25">
      <c r="A18" s="227" t="s">
        <v>3805</v>
      </c>
      <c r="B18" s="228" t="s">
        <v>1882</v>
      </c>
      <c r="C18" s="228" t="s">
        <v>3745</v>
      </c>
      <c r="D18" s="228" t="s">
        <v>232</v>
      </c>
      <c r="E18" s="229" t="s">
        <v>3806</v>
      </c>
      <c r="F18" s="229" t="s">
        <v>138</v>
      </c>
      <c r="G18" s="229" t="s">
        <v>82</v>
      </c>
      <c r="H18" s="229"/>
      <c r="I18" s="229">
        <v>0</v>
      </c>
      <c r="J18" s="229">
        <v>-3200</v>
      </c>
      <c r="K18" s="230">
        <v>3200</v>
      </c>
      <c r="L18" s="229" t="s">
        <v>1865</v>
      </c>
      <c r="M18" s="229">
        <v>0.1</v>
      </c>
      <c r="N18" s="229" t="s">
        <v>268</v>
      </c>
      <c r="O18" s="229" t="s">
        <v>261</v>
      </c>
      <c r="P18" s="231"/>
    </row>
    <row r="19" spans="1:16" ht="105.6" x14ac:dyDescent="0.25">
      <c r="A19" s="227" t="s">
        <v>3807</v>
      </c>
      <c r="B19" s="228" t="s">
        <v>3808</v>
      </c>
      <c r="C19" s="228" t="s">
        <v>3745</v>
      </c>
      <c r="D19" s="228" t="s">
        <v>232</v>
      </c>
      <c r="E19" s="229" t="s">
        <v>3809</v>
      </c>
      <c r="F19" s="229" t="s">
        <v>138</v>
      </c>
      <c r="G19" s="229" t="s">
        <v>82</v>
      </c>
      <c r="H19" s="229"/>
      <c r="I19" s="229">
        <v>0</v>
      </c>
      <c r="J19" s="229">
        <v>1</v>
      </c>
      <c r="K19" s="230">
        <v>65534</v>
      </c>
      <c r="L19" s="229">
        <v>1</v>
      </c>
      <c r="M19" s="229">
        <v>0</v>
      </c>
      <c r="N19" s="229" t="s">
        <v>271</v>
      </c>
      <c r="O19" s="229" t="s">
        <v>267</v>
      </c>
      <c r="P19" s="231"/>
    </row>
    <row r="20" spans="1:16" ht="132" x14ac:dyDescent="0.25">
      <c r="A20" s="227" t="s">
        <v>3810</v>
      </c>
      <c r="B20" s="228" t="s">
        <v>3811</v>
      </c>
      <c r="C20" s="228" t="s">
        <v>3745</v>
      </c>
      <c r="D20" s="228" t="s">
        <v>232</v>
      </c>
      <c r="E20" s="229" t="s">
        <v>3812</v>
      </c>
      <c r="F20" s="229" t="s">
        <v>138</v>
      </c>
      <c r="G20" s="229" t="s">
        <v>82</v>
      </c>
      <c r="H20" s="229"/>
      <c r="I20" s="229">
        <v>0</v>
      </c>
      <c r="J20" s="229">
        <v>-1600</v>
      </c>
      <c r="K20" s="230">
        <v>1600</v>
      </c>
      <c r="L20" s="229" t="s">
        <v>1865</v>
      </c>
      <c r="M20" s="229">
        <v>0.1</v>
      </c>
      <c r="N20" s="229" t="s">
        <v>268</v>
      </c>
      <c r="O20" s="229" t="s">
        <v>261</v>
      </c>
      <c r="P20" s="231"/>
    </row>
    <row r="21" spans="1:16" ht="52.8" x14ac:dyDescent="0.25">
      <c r="A21" s="227" t="s">
        <v>4128</v>
      </c>
      <c r="B21" s="228" t="s">
        <v>3813</v>
      </c>
      <c r="C21" s="228" t="s">
        <v>3745</v>
      </c>
      <c r="D21" s="228" t="s">
        <v>232</v>
      </c>
      <c r="E21" s="229" t="s">
        <v>3814</v>
      </c>
      <c r="F21" s="229" t="s">
        <v>138</v>
      </c>
      <c r="G21" s="229" t="s">
        <v>82</v>
      </c>
      <c r="H21" s="229"/>
      <c r="I21" s="229">
        <v>0</v>
      </c>
      <c r="J21" s="229" t="s">
        <v>4129</v>
      </c>
      <c r="K21" s="230" t="s">
        <v>4130</v>
      </c>
      <c r="L21" s="229" t="s">
        <v>4131</v>
      </c>
      <c r="M21" s="229">
        <v>0</v>
      </c>
      <c r="N21" s="229" t="s">
        <v>271</v>
      </c>
      <c r="O21" s="229" t="s">
        <v>267</v>
      </c>
      <c r="P21" s="231"/>
    </row>
    <row r="22" spans="1:16" ht="20.399999999999999" x14ac:dyDescent="0.25">
      <c r="A22" s="227" t="s">
        <v>4132</v>
      </c>
      <c r="B22" s="228"/>
      <c r="C22" s="228" t="s">
        <v>3745</v>
      </c>
      <c r="D22" s="228" t="s">
        <v>232</v>
      </c>
      <c r="E22" s="229"/>
      <c r="F22" s="229" t="s">
        <v>139</v>
      </c>
      <c r="G22" s="229" t="s">
        <v>82</v>
      </c>
      <c r="H22" s="229"/>
      <c r="I22" s="229">
        <v>0</v>
      </c>
      <c r="J22" s="229">
        <v>2</v>
      </c>
      <c r="K22" s="230">
        <v>14</v>
      </c>
      <c r="L22" s="229">
        <v>1</v>
      </c>
      <c r="M22" s="229">
        <v>0</v>
      </c>
      <c r="N22" s="229" t="s">
        <v>271</v>
      </c>
      <c r="O22" s="229" t="s">
        <v>3815</v>
      </c>
      <c r="P22" s="231"/>
    </row>
    <row r="23" spans="1:16" ht="20.399999999999999" x14ac:dyDescent="0.25">
      <c r="A23" s="227" t="s">
        <v>4133</v>
      </c>
      <c r="B23" s="228"/>
      <c r="C23" s="228" t="s">
        <v>3745</v>
      </c>
      <c r="D23" s="228" t="s">
        <v>232</v>
      </c>
      <c r="E23" s="229"/>
      <c r="F23" s="229" t="s">
        <v>139</v>
      </c>
      <c r="G23" s="229" t="s">
        <v>82</v>
      </c>
      <c r="H23" s="229"/>
      <c r="I23" s="229" t="s">
        <v>1440</v>
      </c>
      <c r="J23" s="229" t="s">
        <v>1883</v>
      </c>
      <c r="K23" s="230" t="s">
        <v>1883</v>
      </c>
      <c r="L23" s="229" t="s">
        <v>1883</v>
      </c>
      <c r="M23" s="229" t="s">
        <v>1883</v>
      </c>
      <c r="N23" s="229" t="s">
        <v>1883</v>
      </c>
      <c r="O23" s="229" t="s">
        <v>1960</v>
      </c>
      <c r="P23" s="231"/>
    </row>
    <row r="24" spans="1:16" ht="20.399999999999999" x14ac:dyDescent="0.25">
      <c r="A24" s="227" t="s">
        <v>4134</v>
      </c>
      <c r="B24" s="228"/>
      <c r="C24" s="228" t="s">
        <v>3745</v>
      </c>
      <c r="D24" s="228" t="s">
        <v>232</v>
      </c>
      <c r="E24" s="229"/>
      <c r="F24" s="229" t="s">
        <v>139</v>
      </c>
      <c r="G24" s="229" t="s">
        <v>82</v>
      </c>
      <c r="H24" s="229"/>
      <c r="I24" s="229">
        <v>0</v>
      </c>
      <c r="J24" s="229">
        <v>-11725</v>
      </c>
      <c r="K24" s="230">
        <v>11725</v>
      </c>
      <c r="L24" s="229" t="s">
        <v>1865</v>
      </c>
      <c r="M24" s="229">
        <v>0.1</v>
      </c>
      <c r="N24" s="229" t="s">
        <v>260</v>
      </c>
      <c r="O24" s="229" t="s">
        <v>261</v>
      </c>
      <c r="P24" s="231"/>
    </row>
    <row r="25" spans="1:16" ht="20.399999999999999" x14ac:dyDescent="0.25">
      <c r="A25" s="227" t="s">
        <v>4135</v>
      </c>
      <c r="B25" s="228"/>
      <c r="C25" s="228" t="s">
        <v>3745</v>
      </c>
      <c r="D25" s="228" t="s">
        <v>232</v>
      </c>
      <c r="E25" s="229"/>
      <c r="F25" s="229" t="s">
        <v>139</v>
      </c>
      <c r="G25" s="229" t="s">
        <v>82</v>
      </c>
      <c r="H25" s="229"/>
      <c r="I25" s="229">
        <v>0</v>
      </c>
      <c r="J25" s="229">
        <v>0</v>
      </c>
      <c r="K25" s="230">
        <v>1</v>
      </c>
      <c r="L25" s="229" t="s">
        <v>1865</v>
      </c>
      <c r="M25" s="229">
        <v>1.5625E-2</v>
      </c>
      <c r="N25" s="229" t="s">
        <v>260</v>
      </c>
      <c r="O25" s="229" t="s">
        <v>261</v>
      </c>
      <c r="P25" s="231"/>
    </row>
    <row r="26" spans="1:16" ht="52.8" x14ac:dyDescent="0.25">
      <c r="A26" s="227" t="s">
        <v>4566</v>
      </c>
      <c r="B26" s="228"/>
      <c r="C26" s="228" t="s">
        <v>3745</v>
      </c>
      <c r="D26" s="228" t="s">
        <v>232</v>
      </c>
      <c r="E26" s="229"/>
      <c r="F26" s="229" t="s">
        <v>139</v>
      </c>
      <c r="G26" s="229" t="s">
        <v>82</v>
      </c>
      <c r="H26" s="229"/>
      <c r="I26" s="229">
        <v>0</v>
      </c>
      <c r="J26" s="229" t="s">
        <v>4129</v>
      </c>
      <c r="K26" s="230" t="s">
        <v>4130</v>
      </c>
      <c r="L26" s="229" t="s">
        <v>4131</v>
      </c>
      <c r="M26" s="229">
        <v>0</v>
      </c>
      <c r="N26" s="229" t="s">
        <v>271</v>
      </c>
      <c r="O26" s="229" t="s">
        <v>1003</v>
      </c>
      <c r="P26" s="231"/>
    </row>
    <row r="27" spans="1:16" ht="20.399999999999999" x14ac:dyDescent="0.25">
      <c r="A27" s="227" t="s">
        <v>4136</v>
      </c>
      <c r="B27" s="228"/>
      <c r="C27" s="228" t="s">
        <v>3745</v>
      </c>
      <c r="D27" s="228" t="s">
        <v>232</v>
      </c>
      <c r="E27" s="229"/>
      <c r="F27" s="229" t="s">
        <v>139</v>
      </c>
      <c r="G27" s="229" t="s">
        <v>82</v>
      </c>
      <c r="H27" s="229"/>
      <c r="I27" s="229" t="b">
        <v>0</v>
      </c>
      <c r="J27" s="229" t="b">
        <v>0</v>
      </c>
      <c r="K27" s="230" t="b">
        <v>1</v>
      </c>
      <c r="L27" s="229" t="s">
        <v>1883</v>
      </c>
      <c r="M27" s="229" t="s">
        <v>1883</v>
      </c>
      <c r="N27" s="229" t="s">
        <v>271</v>
      </c>
      <c r="O27" s="229" t="s">
        <v>501</v>
      </c>
      <c r="P27" s="231"/>
    </row>
    <row r="28" spans="1:16" ht="20.399999999999999" x14ac:dyDescent="0.25">
      <c r="A28" s="227" t="s">
        <v>4137</v>
      </c>
      <c r="B28" s="228"/>
      <c r="C28" s="228" t="s">
        <v>3745</v>
      </c>
      <c r="D28" s="228" t="s">
        <v>232</v>
      </c>
      <c r="E28" s="229"/>
      <c r="F28" s="229" t="s">
        <v>139</v>
      </c>
      <c r="G28" s="229" t="s">
        <v>82</v>
      </c>
      <c r="H28" s="229"/>
      <c r="I28" s="229" t="b">
        <v>0</v>
      </c>
      <c r="J28" s="229" t="b">
        <v>0</v>
      </c>
      <c r="K28" s="230" t="b">
        <v>1</v>
      </c>
      <c r="L28" s="229" t="s">
        <v>1883</v>
      </c>
      <c r="M28" s="229" t="s">
        <v>1883</v>
      </c>
      <c r="N28" s="229" t="s">
        <v>271</v>
      </c>
      <c r="O28" s="229" t="s">
        <v>501</v>
      </c>
      <c r="P28" s="231"/>
    </row>
    <row r="29" spans="1:16" ht="20.399999999999999" x14ac:dyDescent="0.25">
      <c r="A29" s="227" t="s">
        <v>4138</v>
      </c>
      <c r="B29" s="228"/>
      <c r="C29" s="228" t="s">
        <v>3745</v>
      </c>
      <c r="D29" s="228" t="s">
        <v>232</v>
      </c>
      <c r="E29" s="229"/>
      <c r="F29" s="229" t="s">
        <v>139</v>
      </c>
      <c r="G29" s="229" t="s">
        <v>82</v>
      </c>
      <c r="H29" s="229"/>
      <c r="I29" s="229">
        <v>0</v>
      </c>
      <c r="J29" s="229">
        <v>0</v>
      </c>
      <c r="K29" s="230">
        <v>65535</v>
      </c>
      <c r="L29" s="229">
        <v>1</v>
      </c>
      <c r="M29" s="229">
        <v>0</v>
      </c>
      <c r="N29" s="229" t="s">
        <v>271</v>
      </c>
      <c r="O29" s="229" t="s">
        <v>267</v>
      </c>
      <c r="P29" s="231"/>
    </row>
    <row r="30" spans="1:16" ht="20.399999999999999" x14ac:dyDescent="0.25">
      <c r="A30" s="227" t="s">
        <v>4139</v>
      </c>
      <c r="B30" s="228"/>
      <c r="C30" s="228" t="s">
        <v>3745</v>
      </c>
      <c r="D30" s="228" t="s">
        <v>232</v>
      </c>
      <c r="E30" s="229"/>
      <c r="F30" s="229" t="s">
        <v>139</v>
      </c>
      <c r="G30" s="229" t="s">
        <v>82</v>
      </c>
      <c r="H30" s="229"/>
      <c r="I30" s="229">
        <v>0</v>
      </c>
      <c r="J30" s="229">
        <v>1</v>
      </c>
      <c r="K30" s="230">
        <v>65534</v>
      </c>
      <c r="L30" s="229">
        <v>1</v>
      </c>
      <c r="M30" s="229">
        <v>0</v>
      </c>
      <c r="N30" s="229" t="s">
        <v>271</v>
      </c>
      <c r="O30" s="229" t="s">
        <v>267</v>
      </c>
      <c r="P30" s="231"/>
    </row>
    <row r="31" spans="1:16" ht="26.4" x14ac:dyDescent="0.25">
      <c r="A31" s="227" t="s">
        <v>4140</v>
      </c>
      <c r="B31" s="228"/>
      <c r="C31" s="228" t="s">
        <v>3745</v>
      </c>
      <c r="D31" s="228" t="s">
        <v>232</v>
      </c>
      <c r="E31" s="229"/>
      <c r="F31" s="229" t="s">
        <v>139</v>
      </c>
      <c r="G31" s="229" t="s">
        <v>82</v>
      </c>
      <c r="H31" s="229"/>
      <c r="I31" s="229">
        <v>0</v>
      </c>
      <c r="J31" s="229">
        <v>-1600</v>
      </c>
      <c r="K31" s="230">
        <v>65535</v>
      </c>
      <c r="L31" s="229" t="s">
        <v>1865</v>
      </c>
      <c r="M31" s="229" t="s">
        <v>3682</v>
      </c>
      <c r="N31" s="229" t="s">
        <v>268</v>
      </c>
      <c r="O31" s="229" t="s">
        <v>261</v>
      </c>
      <c r="P31" s="231"/>
    </row>
    <row r="32" spans="1:16" ht="26.4" x14ac:dyDescent="0.25">
      <c r="A32" s="227" t="s">
        <v>4141</v>
      </c>
      <c r="B32" s="228"/>
      <c r="C32" s="228" t="s">
        <v>3745</v>
      </c>
      <c r="D32" s="228" t="s">
        <v>232</v>
      </c>
      <c r="E32" s="229"/>
      <c r="F32" s="229" t="s">
        <v>139</v>
      </c>
      <c r="G32" s="229" t="s">
        <v>82</v>
      </c>
      <c r="H32" s="229"/>
      <c r="I32" s="229">
        <v>0</v>
      </c>
      <c r="J32" s="229">
        <v>-10125</v>
      </c>
      <c r="K32" s="230">
        <v>10125</v>
      </c>
      <c r="L32" s="229" t="s">
        <v>1865</v>
      </c>
      <c r="M32" s="229" t="s">
        <v>3682</v>
      </c>
      <c r="N32" s="229" t="s">
        <v>268</v>
      </c>
      <c r="O32" s="229" t="s">
        <v>261</v>
      </c>
      <c r="P32" s="231"/>
    </row>
    <row r="33" spans="1:16" ht="26.4" x14ac:dyDescent="0.25">
      <c r="A33" s="227" t="s">
        <v>4142</v>
      </c>
      <c r="B33" s="228"/>
      <c r="C33" s="228" t="s">
        <v>3745</v>
      </c>
      <c r="D33" s="228" t="s">
        <v>232</v>
      </c>
      <c r="E33" s="229"/>
      <c r="F33" s="229" t="s">
        <v>139</v>
      </c>
      <c r="G33" s="229" t="s">
        <v>82</v>
      </c>
      <c r="H33" s="229"/>
      <c r="I33" s="229">
        <v>0</v>
      </c>
      <c r="J33" s="229">
        <v>-10125</v>
      </c>
      <c r="K33" s="230">
        <v>10125</v>
      </c>
      <c r="L33" s="229" t="s">
        <v>1865</v>
      </c>
      <c r="M33" s="229" t="s">
        <v>3682</v>
      </c>
      <c r="N33" s="229" t="s">
        <v>268</v>
      </c>
      <c r="O33" s="229" t="s">
        <v>261</v>
      </c>
      <c r="P33" s="231"/>
    </row>
    <row r="34" spans="1:16" ht="20.399999999999999" x14ac:dyDescent="0.25">
      <c r="A34" s="227" t="s">
        <v>4143</v>
      </c>
      <c r="B34" s="228"/>
      <c r="C34" s="228" t="s">
        <v>3745</v>
      </c>
      <c r="D34" s="228" t="s">
        <v>232</v>
      </c>
      <c r="E34" s="229"/>
      <c r="F34" s="229" t="s">
        <v>139</v>
      </c>
      <c r="G34" s="229" t="s">
        <v>82</v>
      </c>
      <c r="H34" s="229"/>
      <c r="I34" s="229">
        <v>0</v>
      </c>
      <c r="J34" s="229">
        <v>-11725</v>
      </c>
      <c r="K34" s="230">
        <v>11725</v>
      </c>
      <c r="L34" s="229" t="s">
        <v>1865</v>
      </c>
      <c r="M34" s="229">
        <v>0.1</v>
      </c>
      <c r="N34" s="229" t="s">
        <v>268</v>
      </c>
      <c r="O34" s="229" t="s">
        <v>261</v>
      </c>
      <c r="P34" s="231"/>
    </row>
    <row r="35" spans="1:16" ht="20.399999999999999" x14ac:dyDescent="0.25">
      <c r="A35" s="227" t="s">
        <v>4144</v>
      </c>
      <c r="B35" s="228"/>
      <c r="C35" s="228" t="s">
        <v>3745</v>
      </c>
      <c r="D35" s="228" t="s">
        <v>232</v>
      </c>
      <c r="E35" s="229"/>
      <c r="F35" s="229" t="s">
        <v>139</v>
      </c>
      <c r="G35" s="229" t="s">
        <v>82</v>
      </c>
      <c r="H35" s="229"/>
      <c r="I35" s="229">
        <v>0</v>
      </c>
      <c r="J35" s="229">
        <v>0</v>
      </c>
      <c r="K35" s="230">
        <v>1</v>
      </c>
      <c r="L35" s="229" t="s">
        <v>1865</v>
      </c>
      <c r="M35" s="229">
        <v>4.0000000000000001E-3</v>
      </c>
      <c r="N35" s="229" t="s">
        <v>260</v>
      </c>
      <c r="O35" s="229" t="s">
        <v>261</v>
      </c>
      <c r="P35" s="231"/>
    </row>
    <row r="36" spans="1:16" ht="20.399999999999999" x14ac:dyDescent="0.25">
      <c r="A36" s="227" t="s">
        <v>4145</v>
      </c>
      <c r="B36" s="228"/>
      <c r="C36" s="228" t="s">
        <v>3745</v>
      </c>
      <c r="D36" s="228" t="s">
        <v>232</v>
      </c>
      <c r="E36" s="229"/>
      <c r="F36" s="229" t="s">
        <v>139</v>
      </c>
      <c r="G36" s="229" t="s">
        <v>82</v>
      </c>
      <c r="H36" s="229"/>
      <c r="I36" s="229">
        <v>0</v>
      </c>
      <c r="J36" s="229">
        <v>-11725</v>
      </c>
      <c r="K36" s="230">
        <v>11725</v>
      </c>
      <c r="L36" s="229" t="s">
        <v>1865</v>
      </c>
      <c r="M36" s="229">
        <v>0.1</v>
      </c>
      <c r="N36" s="229" t="s">
        <v>268</v>
      </c>
      <c r="O36" s="229" t="s">
        <v>261</v>
      </c>
      <c r="P36" s="231"/>
    </row>
    <row r="37" spans="1:16" ht="20.399999999999999" x14ac:dyDescent="0.25">
      <c r="A37" s="227" t="s">
        <v>4146</v>
      </c>
      <c r="B37" s="228"/>
      <c r="C37" s="228" t="s">
        <v>3745</v>
      </c>
      <c r="D37" s="228" t="s">
        <v>232</v>
      </c>
      <c r="E37" s="229"/>
      <c r="F37" s="229" t="s">
        <v>139</v>
      </c>
      <c r="G37" s="229" t="s">
        <v>82</v>
      </c>
      <c r="H37" s="229"/>
      <c r="I37" s="229">
        <v>0</v>
      </c>
      <c r="J37" s="229">
        <v>-11725</v>
      </c>
      <c r="K37" s="230">
        <v>11725</v>
      </c>
      <c r="L37" s="229" t="s">
        <v>1865</v>
      </c>
      <c r="M37" s="229">
        <v>0.1</v>
      </c>
      <c r="N37" s="229" t="s">
        <v>268</v>
      </c>
      <c r="O37" s="229" t="s">
        <v>261</v>
      </c>
      <c r="P37" s="231"/>
    </row>
    <row r="38" spans="1:16" ht="20.399999999999999" x14ac:dyDescent="0.25">
      <c r="A38" s="227" t="s">
        <v>4147</v>
      </c>
      <c r="B38" s="228"/>
      <c r="C38" s="228" t="s">
        <v>3745</v>
      </c>
      <c r="D38" s="228" t="s">
        <v>232</v>
      </c>
      <c r="E38" s="229"/>
      <c r="F38" s="229" t="s">
        <v>139</v>
      </c>
      <c r="G38" s="229" t="s">
        <v>82</v>
      </c>
      <c r="H38" s="229"/>
      <c r="I38" s="229">
        <v>0</v>
      </c>
      <c r="J38" s="229">
        <v>0</v>
      </c>
      <c r="K38" s="230">
        <v>1</v>
      </c>
      <c r="L38" s="229" t="s">
        <v>1865</v>
      </c>
      <c r="M38" s="229">
        <v>4.0000000000000001E-3</v>
      </c>
      <c r="N38" s="229" t="s">
        <v>260</v>
      </c>
      <c r="O38" s="229" t="s">
        <v>261</v>
      </c>
      <c r="P38" s="231"/>
    </row>
    <row r="39" spans="1:16" ht="26.4" x14ac:dyDescent="0.25">
      <c r="A39" s="227" t="s">
        <v>4148</v>
      </c>
      <c r="B39" s="228"/>
      <c r="C39" s="228" t="s">
        <v>3745</v>
      </c>
      <c r="D39" s="228" t="s">
        <v>232</v>
      </c>
      <c r="E39" s="229"/>
      <c r="F39" s="229" t="s">
        <v>139</v>
      </c>
      <c r="G39" s="229" t="s">
        <v>82</v>
      </c>
      <c r="H39" s="229"/>
      <c r="I39" s="229">
        <v>0</v>
      </c>
      <c r="J39" s="229">
        <v>-10125</v>
      </c>
      <c r="K39" s="230">
        <v>10125</v>
      </c>
      <c r="L39" s="229" t="s">
        <v>1865</v>
      </c>
      <c r="M39" s="229" t="s">
        <v>3682</v>
      </c>
      <c r="N39" s="229" t="s">
        <v>268</v>
      </c>
      <c r="O39" s="229" t="s">
        <v>261</v>
      </c>
      <c r="P39" s="231"/>
    </row>
    <row r="40" spans="1:16" ht="79.2" x14ac:dyDescent="0.25">
      <c r="A40" s="227" t="s">
        <v>3816</v>
      </c>
      <c r="B40" s="228" t="s">
        <v>3817</v>
      </c>
      <c r="C40" s="228" t="s">
        <v>3745</v>
      </c>
      <c r="D40" s="228" t="s">
        <v>232</v>
      </c>
      <c r="E40" s="229" t="s">
        <v>3818</v>
      </c>
      <c r="F40" s="229" t="s">
        <v>82</v>
      </c>
      <c r="G40" s="229" t="s">
        <v>82</v>
      </c>
      <c r="H40" s="229"/>
      <c r="I40" s="229">
        <v>65535</v>
      </c>
      <c r="J40" s="229">
        <v>-1600</v>
      </c>
      <c r="K40" s="230">
        <v>65535</v>
      </c>
      <c r="L40" s="229" t="s">
        <v>1865</v>
      </c>
      <c r="M40" s="229" t="s">
        <v>3682</v>
      </c>
      <c r="N40" s="229" t="s">
        <v>268</v>
      </c>
      <c r="O40" s="229" t="s">
        <v>261</v>
      </c>
      <c r="P40" s="231"/>
    </row>
    <row r="41" spans="1:16" ht="66" x14ac:dyDescent="0.25">
      <c r="A41" s="227" t="s">
        <v>4101</v>
      </c>
      <c r="B41" s="228" t="s">
        <v>3819</v>
      </c>
      <c r="C41" s="228" t="s">
        <v>3745</v>
      </c>
      <c r="D41" s="228" t="s">
        <v>232</v>
      </c>
      <c r="E41" s="229" t="s">
        <v>3820</v>
      </c>
      <c r="F41" s="229" t="s">
        <v>82</v>
      </c>
      <c r="G41" s="229" t="s">
        <v>82</v>
      </c>
      <c r="H41" s="229"/>
      <c r="I41" s="229">
        <v>0</v>
      </c>
      <c r="J41" s="229">
        <v>0</v>
      </c>
      <c r="K41" s="230" t="s">
        <v>4102</v>
      </c>
      <c r="L41" s="229">
        <v>1</v>
      </c>
      <c r="M41" s="229">
        <v>0</v>
      </c>
      <c r="N41" s="229" t="s">
        <v>271</v>
      </c>
      <c r="O41" s="229" t="s">
        <v>267</v>
      </c>
      <c r="P41" s="231"/>
    </row>
    <row r="42" spans="1:16" ht="26.4" x14ac:dyDescent="0.25">
      <c r="A42" s="227" t="s">
        <v>5037</v>
      </c>
      <c r="B42" s="228" t="s">
        <v>5038</v>
      </c>
      <c r="C42" s="228" t="s">
        <v>3745</v>
      </c>
      <c r="D42" s="228" t="s">
        <v>232</v>
      </c>
      <c r="E42" s="229"/>
      <c r="F42" s="229" t="s">
        <v>139</v>
      </c>
      <c r="G42" s="229" t="s">
        <v>82</v>
      </c>
      <c r="H42" s="229"/>
      <c r="I42" s="229">
        <v>0</v>
      </c>
      <c r="J42" s="229">
        <v>-11026</v>
      </c>
      <c r="K42" s="230">
        <v>11026</v>
      </c>
      <c r="L42" s="229" t="s">
        <v>1865</v>
      </c>
      <c r="M42" s="229" t="s">
        <v>3682</v>
      </c>
      <c r="N42" s="229" t="s">
        <v>268</v>
      </c>
      <c r="O42" s="229" t="s">
        <v>261</v>
      </c>
      <c r="P42" s="231"/>
    </row>
    <row r="43" spans="1:16" ht="20.399999999999999" x14ac:dyDescent="0.25">
      <c r="A43" s="227" t="s">
        <v>5039</v>
      </c>
      <c r="B43" s="228" t="s">
        <v>5040</v>
      </c>
      <c r="C43" s="228" t="s">
        <v>3745</v>
      </c>
      <c r="D43" s="228" t="s">
        <v>232</v>
      </c>
      <c r="E43" s="229"/>
      <c r="F43" s="229" t="s">
        <v>139</v>
      </c>
      <c r="G43" s="229" t="s">
        <v>82</v>
      </c>
      <c r="H43" s="229"/>
      <c r="I43" s="229" t="b">
        <v>0</v>
      </c>
      <c r="J43" s="229" t="b">
        <v>0</v>
      </c>
      <c r="K43" s="230" t="b">
        <v>1</v>
      </c>
      <c r="L43" s="229" t="s">
        <v>1883</v>
      </c>
      <c r="M43" s="229" t="s">
        <v>1883</v>
      </c>
      <c r="N43" s="229" t="s">
        <v>271</v>
      </c>
      <c r="O43" s="229" t="s">
        <v>501</v>
      </c>
      <c r="P43" s="231"/>
    </row>
    <row r="44" spans="1:16" ht="26.4" x14ac:dyDescent="0.25">
      <c r="A44" s="227" t="s">
        <v>1884</v>
      </c>
      <c r="B44" s="228" t="s">
        <v>1885</v>
      </c>
      <c r="C44" s="228" t="s">
        <v>277</v>
      </c>
      <c r="D44" s="228"/>
      <c r="E44" s="229" t="s">
        <v>1886</v>
      </c>
      <c r="F44" s="229" t="s">
        <v>136</v>
      </c>
      <c r="G44" s="229" t="s">
        <v>82</v>
      </c>
      <c r="H44" s="229"/>
      <c r="I44" s="229">
        <v>0</v>
      </c>
      <c r="J44" s="229">
        <v>-10</v>
      </c>
      <c r="K44" s="230">
        <v>10</v>
      </c>
      <c r="L44" s="229" t="s">
        <v>1865</v>
      </c>
      <c r="M44" s="229"/>
      <c r="N44" s="229" t="s">
        <v>265</v>
      </c>
      <c r="O44" s="229" t="s">
        <v>261</v>
      </c>
      <c r="P44" s="231"/>
    </row>
    <row r="45" spans="1:16" ht="26.4" x14ac:dyDescent="0.25">
      <c r="A45" s="227" t="s">
        <v>1887</v>
      </c>
      <c r="B45" s="228" t="s">
        <v>1880</v>
      </c>
      <c r="C45" s="228" t="s">
        <v>277</v>
      </c>
      <c r="D45" s="228"/>
      <c r="E45" s="229" t="s">
        <v>1888</v>
      </c>
      <c r="F45" s="229" t="s">
        <v>136</v>
      </c>
      <c r="G45" s="229" t="s">
        <v>82</v>
      </c>
      <c r="H45" s="229"/>
      <c r="I45" s="229">
        <v>0</v>
      </c>
      <c r="J45" s="229">
        <v>-1440.11</v>
      </c>
      <c r="K45" s="230">
        <v>1440.11</v>
      </c>
      <c r="L45" s="229" t="s">
        <v>1865</v>
      </c>
      <c r="M45" s="229"/>
      <c r="N45" s="229" t="s">
        <v>268</v>
      </c>
      <c r="O45" s="229" t="s">
        <v>261</v>
      </c>
      <c r="P45" s="231"/>
    </row>
    <row r="46" spans="1:16" ht="52.8" x14ac:dyDescent="0.25">
      <c r="A46" s="227" t="s">
        <v>1889</v>
      </c>
      <c r="B46" s="228" t="s">
        <v>1878</v>
      </c>
      <c r="C46" s="228" t="s">
        <v>277</v>
      </c>
      <c r="D46" s="228"/>
      <c r="E46" s="229" t="s">
        <v>1890</v>
      </c>
      <c r="F46" s="229" t="s">
        <v>136</v>
      </c>
      <c r="G46" s="229" t="s">
        <v>82</v>
      </c>
      <c r="H46" s="229"/>
      <c r="I46" s="229">
        <v>0</v>
      </c>
      <c r="J46" s="229">
        <v>0</v>
      </c>
      <c r="K46" s="230">
        <v>1</v>
      </c>
      <c r="L46" s="229" t="s">
        <v>1865</v>
      </c>
      <c r="M46" s="229"/>
      <c r="N46" s="229" t="s">
        <v>300</v>
      </c>
      <c r="O46" s="229" t="s">
        <v>261</v>
      </c>
      <c r="P46" s="231"/>
    </row>
    <row r="47" spans="1:16" ht="39.6" x14ac:dyDescent="0.25">
      <c r="A47" s="227" t="s">
        <v>1875</v>
      </c>
      <c r="B47" s="228" t="s">
        <v>1876</v>
      </c>
      <c r="C47" s="228" t="s">
        <v>277</v>
      </c>
      <c r="D47" s="228"/>
      <c r="E47" s="229" t="s">
        <v>1891</v>
      </c>
      <c r="F47" s="229" t="s">
        <v>136</v>
      </c>
      <c r="G47" s="229" t="s">
        <v>82</v>
      </c>
      <c r="H47" s="229" t="s">
        <v>1892</v>
      </c>
      <c r="I47" s="229">
        <v>0</v>
      </c>
      <c r="J47" s="229">
        <v>0</v>
      </c>
      <c r="K47" s="230">
        <v>511</v>
      </c>
      <c r="L47" s="229" t="s">
        <v>1865</v>
      </c>
      <c r="M47" s="229"/>
      <c r="N47" s="229" t="s">
        <v>311</v>
      </c>
      <c r="O47" s="229" t="s">
        <v>261</v>
      </c>
      <c r="P47" s="231"/>
    </row>
    <row r="48" spans="1:16" ht="66" x14ac:dyDescent="0.25">
      <c r="A48" s="227" t="s">
        <v>1873</v>
      </c>
      <c r="B48" s="228" t="s">
        <v>1874</v>
      </c>
      <c r="C48" s="228" t="s">
        <v>277</v>
      </c>
      <c r="D48" s="228"/>
      <c r="E48" s="229" t="s">
        <v>1893</v>
      </c>
      <c r="F48" s="229" t="s">
        <v>136</v>
      </c>
      <c r="G48" s="229" t="s">
        <v>82</v>
      </c>
      <c r="H48" s="229"/>
      <c r="I48" s="229" t="b">
        <v>0</v>
      </c>
      <c r="J48" s="229" t="b">
        <v>0</v>
      </c>
      <c r="K48" s="230" t="b">
        <v>1</v>
      </c>
      <c r="L48" s="229" t="s">
        <v>1883</v>
      </c>
      <c r="M48" s="229"/>
      <c r="N48" s="229" t="s">
        <v>424</v>
      </c>
      <c r="O48" s="229" t="s">
        <v>501</v>
      </c>
      <c r="P48" s="231"/>
    </row>
    <row r="49" spans="1:16" ht="39.6" x14ac:dyDescent="0.25">
      <c r="A49" s="227" t="s">
        <v>1894</v>
      </c>
      <c r="B49" s="228" t="s">
        <v>1895</v>
      </c>
      <c r="C49" s="228" t="s">
        <v>277</v>
      </c>
      <c r="D49" s="228"/>
      <c r="E49" s="229" t="s">
        <v>1896</v>
      </c>
      <c r="F49" s="229" t="s">
        <v>136</v>
      </c>
      <c r="G49" s="229" t="s">
        <v>82</v>
      </c>
      <c r="H49" s="229"/>
      <c r="I49" s="229">
        <v>0</v>
      </c>
      <c r="J49" s="229">
        <v>-32</v>
      </c>
      <c r="K49" s="230">
        <v>32</v>
      </c>
      <c r="L49" s="229" t="s">
        <v>1865</v>
      </c>
      <c r="M49" s="229"/>
      <c r="N49" s="229" t="s">
        <v>1461</v>
      </c>
      <c r="O49" s="229" t="s">
        <v>261</v>
      </c>
      <c r="P49" s="231"/>
    </row>
    <row r="50" spans="1:16" ht="66" x14ac:dyDescent="0.25">
      <c r="A50" s="227" t="s">
        <v>1897</v>
      </c>
      <c r="B50" s="228" t="s">
        <v>1898</v>
      </c>
      <c r="C50" s="228" t="s">
        <v>277</v>
      </c>
      <c r="D50" s="228"/>
      <c r="E50" s="229" t="s">
        <v>1899</v>
      </c>
      <c r="F50" s="229" t="s">
        <v>136</v>
      </c>
      <c r="G50" s="229" t="s">
        <v>82</v>
      </c>
      <c r="H50" s="229"/>
      <c r="I50" s="229">
        <v>0</v>
      </c>
      <c r="J50" s="229">
        <v>-128</v>
      </c>
      <c r="K50" s="230">
        <v>127.9375</v>
      </c>
      <c r="L50" s="229" t="s">
        <v>1865</v>
      </c>
      <c r="M50" s="229"/>
      <c r="N50" s="229" t="s">
        <v>290</v>
      </c>
      <c r="O50" s="229" t="s">
        <v>261</v>
      </c>
      <c r="P50" s="231"/>
    </row>
    <row r="51" spans="1:16" ht="39.6" x14ac:dyDescent="0.25">
      <c r="A51" s="227" t="s">
        <v>1900</v>
      </c>
      <c r="B51" s="228" t="s">
        <v>1901</v>
      </c>
      <c r="C51" s="228" t="s">
        <v>277</v>
      </c>
      <c r="D51" s="228"/>
      <c r="E51" s="229" t="s">
        <v>1902</v>
      </c>
      <c r="F51" s="229" t="s">
        <v>136</v>
      </c>
      <c r="G51" s="229" t="s">
        <v>82</v>
      </c>
      <c r="H51" s="229"/>
      <c r="I51" s="229">
        <v>0</v>
      </c>
      <c r="J51" s="229">
        <v>0</v>
      </c>
      <c r="K51" s="230">
        <v>100</v>
      </c>
      <c r="L51" s="229" t="s">
        <v>1865</v>
      </c>
      <c r="M51" s="229"/>
      <c r="N51" s="229" t="s">
        <v>307</v>
      </c>
      <c r="O51" s="229" t="s">
        <v>261</v>
      </c>
      <c r="P51" s="231"/>
    </row>
    <row r="52" spans="1:16" ht="79.2" x14ac:dyDescent="0.25">
      <c r="A52" s="227" t="s">
        <v>1903</v>
      </c>
      <c r="B52" s="228" t="s">
        <v>1904</v>
      </c>
      <c r="C52" s="228" t="s">
        <v>277</v>
      </c>
      <c r="D52" s="228"/>
      <c r="E52" s="229" t="s">
        <v>1905</v>
      </c>
      <c r="F52" s="229" t="s">
        <v>136</v>
      </c>
      <c r="G52" s="229" t="s">
        <v>82</v>
      </c>
      <c r="H52" s="229"/>
      <c r="I52" s="229" t="b">
        <v>0</v>
      </c>
      <c r="J52" s="229" t="b">
        <v>0</v>
      </c>
      <c r="K52" s="230" t="b">
        <v>1</v>
      </c>
      <c r="L52" s="229" t="s">
        <v>1883</v>
      </c>
      <c r="M52" s="229"/>
      <c r="N52" s="229" t="s">
        <v>424</v>
      </c>
      <c r="O52" s="229" t="s">
        <v>501</v>
      </c>
      <c r="P52" s="231"/>
    </row>
    <row r="53" spans="1:16" ht="105.6" x14ac:dyDescent="0.25">
      <c r="A53" s="227" t="s">
        <v>1906</v>
      </c>
      <c r="B53" s="228" t="s">
        <v>1907</v>
      </c>
      <c r="C53" s="228" t="s">
        <v>277</v>
      </c>
      <c r="D53" s="228"/>
      <c r="E53" s="229" t="s">
        <v>1908</v>
      </c>
      <c r="F53" s="229" t="s">
        <v>136</v>
      </c>
      <c r="G53" s="229" t="s">
        <v>82</v>
      </c>
      <c r="H53" s="229"/>
      <c r="I53" s="229" t="b">
        <v>0</v>
      </c>
      <c r="J53" s="229" t="b">
        <v>0</v>
      </c>
      <c r="K53" s="230" t="b">
        <v>1</v>
      </c>
      <c r="L53" s="229" t="s">
        <v>1883</v>
      </c>
      <c r="M53" s="229"/>
      <c r="N53" s="229" t="s">
        <v>424</v>
      </c>
      <c r="O53" s="229" t="s">
        <v>501</v>
      </c>
      <c r="P53" s="231"/>
    </row>
    <row r="54" spans="1:16" ht="26.4" x14ac:dyDescent="0.25">
      <c r="A54" s="227" t="s">
        <v>1909</v>
      </c>
      <c r="B54" s="228" t="s">
        <v>1910</v>
      </c>
      <c r="C54" s="228" t="s">
        <v>277</v>
      </c>
      <c r="D54" s="228" t="s">
        <v>203</v>
      </c>
      <c r="E54" s="229" t="s">
        <v>1911</v>
      </c>
      <c r="F54" s="229" t="s">
        <v>138</v>
      </c>
      <c r="G54" s="229" t="s">
        <v>82</v>
      </c>
      <c r="H54" s="229"/>
      <c r="I54" s="229">
        <v>0</v>
      </c>
      <c r="J54" s="229">
        <v>-8.8000000000000007</v>
      </c>
      <c r="K54" s="230">
        <v>8.8000000000000007</v>
      </c>
      <c r="L54" s="229" t="s">
        <v>1865</v>
      </c>
      <c r="M54" s="229">
        <v>4.8828125E-4</v>
      </c>
      <c r="N54" s="229" t="s">
        <v>256</v>
      </c>
      <c r="O54" s="229" t="s">
        <v>261</v>
      </c>
      <c r="P54" s="231"/>
    </row>
    <row r="55" spans="1:16" x14ac:dyDescent="0.25">
      <c r="A55" s="227" t="s">
        <v>1912</v>
      </c>
      <c r="B55" s="228" t="s">
        <v>1913</v>
      </c>
      <c r="C55" s="228" t="s">
        <v>277</v>
      </c>
      <c r="D55" s="228" t="s">
        <v>203</v>
      </c>
      <c r="E55" s="229"/>
      <c r="F55" s="229" t="s">
        <v>139</v>
      </c>
      <c r="G55" s="229" t="s">
        <v>82</v>
      </c>
      <c r="H55" s="229"/>
      <c r="I55" s="229">
        <v>0</v>
      </c>
      <c r="J55" s="229">
        <v>1.3499999999999999E-5</v>
      </c>
      <c r="K55" s="230">
        <v>5.4000000000000001E-4</v>
      </c>
      <c r="L55" s="229" t="s">
        <v>1865</v>
      </c>
      <c r="M55" s="229">
        <v>1.4901161193847656E-8</v>
      </c>
      <c r="N55" s="229" t="s">
        <v>300</v>
      </c>
      <c r="O55" s="229" t="s">
        <v>261</v>
      </c>
      <c r="P55" s="231"/>
    </row>
    <row r="56" spans="1:16" x14ac:dyDescent="0.25">
      <c r="A56" s="227" t="s">
        <v>1914</v>
      </c>
      <c r="B56" s="228" t="s">
        <v>1915</v>
      </c>
      <c r="C56" s="228" t="s">
        <v>277</v>
      </c>
      <c r="D56" s="228" t="s">
        <v>203</v>
      </c>
      <c r="E56" s="229"/>
      <c r="F56" s="229" t="s">
        <v>139</v>
      </c>
      <c r="G56" s="229" t="s">
        <v>82</v>
      </c>
      <c r="H56" s="229"/>
      <c r="I56" s="229">
        <v>0</v>
      </c>
      <c r="J56" s="229">
        <v>1.3499999999999999E-5</v>
      </c>
      <c r="K56" s="230">
        <v>5.4000000000000001E-4</v>
      </c>
      <c r="L56" s="229" t="s">
        <v>1865</v>
      </c>
      <c r="M56" s="229">
        <v>1.4901161193847656E-8</v>
      </c>
      <c r="N56" s="229" t="s">
        <v>300</v>
      </c>
      <c r="O56" s="229" t="s">
        <v>261</v>
      </c>
      <c r="P56" s="231"/>
    </row>
    <row r="57" spans="1:16" x14ac:dyDescent="0.25">
      <c r="A57" s="227" t="s">
        <v>1916</v>
      </c>
      <c r="B57" s="228" t="s">
        <v>1917</v>
      </c>
      <c r="C57" s="228" t="s">
        <v>277</v>
      </c>
      <c r="D57" s="228" t="s">
        <v>203</v>
      </c>
      <c r="E57" s="229"/>
      <c r="F57" s="229" t="s">
        <v>139</v>
      </c>
      <c r="G57" s="229" t="s">
        <v>82</v>
      </c>
      <c r="H57" s="229"/>
      <c r="I57" s="229">
        <v>0</v>
      </c>
      <c r="J57" s="229">
        <v>1.8749999999999998E-5</v>
      </c>
      <c r="K57" s="230">
        <v>4.4999999999999999E-4</v>
      </c>
      <c r="L57" s="229" t="s">
        <v>1865</v>
      </c>
      <c r="M57" s="229">
        <v>7.4505805969238281E-9</v>
      </c>
      <c r="N57" s="229" t="s">
        <v>300</v>
      </c>
      <c r="O57" s="229" t="s">
        <v>261</v>
      </c>
      <c r="P57" s="231"/>
    </row>
    <row r="58" spans="1:16" x14ac:dyDescent="0.25">
      <c r="A58" s="227" t="s">
        <v>1918</v>
      </c>
      <c r="B58" s="228" t="s">
        <v>1919</v>
      </c>
      <c r="C58" s="228" t="s">
        <v>277</v>
      </c>
      <c r="D58" s="228" t="s">
        <v>203</v>
      </c>
      <c r="E58" s="229"/>
      <c r="F58" s="229" t="s">
        <v>139</v>
      </c>
      <c r="G58" s="229" t="s">
        <v>82</v>
      </c>
      <c r="H58" s="229"/>
      <c r="I58" s="229">
        <v>0</v>
      </c>
      <c r="J58" s="229">
        <v>0</v>
      </c>
      <c r="K58" s="230">
        <v>4</v>
      </c>
      <c r="L58" s="229" t="s">
        <v>1865</v>
      </c>
      <c r="M58" s="229">
        <v>1.220703125E-4</v>
      </c>
      <c r="N58" s="229" t="s">
        <v>265</v>
      </c>
      <c r="O58" s="229" t="s">
        <v>261</v>
      </c>
      <c r="P58" s="231"/>
    </row>
    <row r="59" spans="1:16" x14ac:dyDescent="0.25">
      <c r="A59" s="227" t="s">
        <v>1920</v>
      </c>
      <c r="B59" s="228" t="s">
        <v>1921</v>
      </c>
      <c r="C59" s="228" t="s">
        <v>277</v>
      </c>
      <c r="D59" s="228" t="s">
        <v>203</v>
      </c>
      <c r="E59" s="229"/>
      <c r="F59" s="229" t="s">
        <v>139</v>
      </c>
      <c r="G59" s="229" t="s">
        <v>82</v>
      </c>
      <c r="H59" s="229"/>
      <c r="I59" s="229">
        <v>0</v>
      </c>
      <c r="J59" s="229">
        <v>0</v>
      </c>
      <c r="K59" s="230">
        <v>20000</v>
      </c>
      <c r="L59" s="229" t="s">
        <v>1865</v>
      </c>
      <c r="M59" s="229">
        <v>0.5</v>
      </c>
      <c r="N59" s="229" t="s">
        <v>265</v>
      </c>
      <c r="O59" s="229" t="s">
        <v>261</v>
      </c>
      <c r="P59" s="231"/>
    </row>
    <row r="60" spans="1:16" x14ac:dyDescent="0.25">
      <c r="A60" s="227" t="s">
        <v>1922</v>
      </c>
      <c r="B60" s="228" t="s">
        <v>1923</v>
      </c>
      <c r="C60" s="228" t="s">
        <v>277</v>
      </c>
      <c r="D60" s="228" t="s">
        <v>203</v>
      </c>
      <c r="E60" s="229"/>
      <c r="F60" s="229" t="s">
        <v>139</v>
      </c>
      <c r="G60" s="229" t="s">
        <v>82</v>
      </c>
      <c r="H60" s="229"/>
      <c r="I60" s="229">
        <v>0</v>
      </c>
      <c r="J60" s="229">
        <v>0</v>
      </c>
      <c r="K60" s="230">
        <v>0.2</v>
      </c>
      <c r="L60" s="229" t="s">
        <v>1865</v>
      </c>
      <c r="M60" s="229">
        <v>3.814697265625E-6</v>
      </c>
      <c r="N60" s="229" t="s">
        <v>265</v>
      </c>
      <c r="O60" s="229" t="s">
        <v>261</v>
      </c>
      <c r="P60" s="231"/>
    </row>
    <row r="61" spans="1:16" x14ac:dyDescent="0.25">
      <c r="A61" s="227" t="s">
        <v>1924</v>
      </c>
      <c r="B61" s="228" t="s">
        <v>1925</v>
      </c>
      <c r="C61" s="228" t="s">
        <v>277</v>
      </c>
      <c r="D61" s="228" t="s">
        <v>203</v>
      </c>
      <c r="E61" s="229"/>
      <c r="F61" s="229" t="s">
        <v>139</v>
      </c>
      <c r="G61" s="229" t="s">
        <v>82</v>
      </c>
      <c r="H61" s="229"/>
      <c r="I61" s="229" t="b">
        <v>0</v>
      </c>
      <c r="J61" s="229" t="b">
        <v>0</v>
      </c>
      <c r="K61" s="230" t="b">
        <v>1</v>
      </c>
      <c r="L61" s="229" t="s">
        <v>1883</v>
      </c>
      <c r="M61" s="229" t="s">
        <v>1883</v>
      </c>
      <c r="N61" s="229" t="s">
        <v>424</v>
      </c>
      <c r="O61" s="229" t="s">
        <v>501</v>
      </c>
      <c r="P61" s="231"/>
    </row>
    <row r="62" spans="1:16" x14ac:dyDescent="0.25">
      <c r="A62" s="227" t="s">
        <v>1926</v>
      </c>
      <c r="B62" s="228" t="s">
        <v>1925</v>
      </c>
      <c r="C62" s="228" t="s">
        <v>277</v>
      </c>
      <c r="D62" s="228" t="s">
        <v>203</v>
      </c>
      <c r="E62" s="229"/>
      <c r="F62" s="229" t="s">
        <v>139</v>
      </c>
      <c r="G62" s="229" t="s">
        <v>82</v>
      </c>
      <c r="H62" s="229"/>
      <c r="I62" s="229" t="b">
        <v>0</v>
      </c>
      <c r="J62" s="229" t="b">
        <v>0</v>
      </c>
      <c r="K62" s="230" t="b">
        <v>1</v>
      </c>
      <c r="L62" s="229" t="s">
        <v>1883</v>
      </c>
      <c r="M62" s="229" t="s">
        <v>1883</v>
      </c>
      <c r="N62" s="229" t="s">
        <v>424</v>
      </c>
      <c r="O62" s="229" t="s">
        <v>501</v>
      </c>
      <c r="P62" s="231"/>
    </row>
    <row r="63" spans="1:16" x14ac:dyDescent="0.25">
      <c r="A63" s="227" t="s">
        <v>1927</v>
      </c>
      <c r="B63" s="228" t="s">
        <v>1925</v>
      </c>
      <c r="C63" s="228" t="s">
        <v>277</v>
      </c>
      <c r="D63" s="228" t="s">
        <v>203</v>
      </c>
      <c r="E63" s="229"/>
      <c r="F63" s="229" t="s">
        <v>139</v>
      </c>
      <c r="G63" s="229" t="s">
        <v>82</v>
      </c>
      <c r="H63" s="229"/>
      <c r="I63" s="229" t="b">
        <v>0</v>
      </c>
      <c r="J63" s="229" t="b">
        <v>0</v>
      </c>
      <c r="K63" s="230" t="b">
        <v>1</v>
      </c>
      <c r="L63" s="229" t="s">
        <v>1883</v>
      </c>
      <c r="M63" s="229" t="s">
        <v>1883</v>
      </c>
      <c r="N63" s="229" t="s">
        <v>424</v>
      </c>
      <c r="O63" s="229" t="s">
        <v>501</v>
      </c>
      <c r="P63" s="231"/>
    </row>
    <row r="64" spans="1:16" x14ac:dyDescent="0.25">
      <c r="A64" s="227" t="s">
        <v>1928</v>
      </c>
      <c r="B64" s="228" t="s">
        <v>1883</v>
      </c>
      <c r="C64" s="228" t="s">
        <v>277</v>
      </c>
      <c r="D64" s="228" t="s">
        <v>203</v>
      </c>
      <c r="E64" s="229"/>
      <c r="F64" s="229" t="s">
        <v>139</v>
      </c>
      <c r="G64" s="229" t="s">
        <v>82</v>
      </c>
      <c r="H64" s="229"/>
      <c r="I64" s="229">
        <v>0</v>
      </c>
      <c r="J64" s="229">
        <v>0</v>
      </c>
      <c r="K64" s="230">
        <v>4294967295</v>
      </c>
      <c r="L64" s="229">
        <v>1</v>
      </c>
      <c r="M64" s="229">
        <v>1</v>
      </c>
      <c r="N64" s="229" t="s">
        <v>273</v>
      </c>
      <c r="O64" s="229" t="s">
        <v>321</v>
      </c>
      <c r="P64" s="231"/>
    </row>
    <row r="65" spans="1:16" x14ac:dyDescent="0.25">
      <c r="A65" s="227" t="s">
        <v>1929</v>
      </c>
      <c r="B65" s="228" t="s">
        <v>1930</v>
      </c>
      <c r="C65" s="228" t="s">
        <v>277</v>
      </c>
      <c r="D65" s="228" t="s">
        <v>203</v>
      </c>
      <c r="E65" s="229"/>
      <c r="F65" s="229" t="s">
        <v>139</v>
      </c>
      <c r="G65" s="229" t="s">
        <v>82</v>
      </c>
      <c r="H65" s="229"/>
      <c r="I65" s="229" t="b">
        <v>0</v>
      </c>
      <c r="J65" s="229" t="b">
        <v>0</v>
      </c>
      <c r="K65" s="230" t="b">
        <v>1</v>
      </c>
      <c r="L65" s="229" t="s">
        <v>1883</v>
      </c>
      <c r="M65" s="229" t="s">
        <v>1883</v>
      </c>
      <c r="N65" s="229" t="s">
        <v>424</v>
      </c>
      <c r="O65" s="229" t="s">
        <v>501</v>
      </c>
      <c r="P65" s="231"/>
    </row>
    <row r="66" spans="1:16" x14ac:dyDescent="0.25">
      <c r="A66" s="227" t="s">
        <v>1931</v>
      </c>
      <c r="B66" s="228" t="s">
        <v>1932</v>
      </c>
      <c r="C66" s="228" t="s">
        <v>277</v>
      </c>
      <c r="D66" s="228" t="s">
        <v>203</v>
      </c>
      <c r="E66" s="229"/>
      <c r="F66" s="229" t="s">
        <v>139</v>
      </c>
      <c r="G66" s="229" t="s">
        <v>82</v>
      </c>
      <c r="H66" s="229"/>
      <c r="I66" s="229">
        <v>0</v>
      </c>
      <c r="J66" s="229">
        <v>-4</v>
      </c>
      <c r="K66" s="230">
        <v>4</v>
      </c>
      <c r="L66" s="229" t="s">
        <v>1865</v>
      </c>
      <c r="M66" s="229">
        <v>4.8828125E-4</v>
      </c>
      <c r="N66" s="229" t="s">
        <v>265</v>
      </c>
      <c r="O66" s="229" t="s">
        <v>261</v>
      </c>
      <c r="P66" s="231"/>
    </row>
    <row r="67" spans="1:16" x14ac:dyDescent="0.25">
      <c r="A67" s="227" t="s">
        <v>1933</v>
      </c>
      <c r="B67" s="228" t="s">
        <v>1883</v>
      </c>
      <c r="C67" s="228" t="s">
        <v>277</v>
      </c>
      <c r="D67" s="228" t="s">
        <v>203</v>
      </c>
      <c r="E67" s="229"/>
      <c r="F67" s="229" t="s">
        <v>139</v>
      </c>
      <c r="G67" s="229" t="s">
        <v>82</v>
      </c>
      <c r="H67" s="229"/>
      <c r="I67" s="229">
        <v>0</v>
      </c>
      <c r="J67" s="229">
        <v>0</v>
      </c>
      <c r="K67" s="230">
        <v>4294967295</v>
      </c>
      <c r="L67" s="229">
        <v>1</v>
      </c>
      <c r="M67" s="229">
        <v>1</v>
      </c>
      <c r="N67" s="229" t="s">
        <v>273</v>
      </c>
      <c r="O67" s="229" t="s">
        <v>321</v>
      </c>
      <c r="P67" s="231"/>
    </row>
    <row r="68" spans="1:16" x14ac:dyDescent="0.25">
      <c r="A68" s="227" t="s">
        <v>1934</v>
      </c>
      <c r="B68" s="228" t="s">
        <v>1883</v>
      </c>
      <c r="C68" s="228" t="s">
        <v>277</v>
      </c>
      <c r="D68" s="228" t="s">
        <v>203</v>
      </c>
      <c r="E68" s="229"/>
      <c r="F68" s="229" t="s">
        <v>139</v>
      </c>
      <c r="G68" s="229" t="s">
        <v>82</v>
      </c>
      <c r="H68" s="229"/>
      <c r="I68" s="229">
        <v>0</v>
      </c>
      <c r="J68" s="229">
        <v>-8.8000000000000007</v>
      </c>
      <c r="K68" s="230">
        <v>8.8000000000000007</v>
      </c>
      <c r="L68" s="229" t="s">
        <v>1865</v>
      </c>
      <c r="M68" s="229">
        <v>4.8828125E-4</v>
      </c>
      <c r="N68" s="229" t="s">
        <v>265</v>
      </c>
      <c r="O68" s="229" t="s">
        <v>261</v>
      </c>
      <c r="P68" s="231"/>
    </row>
    <row r="69" spans="1:16" x14ac:dyDescent="0.25">
      <c r="A69" s="227" t="s">
        <v>1935</v>
      </c>
      <c r="B69" s="228" t="s">
        <v>1936</v>
      </c>
      <c r="C69" s="228" t="s">
        <v>277</v>
      </c>
      <c r="D69" s="228" t="s">
        <v>203</v>
      </c>
      <c r="E69" s="229"/>
      <c r="F69" s="229" t="s">
        <v>139</v>
      </c>
      <c r="G69" s="229" t="s">
        <v>82</v>
      </c>
      <c r="H69" s="229"/>
      <c r="I69" s="229">
        <v>0</v>
      </c>
      <c r="J69" s="229">
        <v>-4</v>
      </c>
      <c r="K69" s="230">
        <v>4</v>
      </c>
      <c r="L69" s="229" t="s">
        <v>1865</v>
      </c>
      <c r="M69" s="229">
        <v>4.8828125E-4</v>
      </c>
      <c r="N69" s="229" t="s">
        <v>265</v>
      </c>
      <c r="O69" s="229" t="s">
        <v>261</v>
      </c>
      <c r="P69" s="231"/>
    </row>
    <row r="70" spans="1:16" x14ac:dyDescent="0.25">
      <c r="A70" s="227" t="s">
        <v>1937</v>
      </c>
      <c r="B70" s="228" t="s">
        <v>1883</v>
      </c>
      <c r="C70" s="228" t="s">
        <v>277</v>
      </c>
      <c r="D70" s="228" t="s">
        <v>203</v>
      </c>
      <c r="E70" s="229"/>
      <c r="F70" s="229" t="s">
        <v>139</v>
      </c>
      <c r="G70" s="229" t="s">
        <v>82</v>
      </c>
      <c r="H70" s="229"/>
      <c r="I70" s="229">
        <v>0</v>
      </c>
      <c r="J70" s="229">
        <v>-4</v>
      </c>
      <c r="K70" s="230">
        <v>4</v>
      </c>
      <c r="L70" s="229" t="s">
        <v>1865</v>
      </c>
      <c r="M70" s="229">
        <v>4.8828125E-4</v>
      </c>
      <c r="N70" s="229" t="s">
        <v>265</v>
      </c>
      <c r="O70" s="229" t="s">
        <v>261</v>
      </c>
      <c r="P70" s="231"/>
    </row>
    <row r="71" spans="1:16" x14ac:dyDescent="0.25">
      <c r="A71" s="227" t="s">
        <v>1938</v>
      </c>
      <c r="B71" s="228" t="s">
        <v>1883</v>
      </c>
      <c r="C71" s="228" t="s">
        <v>277</v>
      </c>
      <c r="D71" s="228" t="s">
        <v>203</v>
      </c>
      <c r="E71" s="229"/>
      <c r="F71" s="229" t="s">
        <v>139</v>
      </c>
      <c r="G71" s="229" t="s">
        <v>82</v>
      </c>
      <c r="H71" s="229"/>
      <c r="I71" s="229" t="b">
        <v>0</v>
      </c>
      <c r="J71" s="229" t="b">
        <v>0</v>
      </c>
      <c r="K71" s="230" t="b">
        <v>1</v>
      </c>
      <c r="L71" s="229" t="s">
        <v>1883</v>
      </c>
      <c r="M71" s="229" t="s">
        <v>1883</v>
      </c>
      <c r="N71" s="229" t="s">
        <v>424</v>
      </c>
      <c r="O71" s="229" t="s">
        <v>501</v>
      </c>
      <c r="P71" s="231"/>
    </row>
    <row r="72" spans="1:16" x14ac:dyDescent="0.25">
      <c r="A72" s="227" t="s">
        <v>1939</v>
      </c>
      <c r="B72" s="228" t="s">
        <v>1883</v>
      </c>
      <c r="C72" s="228" t="s">
        <v>277</v>
      </c>
      <c r="D72" s="228" t="s">
        <v>203</v>
      </c>
      <c r="E72" s="229"/>
      <c r="F72" s="229" t="s">
        <v>139</v>
      </c>
      <c r="G72" s="229" t="s">
        <v>82</v>
      </c>
      <c r="H72" s="229"/>
      <c r="I72" s="229">
        <v>0</v>
      </c>
      <c r="J72" s="229">
        <v>-4</v>
      </c>
      <c r="K72" s="230">
        <v>4</v>
      </c>
      <c r="L72" s="229" t="s">
        <v>1865</v>
      </c>
      <c r="M72" s="229">
        <v>4.8828125E-4</v>
      </c>
      <c r="N72" s="229" t="s">
        <v>265</v>
      </c>
      <c r="O72" s="229" t="s">
        <v>261</v>
      </c>
      <c r="P72" s="231"/>
    </row>
    <row r="73" spans="1:16" x14ac:dyDescent="0.25">
      <c r="A73" s="227" t="s">
        <v>1940</v>
      </c>
      <c r="B73" s="228" t="s">
        <v>1883</v>
      </c>
      <c r="C73" s="228" t="s">
        <v>277</v>
      </c>
      <c r="D73" s="228" t="s">
        <v>203</v>
      </c>
      <c r="E73" s="229"/>
      <c r="F73" s="229" t="s">
        <v>139</v>
      </c>
      <c r="G73" s="229" t="s">
        <v>82</v>
      </c>
      <c r="H73" s="229"/>
      <c r="I73" s="229" t="b">
        <v>0</v>
      </c>
      <c r="J73" s="229" t="b">
        <v>0</v>
      </c>
      <c r="K73" s="230" t="b">
        <v>1</v>
      </c>
      <c r="L73" s="229" t="s">
        <v>1883</v>
      </c>
      <c r="M73" s="229" t="s">
        <v>1883</v>
      </c>
      <c r="N73" s="229" t="s">
        <v>424</v>
      </c>
      <c r="O73" s="229" t="s">
        <v>501</v>
      </c>
      <c r="P73" s="231"/>
    </row>
    <row r="74" spans="1:16" x14ac:dyDescent="0.25">
      <c r="A74" s="227" t="s">
        <v>1941</v>
      </c>
      <c r="B74" s="228" t="s">
        <v>1883</v>
      </c>
      <c r="C74" s="228" t="s">
        <v>277</v>
      </c>
      <c r="D74" s="228" t="s">
        <v>203</v>
      </c>
      <c r="E74" s="229"/>
      <c r="F74" s="229" t="s">
        <v>139</v>
      </c>
      <c r="G74" s="229" t="s">
        <v>82</v>
      </c>
      <c r="H74" s="229"/>
      <c r="I74" s="229">
        <v>0</v>
      </c>
      <c r="J74" s="229">
        <v>0</v>
      </c>
      <c r="K74" s="230">
        <v>120</v>
      </c>
      <c r="L74" s="229">
        <v>1</v>
      </c>
      <c r="M74" s="229">
        <v>1</v>
      </c>
      <c r="N74" s="229" t="s">
        <v>134</v>
      </c>
      <c r="O74" s="229" t="s">
        <v>267</v>
      </c>
      <c r="P74" s="231"/>
    </row>
    <row r="75" spans="1:16" x14ac:dyDescent="0.25">
      <c r="A75" s="227" t="s">
        <v>1942</v>
      </c>
      <c r="B75" s="228" t="s">
        <v>1883</v>
      </c>
      <c r="C75" s="228" t="s">
        <v>277</v>
      </c>
      <c r="D75" s="228" t="s">
        <v>203</v>
      </c>
      <c r="E75" s="229"/>
      <c r="F75" s="229" t="s">
        <v>139</v>
      </c>
      <c r="G75" s="229" t="s">
        <v>82</v>
      </c>
      <c r="H75" s="229"/>
      <c r="I75" s="229">
        <v>0</v>
      </c>
      <c r="J75" s="229">
        <v>0</v>
      </c>
      <c r="K75" s="230">
        <v>200</v>
      </c>
      <c r="L75" s="229">
        <v>6.25E-2</v>
      </c>
      <c r="M75" s="229">
        <v>6.25E-2</v>
      </c>
      <c r="N75" s="229" t="s">
        <v>651</v>
      </c>
      <c r="O75" s="229" t="s">
        <v>1943</v>
      </c>
      <c r="P75" s="231"/>
    </row>
    <row r="76" spans="1:16" x14ac:dyDescent="0.25">
      <c r="A76" s="227" t="s">
        <v>1944</v>
      </c>
      <c r="B76" s="228" t="s">
        <v>1883</v>
      </c>
      <c r="C76" s="228" t="s">
        <v>277</v>
      </c>
      <c r="D76" s="228" t="s">
        <v>203</v>
      </c>
      <c r="E76" s="229"/>
      <c r="F76" s="229" t="s">
        <v>139</v>
      </c>
      <c r="G76" s="229" t="s">
        <v>82</v>
      </c>
      <c r="H76" s="229"/>
      <c r="I76" s="229">
        <v>0</v>
      </c>
      <c r="J76" s="229">
        <v>0</v>
      </c>
      <c r="K76" s="230">
        <v>200</v>
      </c>
      <c r="L76" s="229">
        <v>6.25E-2</v>
      </c>
      <c r="M76" s="229">
        <v>6.25E-2</v>
      </c>
      <c r="N76" s="229" t="s">
        <v>651</v>
      </c>
      <c r="O76" s="229" t="s">
        <v>1943</v>
      </c>
      <c r="P76" s="231"/>
    </row>
    <row r="77" spans="1:16" x14ac:dyDescent="0.25">
      <c r="A77" s="227" t="s">
        <v>1945</v>
      </c>
      <c r="B77" s="228" t="s">
        <v>1946</v>
      </c>
      <c r="C77" s="228" t="s">
        <v>277</v>
      </c>
      <c r="D77" s="228" t="s">
        <v>203</v>
      </c>
      <c r="E77" s="229"/>
      <c r="F77" s="229" t="s">
        <v>141</v>
      </c>
      <c r="G77" s="229" t="s">
        <v>82</v>
      </c>
      <c r="H77" s="229"/>
      <c r="I77" s="229">
        <v>0</v>
      </c>
      <c r="J77" s="229">
        <v>-10</v>
      </c>
      <c r="K77" s="230">
        <v>10</v>
      </c>
      <c r="L77" s="229" t="s">
        <v>1865</v>
      </c>
      <c r="M77" s="229" t="s">
        <v>1883</v>
      </c>
      <c r="N77" s="229" t="s">
        <v>265</v>
      </c>
      <c r="O77" s="229" t="s">
        <v>261</v>
      </c>
      <c r="P77" s="231"/>
    </row>
    <row r="78" spans="1:16" x14ac:dyDescent="0.25">
      <c r="A78" s="227" t="s">
        <v>1947</v>
      </c>
      <c r="B78" s="228" t="s">
        <v>1948</v>
      </c>
      <c r="C78" s="228" t="s">
        <v>277</v>
      </c>
      <c r="D78" s="228" t="s">
        <v>203</v>
      </c>
      <c r="E78" s="229"/>
      <c r="F78" s="229" t="s">
        <v>141</v>
      </c>
      <c r="G78" s="229" t="s">
        <v>82</v>
      </c>
      <c r="H78" s="229"/>
      <c r="I78" s="229">
        <v>0</v>
      </c>
      <c r="J78" s="229">
        <v>-128</v>
      </c>
      <c r="K78" s="230">
        <v>127.9375</v>
      </c>
      <c r="L78" s="229" t="s">
        <v>1865</v>
      </c>
      <c r="M78" s="229" t="s">
        <v>1883</v>
      </c>
      <c r="N78" s="229" t="s">
        <v>290</v>
      </c>
      <c r="O78" s="229" t="s">
        <v>261</v>
      </c>
      <c r="P78" s="231"/>
    </row>
    <row r="79" spans="1:16" x14ac:dyDescent="0.25">
      <c r="A79" s="227" t="s">
        <v>1949</v>
      </c>
      <c r="B79" s="228" t="s">
        <v>1950</v>
      </c>
      <c r="C79" s="228" t="s">
        <v>277</v>
      </c>
      <c r="D79" s="228" t="s">
        <v>203</v>
      </c>
      <c r="E79" s="229"/>
      <c r="F79" s="229" t="s">
        <v>141</v>
      </c>
      <c r="G79" s="229" t="s">
        <v>82</v>
      </c>
      <c r="H79" s="229"/>
      <c r="I79" s="229">
        <v>0</v>
      </c>
      <c r="J79" s="229">
        <v>-10</v>
      </c>
      <c r="K79" s="230">
        <v>10</v>
      </c>
      <c r="L79" s="229" t="s">
        <v>1865</v>
      </c>
      <c r="M79" s="229" t="s">
        <v>1883</v>
      </c>
      <c r="N79" s="229" t="s">
        <v>265</v>
      </c>
      <c r="O79" s="229" t="s">
        <v>261</v>
      </c>
      <c r="P79" s="231"/>
    </row>
    <row r="80" spans="1:16" x14ac:dyDescent="0.25">
      <c r="A80" s="227" t="s">
        <v>1951</v>
      </c>
      <c r="B80" s="228" t="s">
        <v>1952</v>
      </c>
      <c r="C80" s="228" t="s">
        <v>277</v>
      </c>
      <c r="D80" s="228" t="s">
        <v>203</v>
      </c>
      <c r="E80" s="229"/>
      <c r="F80" s="229" t="s">
        <v>141</v>
      </c>
      <c r="G80" s="229" t="s">
        <v>82</v>
      </c>
      <c r="H80" s="229"/>
      <c r="I80" s="229">
        <v>0</v>
      </c>
      <c r="J80" s="229">
        <v>1.3499999999999999E-5</v>
      </c>
      <c r="K80" s="230">
        <v>5.4000000000000001E-4</v>
      </c>
      <c r="L80" s="229" t="s">
        <v>1865</v>
      </c>
      <c r="M80" s="229" t="s">
        <v>1883</v>
      </c>
      <c r="N80" s="229" t="s">
        <v>300</v>
      </c>
      <c r="O80" s="229" t="s">
        <v>261</v>
      </c>
      <c r="P80" s="231"/>
    </row>
    <row r="81" spans="1:16" x14ac:dyDescent="0.25">
      <c r="A81" s="227" t="s">
        <v>1953</v>
      </c>
      <c r="B81" s="228" t="s">
        <v>1954</v>
      </c>
      <c r="C81" s="228" t="s">
        <v>277</v>
      </c>
      <c r="D81" s="228" t="s">
        <v>203</v>
      </c>
      <c r="E81" s="229"/>
      <c r="F81" s="229" t="s">
        <v>141</v>
      </c>
      <c r="G81" s="229" t="s">
        <v>82</v>
      </c>
      <c r="H81" s="229"/>
      <c r="I81" s="229" t="b">
        <v>0</v>
      </c>
      <c r="J81" s="229" t="b">
        <v>0</v>
      </c>
      <c r="K81" s="230" t="b">
        <v>1</v>
      </c>
      <c r="L81" s="229" t="s">
        <v>1883</v>
      </c>
      <c r="M81" s="229" t="s">
        <v>1883</v>
      </c>
      <c r="N81" s="229" t="s">
        <v>424</v>
      </c>
      <c r="O81" s="229" t="s">
        <v>501</v>
      </c>
      <c r="P81" s="231"/>
    </row>
    <row r="82" spans="1:16" x14ac:dyDescent="0.25">
      <c r="A82" s="227" t="s">
        <v>1955</v>
      </c>
      <c r="B82" s="228" t="s">
        <v>1956</v>
      </c>
      <c r="C82" s="228" t="s">
        <v>277</v>
      </c>
      <c r="D82" s="228" t="s">
        <v>203</v>
      </c>
      <c r="E82" s="229"/>
      <c r="F82" s="229" t="s">
        <v>141</v>
      </c>
      <c r="G82" s="229" t="s">
        <v>82</v>
      </c>
      <c r="H82" s="229"/>
      <c r="I82" s="229">
        <v>0</v>
      </c>
      <c r="J82" s="229">
        <v>-14</v>
      </c>
      <c r="K82" s="230">
        <v>14</v>
      </c>
      <c r="L82" s="229" t="s">
        <v>1865</v>
      </c>
      <c r="M82" s="229" t="s">
        <v>1883</v>
      </c>
      <c r="N82" s="229" t="s">
        <v>265</v>
      </c>
      <c r="O82" s="229" t="s">
        <v>261</v>
      </c>
      <c r="P82" s="231"/>
    </row>
    <row r="83" spans="1:16" x14ac:dyDescent="0.25">
      <c r="A83" s="227" t="s">
        <v>1957</v>
      </c>
      <c r="B83" s="228"/>
      <c r="C83" s="228" t="s">
        <v>277</v>
      </c>
      <c r="D83" s="228" t="s">
        <v>203</v>
      </c>
      <c r="E83" s="229"/>
      <c r="F83" s="229" t="s">
        <v>139</v>
      </c>
      <c r="G83" s="229" t="s">
        <v>82</v>
      </c>
      <c r="H83" s="229"/>
      <c r="I83" s="229">
        <v>0</v>
      </c>
      <c r="J83" s="229">
        <v>0</v>
      </c>
      <c r="K83" s="230">
        <v>511</v>
      </c>
      <c r="L83" s="229" t="s">
        <v>1865</v>
      </c>
      <c r="M83" s="229" t="s">
        <v>1883</v>
      </c>
      <c r="N83" s="229" t="s">
        <v>311</v>
      </c>
      <c r="O83" s="229" t="s">
        <v>261</v>
      </c>
      <c r="P83" s="231"/>
    </row>
    <row r="84" spans="1:16" x14ac:dyDescent="0.25">
      <c r="A84" s="227" t="s">
        <v>1958</v>
      </c>
      <c r="B84" s="228"/>
      <c r="C84" s="228" t="s">
        <v>277</v>
      </c>
      <c r="D84" s="228" t="s">
        <v>203</v>
      </c>
      <c r="E84" s="229"/>
      <c r="F84" s="229" t="s">
        <v>139</v>
      </c>
      <c r="G84" s="229" t="s">
        <v>82</v>
      </c>
      <c r="H84" s="229"/>
      <c r="I84" s="229">
        <v>0</v>
      </c>
      <c r="J84" s="229">
        <v>-5110</v>
      </c>
      <c r="K84" s="230">
        <v>5110</v>
      </c>
      <c r="L84" s="229" t="s">
        <v>1865</v>
      </c>
      <c r="M84" s="229" t="s">
        <v>1883</v>
      </c>
      <c r="N84" s="229" t="s">
        <v>307</v>
      </c>
      <c r="O84" s="229" t="s">
        <v>261</v>
      </c>
      <c r="P84" s="231"/>
    </row>
    <row r="85" spans="1:16" ht="26.4" x14ac:dyDescent="0.25">
      <c r="A85" s="227" t="s">
        <v>1959</v>
      </c>
      <c r="B85" s="228"/>
      <c r="C85" s="228" t="s">
        <v>277</v>
      </c>
      <c r="D85" s="228" t="s">
        <v>203</v>
      </c>
      <c r="E85" s="229"/>
      <c r="F85" s="229" t="s">
        <v>139</v>
      </c>
      <c r="G85" s="229" t="s">
        <v>82</v>
      </c>
      <c r="H85" s="229"/>
      <c r="I85" s="229"/>
      <c r="J85" s="229"/>
      <c r="K85" s="230"/>
      <c r="L85" s="229"/>
      <c r="M85" s="229"/>
      <c r="N85" s="229"/>
      <c r="O85" s="229" t="s">
        <v>1960</v>
      </c>
      <c r="P85" s="231" t="s">
        <v>1961</v>
      </c>
    </row>
    <row r="86" spans="1:16" x14ac:dyDescent="0.25">
      <c r="A86" s="227" t="s">
        <v>1962</v>
      </c>
      <c r="B86" s="228"/>
      <c r="C86" s="228" t="s">
        <v>277</v>
      </c>
      <c r="D86" s="228" t="s">
        <v>203</v>
      </c>
      <c r="E86" s="229"/>
      <c r="F86" s="229" t="s">
        <v>139</v>
      </c>
      <c r="G86" s="229" t="s">
        <v>82</v>
      </c>
      <c r="H86" s="229"/>
      <c r="I86" s="229">
        <v>0.22223232082821098</v>
      </c>
      <c r="J86" s="229">
        <v>1.2558479999999999E-3</v>
      </c>
      <c r="K86" s="230">
        <v>0.71539045700000004</v>
      </c>
      <c r="L86" s="229" t="s">
        <v>1865</v>
      </c>
      <c r="M86" s="229">
        <v>1.255847823713574E-3</v>
      </c>
      <c r="N86" s="229" t="s">
        <v>262</v>
      </c>
      <c r="O86" s="229" t="s">
        <v>261</v>
      </c>
      <c r="P86" s="231"/>
    </row>
    <row r="87" spans="1:16" x14ac:dyDescent="0.25">
      <c r="A87" s="227" t="s">
        <v>1963</v>
      </c>
      <c r="B87" s="228"/>
      <c r="C87" s="228" t="s">
        <v>277</v>
      </c>
      <c r="D87" s="228" t="s">
        <v>203</v>
      </c>
      <c r="E87" s="229"/>
      <c r="F87" s="229" t="s">
        <v>139</v>
      </c>
      <c r="G87" s="229" t="s">
        <v>82</v>
      </c>
      <c r="H87" s="229"/>
      <c r="I87" s="229">
        <v>0</v>
      </c>
      <c r="J87" s="229">
        <v>-10</v>
      </c>
      <c r="K87" s="230">
        <v>10</v>
      </c>
      <c r="L87" s="229" t="s">
        <v>1865</v>
      </c>
      <c r="M87" s="229">
        <v>4.8828125E-4</v>
      </c>
      <c r="N87" s="229" t="s">
        <v>265</v>
      </c>
      <c r="O87" s="229" t="s">
        <v>261</v>
      </c>
      <c r="P87" s="231"/>
    </row>
    <row r="88" spans="1:16" ht="26.4" x14ac:dyDescent="0.25">
      <c r="A88" s="227" t="s">
        <v>1964</v>
      </c>
      <c r="B88" s="228"/>
      <c r="C88" s="228" t="s">
        <v>277</v>
      </c>
      <c r="D88" s="228" t="s">
        <v>203</v>
      </c>
      <c r="E88" s="229"/>
      <c r="F88" s="229" t="s">
        <v>139</v>
      </c>
      <c r="G88" s="229" t="s">
        <v>82</v>
      </c>
      <c r="H88" s="229"/>
      <c r="I88" s="229"/>
      <c r="J88" s="229"/>
      <c r="K88" s="230"/>
      <c r="L88" s="229"/>
      <c r="M88" s="229"/>
      <c r="N88" s="229"/>
      <c r="O88" s="229" t="s">
        <v>1960</v>
      </c>
      <c r="P88" s="231" t="s">
        <v>1961</v>
      </c>
    </row>
    <row r="89" spans="1:16" x14ac:dyDescent="0.25">
      <c r="A89" s="227" t="s">
        <v>1965</v>
      </c>
      <c r="B89" s="228"/>
      <c r="C89" s="228" t="s">
        <v>277</v>
      </c>
      <c r="D89" s="228" t="s">
        <v>203</v>
      </c>
      <c r="E89" s="229"/>
      <c r="F89" s="229" t="s">
        <v>139</v>
      </c>
      <c r="G89" s="229" t="s">
        <v>82</v>
      </c>
      <c r="H89" s="229"/>
      <c r="I89" s="229">
        <v>6.2634873752217546E-3</v>
      </c>
      <c r="J89" s="229">
        <v>1.2558479999999999E-3</v>
      </c>
      <c r="K89" s="230">
        <v>0.71539045700000004</v>
      </c>
      <c r="L89" s="229" t="s">
        <v>1865</v>
      </c>
      <c r="M89" s="229">
        <v>1.2565581079082566E-4</v>
      </c>
      <c r="N89" s="229" t="s">
        <v>262</v>
      </c>
      <c r="O89" s="229" t="s">
        <v>261</v>
      </c>
      <c r="P89" s="231"/>
    </row>
    <row r="90" spans="1:16" ht="20.399999999999999" x14ac:dyDescent="0.25">
      <c r="A90" s="227" t="s">
        <v>1966</v>
      </c>
      <c r="B90" s="228"/>
      <c r="C90" s="228" t="s">
        <v>277</v>
      </c>
      <c r="D90" s="228" t="s">
        <v>203</v>
      </c>
      <c r="E90" s="229"/>
      <c r="F90" s="229" t="s">
        <v>139</v>
      </c>
      <c r="G90" s="229" t="s">
        <v>82</v>
      </c>
      <c r="H90" s="229"/>
      <c r="I90" s="229">
        <v>0</v>
      </c>
      <c r="J90" s="229">
        <v>-10</v>
      </c>
      <c r="K90" s="230">
        <v>10</v>
      </c>
      <c r="L90" s="229" t="s">
        <v>1865</v>
      </c>
      <c r="M90" s="229">
        <v>4.8828125E-4</v>
      </c>
      <c r="N90" s="229" t="s">
        <v>265</v>
      </c>
      <c r="O90" s="229" t="s">
        <v>261</v>
      </c>
      <c r="P90" s="231"/>
    </row>
    <row r="91" spans="1:16" ht="26.4" x14ac:dyDescent="0.25">
      <c r="A91" s="227" t="s">
        <v>1967</v>
      </c>
      <c r="B91" s="228"/>
      <c r="C91" s="228" t="s">
        <v>277</v>
      </c>
      <c r="D91" s="228" t="s">
        <v>203</v>
      </c>
      <c r="E91" s="229"/>
      <c r="F91" s="229" t="s">
        <v>139</v>
      </c>
      <c r="G91" s="229" t="s">
        <v>82</v>
      </c>
      <c r="H91" s="229"/>
      <c r="I91" s="229"/>
      <c r="J91" s="229"/>
      <c r="K91" s="230"/>
      <c r="L91" s="229"/>
      <c r="M91" s="229"/>
      <c r="N91" s="229"/>
      <c r="O91" s="229" t="s">
        <v>1960</v>
      </c>
      <c r="P91" s="231" t="s">
        <v>1961</v>
      </c>
    </row>
    <row r="92" spans="1:16" x14ac:dyDescent="0.25">
      <c r="A92" s="227" t="s">
        <v>1968</v>
      </c>
      <c r="B92" s="228"/>
      <c r="C92" s="228" t="s">
        <v>277</v>
      </c>
      <c r="D92" s="228" t="s">
        <v>203</v>
      </c>
      <c r="E92" s="229"/>
      <c r="F92" s="229" t="s">
        <v>139</v>
      </c>
      <c r="G92" s="229" t="s">
        <v>82</v>
      </c>
      <c r="H92" s="229"/>
      <c r="I92" s="229">
        <v>0.26959730895135436</v>
      </c>
      <c r="J92" s="229">
        <v>6.2634869999999999E-3</v>
      </c>
      <c r="K92" s="230">
        <v>1</v>
      </c>
      <c r="L92" s="229" t="s">
        <v>1865</v>
      </c>
      <c r="M92" s="229">
        <v>6.2634873752217546E-3</v>
      </c>
      <c r="N92" s="229" t="s">
        <v>262</v>
      </c>
      <c r="O92" s="229" t="s">
        <v>261</v>
      </c>
      <c r="P92" s="231"/>
    </row>
    <row r="93" spans="1:16" ht="20.399999999999999" x14ac:dyDescent="0.25">
      <c r="A93" s="227" t="s">
        <v>1969</v>
      </c>
      <c r="B93" s="228"/>
      <c r="C93" s="228" t="s">
        <v>277</v>
      </c>
      <c r="D93" s="228" t="s">
        <v>203</v>
      </c>
      <c r="E93" s="229"/>
      <c r="F93" s="229" t="s">
        <v>139</v>
      </c>
      <c r="G93" s="229" t="s">
        <v>82</v>
      </c>
      <c r="H93" s="229"/>
      <c r="I93" s="229">
        <v>0</v>
      </c>
      <c r="J93" s="229">
        <v>-14</v>
      </c>
      <c r="K93" s="230">
        <v>14</v>
      </c>
      <c r="L93" s="229" t="s">
        <v>1865</v>
      </c>
      <c r="M93" s="229">
        <v>4.8828125E-4</v>
      </c>
      <c r="N93" s="229" t="s">
        <v>265</v>
      </c>
      <c r="O93" s="229" t="s">
        <v>261</v>
      </c>
      <c r="P93" s="231"/>
    </row>
    <row r="94" spans="1:16" ht="26.4" x14ac:dyDescent="0.25">
      <c r="A94" s="227" t="s">
        <v>1970</v>
      </c>
      <c r="B94" s="228"/>
      <c r="C94" s="228" t="s">
        <v>277</v>
      </c>
      <c r="D94" s="228" t="s">
        <v>203</v>
      </c>
      <c r="E94" s="229"/>
      <c r="F94" s="229" t="s">
        <v>139</v>
      </c>
      <c r="G94" s="229" t="s">
        <v>82</v>
      </c>
      <c r="H94" s="229"/>
      <c r="I94" s="229"/>
      <c r="J94" s="229"/>
      <c r="K94" s="230"/>
      <c r="L94" s="229"/>
      <c r="M94" s="229"/>
      <c r="N94" s="229"/>
      <c r="O94" s="229" t="s">
        <v>1960</v>
      </c>
      <c r="P94" s="231" t="s">
        <v>1961</v>
      </c>
    </row>
    <row r="95" spans="1:16" ht="20.399999999999999" x14ac:dyDescent="0.25">
      <c r="A95" s="227" t="s">
        <v>1971</v>
      </c>
      <c r="B95" s="228"/>
      <c r="C95" s="228" t="s">
        <v>277</v>
      </c>
      <c r="D95" s="228" t="s">
        <v>203</v>
      </c>
      <c r="E95" s="229"/>
      <c r="F95" s="229" t="s">
        <v>139</v>
      </c>
      <c r="G95" s="229" t="s">
        <v>82</v>
      </c>
      <c r="H95" s="229"/>
      <c r="I95" s="229">
        <v>3.6997346603025116E-2</v>
      </c>
      <c r="J95" s="229">
        <v>1.2558479999999999E-3</v>
      </c>
      <c r="K95" s="230">
        <v>0.71539045700000004</v>
      </c>
      <c r="L95" s="229" t="s">
        <v>1865</v>
      </c>
      <c r="M95" s="229">
        <v>1.255847823713574E-3</v>
      </c>
      <c r="N95" s="229" t="s">
        <v>262</v>
      </c>
      <c r="O95" s="229" t="s">
        <v>261</v>
      </c>
      <c r="P95" s="231"/>
    </row>
    <row r="96" spans="1:16" ht="20.399999999999999" x14ac:dyDescent="0.25">
      <c r="A96" s="227" t="s">
        <v>1972</v>
      </c>
      <c r="B96" s="228"/>
      <c r="C96" s="228" t="s">
        <v>277</v>
      </c>
      <c r="D96" s="228" t="s">
        <v>203</v>
      </c>
      <c r="E96" s="229"/>
      <c r="F96" s="229" t="s">
        <v>139</v>
      </c>
      <c r="G96" s="229" t="s">
        <v>82</v>
      </c>
      <c r="H96" s="229"/>
      <c r="I96" s="229">
        <v>0</v>
      </c>
      <c r="J96" s="229">
        <v>-128</v>
      </c>
      <c r="K96" s="230">
        <v>127.9375</v>
      </c>
      <c r="L96" s="229" t="s">
        <v>1865</v>
      </c>
      <c r="M96" s="229">
        <v>3.90625E-3</v>
      </c>
      <c r="N96" s="229" t="s">
        <v>290</v>
      </c>
      <c r="O96" s="229" t="s">
        <v>261</v>
      </c>
      <c r="P96" s="231"/>
    </row>
    <row r="97" spans="1:16" x14ac:dyDescent="0.25">
      <c r="A97" s="227" t="s">
        <v>5009</v>
      </c>
      <c r="B97" s="228"/>
      <c r="C97" s="228" t="s">
        <v>381</v>
      </c>
      <c r="D97" s="228" t="s">
        <v>185</v>
      </c>
      <c r="E97" s="229"/>
      <c r="F97" s="229" t="s">
        <v>138</v>
      </c>
      <c r="G97" s="229" t="s">
        <v>82</v>
      </c>
      <c r="H97" s="229"/>
      <c r="I97" s="229">
        <v>0</v>
      </c>
      <c r="J97" s="229">
        <v>0</v>
      </c>
      <c r="K97" s="230">
        <v>255</v>
      </c>
      <c r="L97" s="229">
        <v>1</v>
      </c>
      <c r="M97" s="229">
        <v>1</v>
      </c>
      <c r="N97" s="229" t="s">
        <v>271</v>
      </c>
      <c r="O97" s="229" t="s">
        <v>267</v>
      </c>
      <c r="P97" s="231"/>
    </row>
    <row r="98" spans="1:16" x14ac:dyDescent="0.25">
      <c r="A98" s="227" t="s">
        <v>5010</v>
      </c>
      <c r="B98" s="228"/>
      <c r="C98" s="228" t="s">
        <v>381</v>
      </c>
      <c r="D98" s="228" t="s">
        <v>185</v>
      </c>
      <c r="E98" s="229"/>
      <c r="F98" s="229" t="s">
        <v>138</v>
      </c>
      <c r="G98" s="229" t="s">
        <v>82</v>
      </c>
      <c r="H98" s="229"/>
      <c r="I98" s="229">
        <v>0</v>
      </c>
      <c r="J98" s="229">
        <v>0</v>
      </c>
      <c r="K98" s="230">
        <v>255</v>
      </c>
      <c r="L98" s="229">
        <v>1</v>
      </c>
      <c r="M98" s="229">
        <v>1</v>
      </c>
      <c r="N98" s="229" t="s">
        <v>271</v>
      </c>
      <c r="O98" s="229" t="s">
        <v>267</v>
      </c>
      <c r="P98" s="231"/>
    </row>
    <row r="99" spans="1:16" ht="26.4" x14ac:dyDescent="0.25">
      <c r="A99" s="227" t="s">
        <v>1872</v>
      </c>
      <c r="B99" s="228" t="s">
        <v>1885</v>
      </c>
      <c r="C99" s="228" t="s">
        <v>388</v>
      </c>
      <c r="D99" s="228"/>
      <c r="E99" s="229" t="s">
        <v>1973</v>
      </c>
      <c r="F99" s="229" t="s">
        <v>136</v>
      </c>
      <c r="G99" s="229"/>
      <c r="H99" s="229"/>
      <c r="I99" s="229">
        <v>0</v>
      </c>
      <c r="J99" s="229">
        <v>-10</v>
      </c>
      <c r="K99" s="230">
        <v>10</v>
      </c>
      <c r="L99" s="229" t="s">
        <v>1865</v>
      </c>
      <c r="M99" s="229"/>
      <c r="N99" s="229" t="s">
        <v>265</v>
      </c>
      <c r="O99" s="229" t="s">
        <v>261</v>
      </c>
      <c r="P99" s="231"/>
    </row>
    <row r="100" spans="1:16" ht="66" x14ac:dyDescent="0.25">
      <c r="A100" s="227" t="s">
        <v>1974</v>
      </c>
      <c r="B100" s="228" t="s">
        <v>1975</v>
      </c>
      <c r="C100" s="228" t="s">
        <v>388</v>
      </c>
      <c r="D100" s="228"/>
      <c r="E100" s="229" t="s">
        <v>1976</v>
      </c>
      <c r="F100" s="229" t="s">
        <v>136</v>
      </c>
      <c r="G100" s="229"/>
      <c r="H100" s="229"/>
      <c r="I100" s="229">
        <v>0</v>
      </c>
      <c r="J100" s="229">
        <v>-10</v>
      </c>
      <c r="K100" s="230">
        <v>10</v>
      </c>
      <c r="L100" s="229" t="s">
        <v>1865</v>
      </c>
      <c r="M100" s="229"/>
      <c r="N100" s="229" t="s">
        <v>265</v>
      </c>
      <c r="O100" s="229" t="s">
        <v>261</v>
      </c>
      <c r="P100" s="231"/>
    </row>
    <row r="101" spans="1:16" ht="79.2" x14ac:dyDescent="0.25">
      <c r="A101" s="227" t="s">
        <v>1977</v>
      </c>
      <c r="B101" s="228" t="s">
        <v>1978</v>
      </c>
      <c r="C101" s="228" t="s">
        <v>388</v>
      </c>
      <c r="D101" s="228"/>
      <c r="E101" s="229" t="s">
        <v>1979</v>
      </c>
      <c r="F101" s="229" t="s">
        <v>136</v>
      </c>
      <c r="G101" s="229"/>
      <c r="H101" s="229"/>
      <c r="I101" s="229">
        <v>1</v>
      </c>
      <c r="J101" s="229">
        <v>0</v>
      </c>
      <c r="K101" s="230">
        <v>1</v>
      </c>
      <c r="L101" s="229" t="s">
        <v>1865</v>
      </c>
      <c r="M101" s="229"/>
      <c r="N101" s="229" t="s">
        <v>260</v>
      </c>
      <c r="O101" s="229" t="s">
        <v>261</v>
      </c>
      <c r="P101" s="231"/>
    </row>
    <row r="102" spans="1:16" ht="79.2" x14ac:dyDescent="0.25">
      <c r="A102" s="227" t="s">
        <v>1980</v>
      </c>
      <c r="B102" s="228" t="s">
        <v>1876</v>
      </c>
      <c r="C102" s="228" t="s">
        <v>388</v>
      </c>
      <c r="D102" s="228"/>
      <c r="E102" s="229" t="s">
        <v>1981</v>
      </c>
      <c r="F102" s="229" t="s">
        <v>136</v>
      </c>
      <c r="G102" s="229"/>
      <c r="H102" s="229" t="s">
        <v>1982</v>
      </c>
      <c r="I102" s="229">
        <v>0</v>
      </c>
      <c r="J102" s="229">
        <v>0</v>
      </c>
      <c r="K102" s="230">
        <v>511.9921875</v>
      </c>
      <c r="L102" s="229" t="s">
        <v>1865</v>
      </c>
      <c r="M102" s="229"/>
      <c r="N102" s="229" t="s">
        <v>311</v>
      </c>
      <c r="O102" s="229" t="s">
        <v>261</v>
      </c>
      <c r="P102" s="231"/>
    </row>
    <row r="103" spans="1:16" ht="66" x14ac:dyDescent="0.25">
      <c r="A103" s="227" t="s">
        <v>1983</v>
      </c>
      <c r="B103" s="228" t="s">
        <v>1984</v>
      </c>
      <c r="C103" s="228" t="s">
        <v>388</v>
      </c>
      <c r="D103" s="228"/>
      <c r="E103" s="229" t="s">
        <v>1985</v>
      </c>
      <c r="F103" s="229" t="s">
        <v>136</v>
      </c>
      <c r="G103" s="229"/>
      <c r="H103" s="229" t="s">
        <v>1986</v>
      </c>
      <c r="I103" s="229">
        <v>0</v>
      </c>
      <c r="J103" s="229">
        <v>0</v>
      </c>
      <c r="K103" s="230">
        <v>200</v>
      </c>
      <c r="L103" s="229" t="s">
        <v>1865</v>
      </c>
      <c r="M103" s="229"/>
      <c r="N103" s="229" t="s">
        <v>271</v>
      </c>
      <c r="O103" s="229" t="s">
        <v>261</v>
      </c>
      <c r="P103" s="231"/>
    </row>
    <row r="104" spans="1:16" ht="52.8" x14ac:dyDescent="0.25">
      <c r="A104" s="227" t="s">
        <v>1987</v>
      </c>
      <c r="B104" s="228" t="s">
        <v>1988</v>
      </c>
      <c r="C104" s="228" t="s">
        <v>388</v>
      </c>
      <c r="D104" s="228"/>
      <c r="E104" s="229" t="s">
        <v>1989</v>
      </c>
      <c r="F104" s="229" t="s">
        <v>136</v>
      </c>
      <c r="G104" s="229"/>
      <c r="H104" s="229"/>
      <c r="I104" s="229">
        <v>0</v>
      </c>
      <c r="J104" s="229">
        <v>-10</v>
      </c>
      <c r="K104" s="230">
        <v>10</v>
      </c>
      <c r="L104" s="229" t="s">
        <v>1865</v>
      </c>
      <c r="M104" s="229"/>
      <c r="N104" s="229" t="s">
        <v>265</v>
      </c>
      <c r="O104" s="229" t="s">
        <v>261</v>
      </c>
      <c r="P104" s="231"/>
    </row>
    <row r="105" spans="1:16" ht="39.6" x14ac:dyDescent="0.25">
      <c r="A105" s="227" t="s">
        <v>1990</v>
      </c>
      <c r="B105" s="228" t="s">
        <v>1991</v>
      </c>
      <c r="C105" s="228" t="s">
        <v>388</v>
      </c>
      <c r="D105" s="228"/>
      <c r="E105" s="229" t="s">
        <v>1992</v>
      </c>
      <c r="F105" s="229" t="s">
        <v>136</v>
      </c>
      <c r="G105" s="229"/>
      <c r="H105" s="229"/>
      <c r="I105" s="229">
        <v>0</v>
      </c>
      <c r="J105" s="229">
        <v>0</v>
      </c>
      <c r="K105" s="230">
        <v>8</v>
      </c>
      <c r="L105" s="229" t="s">
        <v>1865</v>
      </c>
      <c r="M105" s="229"/>
      <c r="N105" s="229" t="s">
        <v>256</v>
      </c>
      <c r="O105" s="229" t="s">
        <v>261</v>
      </c>
      <c r="P105" s="231"/>
    </row>
    <row r="106" spans="1:16" ht="79.2" x14ac:dyDescent="0.25">
      <c r="A106" s="227" t="s">
        <v>1993</v>
      </c>
      <c r="B106" s="228" t="s">
        <v>1994</v>
      </c>
      <c r="C106" s="228" t="s">
        <v>388</v>
      </c>
      <c r="D106" s="228"/>
      <c r="E106" s="229" t="s">
        <v>1995</v>
      </c>
      <c r="F106" s="229" t="s">
        <v>136</v>
      </c>
      <c r="G106" s="229"/>
      <c r="H106" s="229"/>
      <c r="I106" s="229" t="b">
        <v>0</v>
      </c>
      <c r="J106" s="229" t="b">
        <v>0</v>
      </c>
      <c r="K106" s="230" t="b">
        <v>1</v>
      </c>
      <c r="L106" s="229" t="s">
        <v>929</v>
      </c>
      <c r="M106" s="229"/>
      <c r="N106" s="229" t="s">
        <v>271</v>
      </c>
      <c r="O106" s="229" t="s">
        <v>501</v>
      </c>
      <c r="P106" s="231"/>
    </row>
    <row r="107" spans="1:16" ht="118.8" x14ac:dyDescent="0.25">
      <c r="A107" s="227" t="s">
        <v>1996</v>
      </c>
      <c r="B107" s="228" t="s">
        <v>1997</v>
      </c>
      <c r="C107" s="228" t="s">
        <v>388</v>
      </c>
      <c r="D107" s="228"/>
      <c r="E107" s="229" t="s">
        <v>1998</v>
      </c>
      <c r="F107" s="229" t="s">
        <v>136</v>
      </c>
      <c r="G107" s="229"/>
      <c r="H107" s="229"/>
      <c r="I107" s="229">
        <v>0</v>
      </c>
      <c r="J107" s="229">
        <v>-16</v>
      </c>
      <c r="K107" s="230">
        <v>15.99951171875</v>
      </c>
      <c r="L107" s="229" t="s">
        <v>1865</v>
      </c>
      <c r="M107" s="229"/>
      <c r="N107" s="229" t="s">
        <v>260</v>
      </c>
      <c r="O107" s="229" t="s">
        <v>261</v>
      </c>
      <c r="P107" s="231"/>
    </row>
    <row r="108" spans="1:16" ht="118.8" x14ac:dyDescent="0.25">
      <c r="A108" s="227" t="s">
        <v>1999</v>
      </c>
      <c r="B108" s="228" t="s">
        <v>2000</v>
      </c>
      <c r="C108" s="228" t="s">
        <v>388</v>
      </c>
      <c r="D108" s="228"/>
      <c r="E108" s="229" t="s">
        <v>1998</v>
      </c>
      <c r="F108" s="229" t="s">
        <v>136</v>
      </c>
      <c r="G108" s="229"/>
      <c r="H108" s="229"/>
      <c r="I108" s="229">
        <v>1</v>
      </c>
      <c r="J108" s="229">
        <v>1</v>
      </c>
      <c r="K108" s="230">
        <v>2</v>
      </c>
      <c r="L108" s="229" t="s">
        <v>1865</v>
      </c>
      <c r="M108" s="229"/>
      <c r="N108" s="229" t="s">
        <v>260</v>
      </c>
      <c r="O108" s="229" t="s">
        <v>261</v>
      </c>
      <c r="P108" s="231"/>
    </row>
    <row r="109" spans="1:16" ht="66" x14ac:dyDescent="0.25">
      <c r="A109" s="227" t="s">
        <v>2001</v>
      </c>
      <c r="B109" s="228" t="s">
        <v>2002</v>
      </c>
      <c r="C109" s="228" t="s">
        <v>388</v>
      </c>
      <c r="D109" s="228" t="s">
        <v>189</v>
      </c>
      <c r="E109" s="229" t="s">
        <v>2003</v>
      </c>
      <c r="F109" s="229" t="s">
        <v>138</v>
      </c>
      <c r="G109" s="229"/>
      <c r="H109" s="229"/>
      <c r="I109" s="229">
        <v>0</v>
      </c>
      <c r="J109" s="229">
        <v>-8.8000000000000007</v>
      </c>
      <c r="K109" s="230">
        <v>8.8000000000000007</v>
      </c>
      <c r="L109" s="229" t="s">
        <v>1865</v>
      </c>
      <c r="M109" s="229">
        <v>4.8000000000000001E-4</v>
      </c>
      <c r="N109" s="229" t="s">
        <v>256</v>
      </c>
      <c r="O109" s="229" t="s">
        <v>261</v>
      </c>
      <c r="P109" s="231"/>
    </row>
    <row r="110" spans="1:16" x14ac:dyDescent="0.25">
      <c r="A110" s="227" t="s">
        <v>2004</v>
      </c>
      <c r="B110" s="228" t="s">
        <v>2005</v>
      </c>
      <c r="C110" s="228" t="s">
        <v>388</v>
      </c>
      <c r="D110" s="228" t="s">
        <v>189</v>
      </c>
      <c r="E110" s="229"/>
      <c r="F110" s="229" t="s">
        <v>141</v>
      </c>
      <c r="G110" s="229"/>
      <c r="H110" s="229"/>
      <c r="I110" s="229">
        <v>0</v>
      </c>
      <c r="J110" s="229">
        <v>0</v>
      </c>
      <c r="K110" s="230">
        <v>1</v>
      </c>
      <c r="L110" s="229">
        <v>6.103515625E-5</v>
      </c>
      <c r="M110" s="229">
        <v>6.103515625E-5</v>
      </c>
      <c r="N110" s="229" t="s">
        <v>300</v>
      </c>
      <c r="O110" s="229" t="s">
        <v>374</v>
      </c>
      <c r="P110" s="231"/>
    </row>
    <row r="111" spans="1:16" x14ac:dyDescent="0.25">
      <c r="A111" s="227" t="s">
        <v>2006</v>
      </c>
      <c r="B111" s="228" t="s">
        <v>2007</v>
      </c>
      <c r="C111" s="228" t="s">
        <v>388</v>
      </c>
      <c r="D111" s="228" t="s">
        <v>189</v>
      </c>
      <c r="E111" s="229"/>
      <c r="F111" s="229" t="s">
        <v>141</v>
      </c>
      <c r="G111" s="229"/>
      <c r="H111" s="229"/>
      <c r="I111" s="229">
        <v>0</v>
      </c>
      <c r="J111" s="229">
        <v>0</v>
      </c>
      <c r="K111" s="230">
        <v>1</v>
      </c>
      <c r="L111" s="229">
        <v>6.103515625E-5</v>
      </c>
      <c r="M111" s="229">
        <v>6.103515625E-5</v>
      </c>
      <c r="N111" s="229" t="s">
        <v>300</v>
      </c>
      <c r="O111" s="229" t="s">
        <v>374</v>
      </c>
      <c r="P111" s="231"/>
    </row>
    <row r="112" spans="1:16" ht="26.4" x14ac:dyDescent="0.25">
      <c r="A112" s="227" t="s">
        <v>2001</v>
      </c>
      <c r="B112" s="228" t="s">
        <v>2002</v>
      </c>
      <c r="C112" s="228" t="s">
        <v>434</v>
      </c>
      <c r="D112" s="228" t="s">
        <v>247</v>
      </c>
      <c r="E112" s="229" t="s">
        <v>2008</v>
      </c>
      <c r="F112" s="229" t="s">
        <v>136</v>
      </c>
      <c r="G112" s="229" t="s">
        <v>82</v>
      </c>
      <c r="H112" s="229"/>
      <c r="I112" s="229">
        <v>0</v>
      </c>
      <c r="J112" s="229">
        <v>-8.8000000000000007</v>
      </c>
      <c r="K112" s="230">
        <v>8.8000000000000007</v>
      </c>
      <c r="L112" s="229" t="s">
        <v>1865</v>
      </c>
      <c r="M112" s="229"/>
      <c r="N112" s="229" t="s">
        <v>256</v>
      </c>
      <c r="O112" s="229" t="s">
        <v>261</v>
      </c>
      <c r="P112" s="231"/>
    </row>
    <row r="113" spans="1:16" ht="39.6" x14ac:dyDescent="0.25">
      <c r="A113" s="227" t="s">
        <v>2009</v>
      </c>
      <c r="B113" s="228" t="s">
        <v>1011</v>
      </c>
      <c r="C113" s="228" t="s">
        <v>434</v>
      </c>
      <c r="D113" s="228" t="s">
        <v>247</v>
      </c>
      <c r="E113" s="229" t="s">
        <v>2010</v>
      </c>
      <c r="F113" s="229" t="s">
        <v>136</v>
      </c>
      <c r="G113" s="229" t="s">
        <v>82</v>
      </c>
      <c r="H113" s="229"/>
      <c r="I113" s="229">
        <v>0</v>
      </c>
      <c r="J113" s="229">
        <v>-8.8000000000000007</v>
      </c>
      <c r="K113" s="230">
        <v>8.8000000000000007</v>
      </c>
      <c r="L113" s="229" t="s">
        <v>1865</v>
      </c>
      <c r="M113" s="229"/>
      <c r="N113" s="229" t="s">
        <v>256</v>
      </c>
      <c r="O113" s="229" t="s">
        <v>261</v>
      </c>
      <c r="P113" s="231"/>
    </row>
    <row r="114" spans="1:16" ht="52.8" x14ac:dyDescent="0.25">
      <c r="A114" s="227" t="s">
        <v>1884</v>
      </c>
      <c r="B114" s="228" t="s">
        <v>1885</v>
      </c>
      <c r="C114" s="228" t="s">
        <v>434</v>
      </c>
      <c r="D114" s="228" t="s">
        <v>247</v>
      </c>
      <c r="E114" s="229" t="s">
        <v>1973</v>
      </c>
      <c r="F114" s="229" t="s">
        <v>136</v>
      </c>
      <c r="G114" s="229" t="s">
        <v>82</v>
      </c>
      <c r="H114" s="229" t="s">
        <v>2011</v>
      </c>
      <c r="I114" s="229">
        <v>0</v>
      </c>
      <c r="J114" s="229">
        <v>-10</v>
      </c>
      <c r="K114" s="230">
        <v>10</v>
      </c>
      <c r="L114" s="229" t="s">
        <v>1865</v>
      </c>
      <c r="M114" s="229"/>
      <c r="N114" s="229" t="s">
        <v>265</v>
      </c>
      <c r="O114" s="229" t="s">
        <v>261</v>
      </c>
      <c r="P114" s="231"/>
    </row>
    <row r="115" spans="1:16" ht="39.6" x14ac:dyDescent="0.25">
      <c r="A115" s="227" t="s">
        <v>2012</v>
      </c>
      <c r="B115" s="228" t="s">
        <v>2013</v>
      </c>
      <c r="C115" s="228" t="s">
        <v>434</v>
      </c>
      <c r="D115" s="228" t="s">
        <v>247</v>
      </c>
      <c r="E115" s="229" t="s">
        <v>2014</v>
      </c>
      <c r="F115" s="229" t="s">
        <v>136</v>
      </c>
      <c r="G115" s="229" t="s">
        <v>82</v>
      </c>
      <c r="H115" s="229"/>
      <c r="I115" s="229">
        <v>0</v>
      </c>
      <c r="J115" s="229">
        <v>-8.8000000000000007</v>
      </c>
      <c r="K115" s="230">
        <v>8.8000000000000007</v>
      </c>
      <c r="L115" s="229" t="s">
        <v>1865</v>
      </c>
      <c r="M115" s="229"/>
      <c r="N115" s="229" t="s">
        <v>256</v>
      </c>
      <c r="O115" s="229" t="s">
        <v>261</v>
      </c>
      <c r="P115" s="231"/>
    </row>
    <row r="116" spans="1:16" ht="52.8" x14ac:dyDescent="0.25">
      <c r="A116" s="227" t="s">
        <v>1875</v>
      </c>
      <c r="B116" s="228" t="s">
        <v>1876</v>
      </c>
      <c r="C116" s="228" t="s">
        <v>434</v>
      </c>
      <c r="D116" s="228" t="s">
        <v>247</v>
      </c>
      <c r="E116" s="229" t="s">
        <v>1981</v>
      </c>
      <c r="F116" s="229" t="s">
        <v>136</v>
      </c>
      <c r="G116" s="229" t="s">
        <v>82</v>
      </c>
      <c r="H116" s="229" t="s">
        <v>2015</v>
      </c>
      <c r="I116" s="229">
        <v>0</v>
      </c>
      <c r="J116" s="229">
        <v>0</v>
      </c>
      <c r="K116" s="230">
        <v>255</v>
      </c>
      <c r="L116" s="229" t="s">
        <v>1865</v>
      </c>
      <c r="M116" s="229"/>
      <c r="N116" s="229" t="s">
        <v>311</v>
      </c>
      <c r="O116" s="229" t="s">
        <v>261</v>
      </c>
      <c r="P116" s="231"/>
    </row>
    <row r="117" spans="1:16" ht="52.8" x14ac:dyDescent="0.25">
      <c r="A117" s="227" t="s">
        <v>2016</v>
      </c>
      <c r="B117" s="228" t="s">
        <v>2017</v>
      </c>
      <c r="C117" s="228" t="s">
        <v>434</v>
      </c>
      <c r="D117" s="228" t="s">
        <v>247</v>
      </c>
      <c r="E117" s="229" t="s">
        <v>2018</v>
      </c>
      <c r="F117" s="229" t="s">
        <v>138</v>
      </c>
      <c r="G117" s="229" t="s">
        <v>82</v>
      </c>
      <c r="H117" s="229"/>
      <c r="I117" s="229">
        <v>0</v>
      </c>
      <c r="J117" s="229">
        <v>0</v>
      </c>
      <c r="K117" s="230">
        <v>1</v>
      </c>
      <c r="L117" s="229" t="s">
        <v>1865</v>
      </c>
      <c r="M117" s="229">
        <v>3.0517578125E-5</v>
      </c>
      <c r="N117" s="229" t="s">
        <v>300</v>
      </c>
      <c r="O117" s="229" t="s">
        <v>261</v>
      </c>
      <c r="P117" s="231"/>
    </row>
    <row r="118" spans="1:16" ht="39.6" x14ac:dyDescent="0.25">
      <c r="A118" s="227" t="s">
        <v>2019</v>
      </c>
      <c r="B118" s="228" t="s">
        <v>2020</v>
      </c>
      <c r="C118" s="228" t="s">
        <v>434</v>
      </c>
      <c r="D118" s="228" t="s">
        <v>247</v>
      </c>
      <c r="E118" s="229" t="s">
        <v>2021</v>
      </c>
      <c r="F118" s="229" t="s">
        <v>138</v>
      </c>
      <c r="G118" s="229" t="s">
        <v>82</v>
      </c>
      <c r="H118" s="229"/>
      <c r="I118" s="229">
        <v>0</v>
      </c>
      <c r="J118" s="229">
        <v>-26.400000000000002</v>
      </c>
      <c r="K118" s="230">
        <v>26.400000000000002</v>
      </c>
      <c r="L118" s="229" t="s">
        <v>1865</v>
      </c>
      <c r="M118" s="229">
        <v>9.765625E-4</v>
      </c>
      <c r="N118" s="229" t="s">
        <v>256</v>
      </c>
      <c r="O118" s="229" t="s">
        <v>261</v>
      </c>
      <c r="P118" s="231"/>
    </row>
    <row r="119" spans="1:16" x14ac:dyDescent="0.25">
      <c r="A119" s="227" t="s">
        <v>2022</v>
      </c>
      <c r="B119" s="228"/>
      <c r="C119" s="228" t="s">
        <v>434</v>
      </c>
      <c r="D119" s="228" t="s">
        <v>247</v>
      </c>
      <c r="E119" s="229"/>
      <c r="F119" s="229" t="s">
        <v>139</v>
      </c>
      <c r="G119" s="229" t="s">
        <v>82</v>
      </c>
      <c r="H119" s="229"/>
      <c r="I119" s="229" t="s">
        <v>1440</v>
      </c>
      <c r="J119" s="229"/>
      <c r="K119" s="230"/>
      <c r="L119" s="229"/>
      <c r="M119" s="229"/>
      <c r="N119" s="229"/>
      <c r="O119" s="229" t="s">
        <v>1960</v>
      </c>
      <c r="P119" s="231"/>
    </row>
    <row r="120" spans="1:16" x14ac:dyDescent="0.25">
      <c r="A120" s="227" t="s">
        <v>2023</v>
      </c>
      <c r="B120" s="228"/>
      <c r="C120" s="228" t="s">
        <v>434</v>
      </c>
      <c r="D120" s="228" t="s">
        <v>247</v>
      </c>
      <c r="E120" s="229"/>
      <c r="F120" s="229" t="s">
        <v>139</v>
      </c>
      <c r="G120" s="229" t="s">
        <v>82</v>
      </c>
      <c r="H120" s="229"/>
      <c r="I120" s="229">
        <v>0</v>
      </c>
      <c r="J120" s="229">
        <v>-8.8000000000000007</v>
      </c>
      <c r="K120" s="230">
        <v>8.8000000000000007</v>
      </c>
      <c r="L120" s="229" t="s">
        <v>1865</v>
      </c>
      <c r="M120" s="229">
        <v>4.8828125E-4</v>
      </c>
      <c r="N120" s="229" t="s">
        <v>300</v>
      </c>
      <c r="O120" s="229" t="s">
        <v>261</v>
      </c>
      <c r="P120" s="231"/>
    </row>
    <row r="121" spans="1:16" x14ac:dyDescent="0.25">
      <c r="A121" s="227" t="s">
        <v>2024</v>
      </c>
      <c r="B121" s="228"/>
      <c r="C121" s="228" t="s">
        <v>434</v>
      </c>
      <c r="D121" s="228" t="s">
        <v>247</v>
      </c>
      <c r="E121" s="229"/>
      <c r="F121" s="229" t="s">
        <v>139</v>
      </c>
      <c r="G121" s="229" t="s">
        <v>82</v>
      </c>
      <c r="H121" s="229"/>
      <c r="I121" s="229">
        <v>0</v>
      </c>
      <c r="J121" s="229">
        <v>1.25584782371357E-3</v>
      </c>
      <c r="K121" s="230">
        <v>0.71539045666397005</v>
      </c>
      <c r="L121" s="229" t="s">
        <v>1865</v>
      </c>
      <c r="M121" s="229">
        <v>1.52587890625E-5</v>
      </c>
      <c r="N121" s="229" t="s">
        <v>300</v>
      </c>
      <c r="O121" s="229" t="s">
        <v>261</v>
      </c>
      <c r="P121" s="231"/>
    </row>
    <row r="122" spans="1:16" x14ac:dyDescent="0.25">
      <c r="A122" s="227" t="s">
        <v>2025</v>
      </c>
      <c r="B122" s="228"/>
      <c r="C122" s="228" t="s">
        <v>434</v>
      </c>
      <c r="D122" s="228" t="s">
        <v>247</v>
      </c>
      <c r="E122" s="229"/>
      <c r="F122" s="229" t="s">
        <v>139</v>
      </c>
      <c r="G122" s="229" t="s">
        <v>82</v>
      </c>
      <c r="H122" s="229"/>
      <c r="I122" s="229" t="s">
        <v>1440</v>
      </c>
      <c r="J122" s="229"/>
      <c r="K122" s="230"/>
      <c r="L122" s="229"/>
      <c r="M122" s="229"/>
      <c r="N122" s="229"/>
      <c r="O122" s="229" t="s">
        <v>1960</v>
      </c>
      <c r="P122" s="231"/>
    </row>
    <row r="123" spans="1:16" x14ac:dyDescent="0.25">
      <c r="A123" s="227" t="s">
        <v>2026</v>
      </c>
      <c r="B123" s="228"/>
      <c r="C123" s="228" t="s">
        <v>434</v>
      </c>
      <c r="D123" s="228" t="s">
        <v>247</v>
      </c>
      <c r="E123" s="229"/>
      <c r="F123" s="229" t="s">
        <v>139</v>
      </c>
      <c r="G123" s="229" t="s">
        <v>82</v>
      </c>
      <c r="H123" s="229"/>
      <c r="I123" s="229">
        <v>0</v>
      </c>
      <c r="J123" s="229">
        <v>-8.8000000000000007</v>
      </c>
      <c r="K123" s="230">
        <v>8.8000000000000007</v>
      </c>
      <c r="L123" s="229" t="s">
        <v>1865</v>
      </c>
      <c r="M123" s="229">
        <v>4.8828125E-4</v>
      </c>
      <c r="N123" s="229" t="s">
        <v>300</v>
      </c>
      <c r="O123" s="229" t="s">
        <v>261</v>
      </c>
      <c r="P123" s="231"/>
    </row>
    <row r="124" spans="1:16" x14ac:dyDescent="0.25">
      <c r="A124" s="227" t="s">
        <v>2027</v>
      </c>
      <c r="B124" s="228"/>
      <c r="C124" s="228" t="s">
        <v>434</v>
      </c>
      <c r="D124" s="228" t="s">
        <v>247</v>
      </c>
      <c r="E124" s="229"/>
      <c r="F124" s="229" t="s">
        <v>139</v>
      </c>
      <c r="G124" s="229" t="s">
        <v>82</v>
      </c>
      <c r="H124" s="229"/>
      <c r="I124" s="229">
        <v>0</v>
      </c>
      <c r="J124" s="229">
        <v>1.25584782371357E-3</v>
      </c>
      <c r="K124" s="230">
        <v>0.71539045666397005</v>
      </c>
      <c r="L124" s="229" t="s">
        <v>1865</v>
      </c>
      <c r="M124" s="229">
        <v>1.52587890625E-5</v>
      </c>
      <c r="N124" s="229" t="s">
        <v>300</v>
      </c>
      <c r="O124" s="229" t="s">
        <v>261</v>
      </c>
      <c r="P124" s="231"/>
    </row>
    <row r="125" spans="1:16" x14ac:dyDescent="0.25">
      <c r="A125" s="227" t="s">
        <v>2028</v>
      </c>
      <c r="B125" s="228"/>
      <c r="C125" s="228" t="s">
        <v>434</v>
      </c>
      <c r="D125" s="228" t="s">
        <v>247</v>
      </c>
      <c r="E125" s="229"/>
      <c r="F125" s="229" t="s">
        <v>139</v>
      </c>
      <c r="G125" s="229" t="s">
        <v>82</v>
      </c>
      <c r="H125" s="229"/>
      <c r="I125" s="229" t="s">
        <v>2029</v>
      </c>
      <c r="J125" s="229"/>
      <c r="K125" s="230"/>
      <c r="L125" s="229"/>
      <c r="M125" s="229"/>
      <c r="N125" s="229"/>
      <c r="O125" s="229" t="s">
        <v>2030</v>
      </c>
      <c r="P125" s="231"/>
    </row>
    <row r="126" spans="1:16" x14ac:dyDescent="0.25">
      <c r="A126" s="227" t="s">
        <v>2031</v>
      </c>
      <c r="B126" s="228"/>
      <c r="C126" s="228" t="s">
        <v>434</v>
      </c>
      <c r="D126" s="228" t="s">
        <v>247</v>
      </c>
      <c r="E126" s="229"/>
      <c r="F126" s="229" t="s">
        <v>139</v>
      </c>
      <c r="G126" s="229" t="s">
        <v>82</v>
      </c>
      <c r="H126" s="229"/>
      <c r="I126" s="229" t="s">
        <v>1440</v>
      </c>
      <c r="J126" s="229"/>
      <c r="K126" s="230"/>
      <c r="L126" s="229"/>
      <c r="M126" s="229"/>
      <c r="N126" s="229"/>
      <c r="O126" s="229" t="s">
        <v>1960</v>
      </c>
      <c r="P126" s="231"/>
    </row>
    <row r="127" spans="1:16" x14ac:dyDescent="0.25">
      <c r="A127" s="227" t="s">
        <v>2032</v>
      </c>
      <c r="B127" s="228"/>
      <c r="C127" s="228" t="s">
        <v>434</v>
      </c>
      <c r="D127" s="228" t="s">
        <v>247</v>
      </c>
      <c r="E127" s="229"/>
      <c r="F127" s="229" t="s">
        <v>139</v>
      </c>
      <c r="G127" s="229" t="s">
        <v>82</v>
      </c>
      <c r="H127" s="229"/>
      <c r="I127" s="229">
        <v>0</v>
      </c>
      <c r="J127" s="229">
        <v>-8.8000000000000007</v>
      </c>
      <c r="K127" s="230">
        <v>8.8000000000000007</v>
      </c>
      <c r="L127" s="229" t="s">
        <v>1865</v>
      </c>
      <c r="M127" s="229">
        <v>4.8828125E-4</v>
      </c>
      <c r="N127" s="229" t="s">
        <v>300</v>
      </c>
      <c r="O127" s="229" t="s">
        <v>261</v>
      </c>
      <c r="P127" s="231"/>
    </row>
    <row r="128" spans="1:16" x14ac:dyDescent="0.25">
      <c r="A128" s="227" t="s">
        <v>2033</v>
      </c>
      <c r="B128" s="228"/>
      <c r="C128" s="228" t="s">
        <v>434</v>
      </c>
      <c r="D128" s="228" t="s">
        <v>247</v>
      </c>
      <c r="E128" s="229"/>
      <c r="F128" s="229" t="s">
        <v>139</v>
      </c>
      <c r="G128" s="229" t="s">
        <v>82</v>
      </c>
      <c r="H128" s="229"/>
      <c r="I128" s="229">
        <v>0</v>
      </c>
      <c r="J128" s="229">
        <v>1.25584782371357E-3</v>
      </c>
      <c r="K128" s="230">
        <v>0.71539045666397005</v>
      </c>
      <c r="L128" s="229" t="s">
        <v>1865</v>
      </c>
      <c r="M128" s="229">
        <v>1.52587890625E-5</v>
      </c>
      <c r="N128" s="229" t="s">
        <v>300</v>
      </c>
      <c r="O128" s="229" t="s">
        <v>261</v>
      </c>
      <c r="P128" s="231"/>
    </row>
    <row r="129" spans="1:16" x14ac:dyDescent="0.25">
      <c r="A129" s="227" t="s">
        <v>2034</v>
      </c>
      <c r="B129" s="228"/>
      <c r="C129" s="228" t="s">
        <v>434</v>
      </c>
      <c r="D129" s="228" t="s">
        <v>247</v>
      </c>
      <c r="E129" s="229"/>
      <c r="F129" s="229" t="s">
        <v>139</v>
      </c>
      <c r="G129" s="229" t="s">
        <v>82</v>
      </c>
      <c r="H129" s="229"/>
      <c r="I129" s="229">
        <v>0</v>
      </c>
      <c r="J129" s="229">
        <v>1.0006286334300254</v>
      </c>
      <c r="K129" s="230">
        <v>2.0953795222320473</v>
      </c>
      <c r="L129" s="229" t="s">
        <v>1865</v>
      </c>
      <c r="M129" s="229">
        <v>6.103515625E-5</v>
      </c>
      <c r="N129" s="229" t="s">
        <v>300</v>
      </c>
      <c r="O129" s="229" t="s">
        <v>261</v>
      </c>
      <c r="P129" s="231"/>
    </row>
    <row r="130" spans="1:16" x14ac:dyDescent="0.25">
      <c r="A130" s="227" t="s">
        <v>2035</v>
      </c>
      <c r="B130" s="228"/>
      <c r="C130" s="228" t="s">
        <v>434</v>
      </c>
      <c r="D130" s="228" t="s">
        <v>247</v>
      </c>
      <c r="E130" s="229"/>
      <c r="F130" s="229" t="s">
        <v>139</v>
      </c>
      <c r="G130" s="229" t="s">
        <v>82</v>
      </c>
      <c r="H130" s="229"/>
      <c r="I130" s="229" t="s">
        <v>1440</v>
      </c>
      <c r="J130" s="229"/>
      <c r="K130" s="230"/>
      <c r="L130" s="229"/>
      <c r="M130" s="229"/>
      <c r="N130" s="229"/>
      <c r="O130" s="229" t="s">
        <v>1960</v>
      </c>
      <c r="P130" s="231"/>
    </row>
    <row r="131" spans="1:16" x14ac:dyDescent="0.25">
      <c r="A131" s="227" t="s">
        <v>2036</v>
      </c>
      <c r="B131" s="228"/>
      <c r="C131" s="228" t="s">
        <v>434</v>
      </c>
      <c r="D131" s="228" t="s">
        <v>247</v>
      </c>
      <c r="E131" s="229"/>
      <c r="F131" s="229" t="s">
        <v>139</v>
      </c>
      <c r="G131" s="229" t="s">
        <v>82</v>
      </c>
      <c r="H131" s="229"/>
      <c r="I131" s="229">
        <v>0</v>
      </c>
      <c r="J131" s="229">
        <v>-8.8000000000000007</v>
      </c>
      <c r="K131" s="230">
        <v>8.8000000000000007</v>
      </c>
      <c r="L131" s="229" t="s">
        <v>1865</v>
      </c>
      <c r="M131" s="229">
        <v>4.8828125E-4</v>
      </c>
      <c r="N131" s="229" t="s">
        <v>300</v>
      </c>
      <c r="O131" s="229" t="s">
        <v>261</v>
      </c>
      <c r="P131" s="231"/>
    </row>
    <row r="132" spans="1:16" x14ac:dyDescent="0.25">
      <c r="A132" s="227" t="s">
        <v>2037</v>
      </c>
      <c r="B132" s="228"/>
      <c r="C132" s="228" t="s">
        <v>434</v>
      </c>
      <c r="D132" s="228" t="s">
        <v>247</v>
      </c>
      <c r="E132" s="229"/>
      <c r="F132" s="229" t="s">
        <v>139</v>
      </c>
      <c r="G132" s="229" t="s">
        <v>82</v>
      </c>
      <c r="H132" s="229"/>
      <c r="I132" s="229">
        <v>0</v>
      </c>
      <c r="J132" s="229">
        <v>1.25584782371357E-3</v>
      </c>
      <c r="K132" s="230">
        <v>0.71539045666397005</v>
      </c>
      <c r="L132" s="229" t="s">
        <v>1865</v>
      </c>
      <c r="M132" s="229">
        <v>1.52587890625E-5</v>
      </c>
      <c r="N132" s="229" t="s">
        <v>300</v>
      </c>
      <c r="O132" s="229" t="s">
        <v>261</v>
      </c>
      <c r="P132" s="231"/>
    </row>
    <row r="133" spans="1:16" x14ac:dyDescent="0.25">
      <c r="A133" s="227" t="s">
        <v>2038</v>
      </c>
      <c r="B133" s="228" t="s">
        <v>2039</v>
      </c>
      <c r="C133" s="228" t="s">
        <v>434</v>
      </c>
      <c r="D133" s="228" t="s">
        <v>247</v>
      </c>
      <c r="E133" s="229"/>
      <c r="F133" s="229" t="s">
        <v>139</v>
      </c>
      <c r="G133" s="229" t="s">
        <v>82</v>
      </c>
      <c r="H133" s="229"/>
      <c r="I133" s="229">
        <v>0</v>
      </c>
      <c r="J133" s="229">
        <v>0</v>
      </c>
      <c r="K133" s="230">
        <v>65535</v>
      </c>
      <c r="L133" s="229">
        <v>1</v>
      </c>
      <c r="M133" s="229">
        <v>1</v>
      </c>
      <c r="N133" s="229" t="s">
        <v>424</v>
      </c>
      <c r="O133" s="229" t="s">
        <v>267</v>
      </c>
      <c r="P133" s="231"/>
    </row>
    <row r="134" spans="1:16" x14ac:dyDescent="0.25">
      <c r="A134" s="227" t="s">
        <v>2040</v>
      </c>
      <c r="B134" s="228" t="s">
        <v>2041</v>
      </c>
      <c r="C134" s="228" t="s">
        <v>434</v>
      </c>
      <c r="D134" s="228" t="s">
        <v>247</v>
      </c>
      <c r="E134" s="229"/>
      <c r="F134" s="229" t="s">
        <v>139</v>
      </c>
      <c r="G134" s="229" t="s">
        <v>82</v>
      </c>
      <c r="H134" s="229"/>
      <c r="I134" s="229" t="b">
        <v>0</v>
      </c>
      <c r="J134" s="229" t="b">
        <v>0</v>
      </c>
      <c r="K134" s="230" t="b">
        <v>1</v>
      </c>
      <c r="L134" s="229" t="s">
        <v>1883</v>
      </c>
      <c r="M134" s="229" t="s">
        <v>1883</v>
      </c>
      <c r="N134" s="229" t="s">
        <v>424</v>
      </c>
      <c r="O134" s="229" t="s">
        <v>501</v>
      </c>
      <c r="P134" s="231"/>
    </row>
    <row r="135" spans="1:16" ht="26.4" x14ac:dyDescent="0.25">
      <c r="A135" s="227" t="s">
        <v>2042</v>
      </c>
      <c r="B135" s="228" t="s">
        <v>2043</v>
      </c>
      <c r="C135" s="228" t="s">
        <v>434</v>
      </c>
      <c r="D135" s="228" t="s">
        <v>247</v>
      </c>
      <c r="E135" s="229"/>
      <c r="F135" s="229" t="s">
        <v>141</v>
      </c>
      <c r="G135" s="229" t="s">
        <v>82</v>
      </c>
      <c r="H135" s="229" t="s">
        <v>2044</v>
      </c>
      <c r="I135" s="229">
        <v>0</v>
      </c>
      <c r="J135" s="229">
        <v>-8.8000000000000007</v>
      </c>
      <c r="K135" s="230">
        <v>8.8000000000000007</v>
      </c>
      <c r="L135" s="229" t="s">
        <v>1865</v>
      </c>
      <c r="M135" s="229">
        <v>4.8828125E-4</v>
      </c>
      <c r="N135" s="229" t="s">
        <v>256</v>
      </c>
      <c r="O135" s="229" t="s">
        <v>261</v>
      </c>
      <c r="P135" s="231"/>
    </row>
    <row r="136" spans="1:16" ht="26.4" x14ac:dyDescent="0.25">
      <c r="A136" s="227" t="s">
        <v>2045</v>
      </c>
      <c r="B136" s="228" t="s">
        <v>2046</v>
      </c>
      <c r="C136" s="228" t="s">
        <v>434</v>
      </c>
      <c r="D136" s="228" t="s">
        <v>247</v>
      </c>
      <c r="E136" s="229"/>
      <c r="F136" s="229" t="s">
        <v>141</v>
      </c>
      <c r="G136" s="229" t="s">
        <v>82</v>
      </c>
      <c r="H136" s="229" t="s">
        <v>2047</v>
      </c>
      <c r="I136" s="229">
        <v>0</v>
      </c>
      <c r="J136" s="229">
        <v>-8.8000000000000007</v>
      </c>
      <c r="K136" s="230">
        <v>8.8000000000000007</v>
      </c>
      <c r="L136" s="229" t="s">
        <v>1865</v>
      </c>
      <c r="M136" s="229">
        <v>4.8828125E-4</v>
      </c>
      <c r="N136" s="229" t="s">
        <v>256</v>
      </c>
      <c r="O136" s="229" t="s">
        <v>261</v>
      </c>
      <c r="P136" s="231"/>
    </row>
    <row r="137" spans="1:16" x14ac:dyDescent="0.25">
      <c r="A137" s="227" t="s">
        <v>2048</v>
      </c>
      <c r="B137" s="228" t="s">
        <v>2049</v>
      </c>
      <c r="C137" s="228" t="s">
        <v>434</v>
      </c>
      <c r="D137" s="228" t="s">
        <v>247</v>
      </c>
      <c r="E137" s="229"/>
      <c r="F137" s="229" t="s">
        <v>141</v>
      </c>
      <c r="G137" s="229" t="s">
        <v>82</v>
      </c>
      <c r="H137" s="229"/>
      <c r="I137" s="229">
        <v>0</v>
      </c>
      <c r="J137" s="229">
        <v>-26.400000000000002</v>
      </c>
      <c r="K137" s="230">
        <v>26.400000000000002</v>
      </c>
      <c r="L137" s="229" t="s">
        <v>1865</v>
      </c>
      <c r="M137" s="229">
        <v>9.765625E-4</v>
      </c>
      <c r="N137" s="229" t="s">
        <v>256</v>
      </c>
      <c r="O137" s="229" t="s">
        <v>261</v>
      </c>
      <c r="P137" s="231"/>
    </row>
    <row r="138" spans="1:16" x14ac:dyDescent="0.25">
      <c r="A138" s="227" t="s">
        <v>2050</v>
      </c>
      <c r="B138" s="228" t="s">
        <v>2051</v>
      </c>
      <c r="C138" s="228" t="s">
        <v>434</v>
      </c>
      <c r="D138" s="228" t="s">
        <v>247</v>
      </c>
      <c r="E138" s="229"/>
      <c r="F138" s="229" t="s">
        <v>141</v>
      </c>
      <c r="G138" s="229" t="s">
        <v>82</v>
      </c>
      <c r="H138" s="229"/>
      <c r="I138" s="229">
        <v>0</v>
      </c>
      <c r="J138" s="229">
        <v>-26.400000000000002</v>
      </c>
      <c r="K138" s="230">
        <v>26.400000000000002</v>
      </c>
      <c r="L138" s="229" t="s">
        <v>1865</v>
      </c>
      <c r="M138" s="229">
        <v>9.765625E-4</v>
      </c>
      <c r="N138" s="229" t="s">
        <v>256</v>
      </c>
      <c r="O138" s="229" t="s">
        <v>261</v>
      </c>
      <c r="P138" s="231"/>
    </row>
    <row r="139" spans="1:16" x14ac:dyDescent="0.25">
      <c r="A139" s="227" t="s">
        <v>2052</v>
      </c>
      <c r="B139" s="228" t="s">
        <v>2053</v>
      </c>
      <c r="C139" s="228" t="s">
        <v>434</v>
      </c>
      <c r="D139" s="228" t="s">
        <v>247</v>
      </c>
      <c r="E139" s="229"/>
      <c r="F139" s="229" t="s">
        <v>141</v>
      </c>
      <c r="G139" s="229" t="s">
        <v>82</v>
      </c>
      <c r="H139" s="229"/>
      <c r="I139" s="229">
        <v>0</v>
      </c>
      <c r="J139" s="229">
        <v>-8.8000000000000007</v>
      </c>
      <c r="K139" s="230">
        <v>8.8000000000000007</v>
      </c>
      <c r="L139" s="229" t="s">
        <v>1865</v>
      </c>
      <c r="M139" s="229">
        <v>4.8828125E-4</v>
      </c>
      <c r="N139" s="229" t="s">
        <v>256</v>
      </c>
      <c r="O139" s="229" t="s">
        <v>261</v>
      </c>
      <c r="P139" s="231"/>
    </row>
    <row r="140" spans="1:16" x14ac:dyDescent="0.25">
      <c r="A140" s="227" t="s">
        <v>2054</v>
      </c>
      <c r="B140" s="228" t="s">
        <v>2055</v>
      </c>
      <c r="C140" s="228" t="s">
        <v>434</v>
      </c>
      <c r="D140" s="228" t="s">
        <v>247</v>
      </c>
      <c r="E140" s="229"/>
      <c r="F140" s="229" t="s">
        <v>141</v>
      </c>
      <c r="G140" s="229" t="s">
        <v>82</v>
      </c>
      <c r="H140" s="229"/>
      <c r="I140" s="229">
        <v>0</v>
      </c>
      <c r="J140" s="229">
        <v>0</v>
      </c>
      <c r="K140" s="230">
        <v>1</v>
      </c>
      <c r="L140" s="229" t="s">
        <v>1865</v>
      </c>
      <c r="M140" s="229">
        <v>3.0517578125E-5</v>
      </c>
      <c r="N140" s="229" t="s">
        <v>300</v>
      </c>
      <c r="O140" s="229" t="s">
        <v>261</v>
      </c>
      <c r="P140" s="231"/>
    </row>
    <row r="141" spans="1:16" x14ac:dyDescent="0.25">
      <c r="A141" s="227" t="s">
        <v>2056</v>
      </c>
      <c r="B141" s="228" t="s">
        <v>2057</v>
      </c>
      <c r="C141" s="228" t="s">
        <v>434</v>
      </c>
      <c r="D141" s="228" t="s">
        <v>247</v>
      </c>
      <c r="E141" s="229"/>
      <c r="F141" s="229" t="s">
        <v>141</v>
      </c>
      <c r="G141" s="229" t="s">
        <v>82</v>
      </c>
      <c r="H141" s="229"/>
      <c r="I141" s="229">
        <v>0</v>
      </c>
      <c r="J141" s="229">
        <v>-8.8000000000000007</v>
      </c>
      <c r="K141" s="230">
        <v>8.8000000000000007</v>
      </c>
      <c r="L141" s="229" t="s">
        <v>1865</v>
      </c>
      <c r="M141" s="229">
        <v>4.8828125E-4</v>
      </c>
      <c r="N141" s="229" t="s">
        <v>256</v>
      </c>
      <c r="O141" s="229" t="s">
        <v>261</v>
      </c>
      <c r="P141" s="231"/>
    </row>
    <row r="142" spans="1:16" x14ac:dyDescent="0.25">
      <c r="A142" s="227" t="s">
        <v>2058</v>
      </c>
      <c r="B142" s="228" t="s">
        <v>2059</v>
      </c>
      <c r="C142" s="228" t="s">
        <v>434</v>
      </c>
      <c r="D142" s="228" t="s">
        <v>247</v>
      </c>
      <c r="E142" s="229"/>
      <c r="F142" s="229" t="s">
        <v>141</v>
      </c>
      <c r="G142" s="229" t="s">
        <v>82</v>
      </c>
      <c r="H142" s="229"/>
      <c r="I142" s="229">
        <v>0</v>
      </c>
      <c r="J142" s="229">
        <v>-8.8000000000000007</v>
      </c>
      <c r="K142" s="230">
        <v>8.8000000000000007</v>
      </c>
      <c r="L142" s="229" t="s">
        <v>1865</v>
      </c>
      <c r="M142" s="229">
        <v>4.8828125E-4</v>
      </c>
      <c r="N142" s="229" t="s">
        <v>256</v>
      </c>
      <c r="O142" s="229" t="s">
        <v>261</v>
      </c>
      <c r="P142" s="231"/>
    </row>
    <row r="143" spans="1:16" x14ac:dyDescent="0.25">
      <c r="A143" s="227" t="s">
        <v>2060</v>
      </c>
      <c r="B143" s="228" t="s">
        <v>2061</v>
      </c>
      <c r="C143" s="228" t="s">
        <v>434</v>
      </c>
      <c r="D143" s="228" t="s">
        <v>247</v>
      </c>
      <c r="E143" s="229"/>
      <c r="F143" s="229" t="s">
        <v>139</v>
      </c>
      <c r="G143" s="229" t="s">
        <v>82</v>
      </c>
      <c r="H143" s="229"/>
      <c r="I143" s="229">
        <v>0</v>
      </c>
      <c r="J143" s="229">
        <v>-8.8000000000000007</v>
      </c>
      <c r="K143" s="230">
        <v>8.8000000000000007</v>
      </c>
      <c r="L143" s="229" t="s">
        <v>1865</v>
      </c>
      <c r="M143" s="229">
        <v>4.8828125E-4</v>
      </c>
      <c r="N143" s="229" t="s">
        <v>256</v>
      </c>
      <c r="O143" s="229" t="s">
        <v>261</v>
      </c>
      <c r="P143" s="231"/>
    </row>
    <row r="144" spans="1:16" x14ac:dyDescent="0.25">
      <c r="A144" s="227" t="s">
        <v>2054</v>
      </c>
      <c r="B144" s="228" t="s">
        <v>2055</v>
      </c>
      <c r="C144" s="228" t="s">
        <v>434</v>
      </c>
      <c r="D144" s="228" t="s">
        <v>247</v>
      </c>
      <c r="E144" s="229"/>
      <c r="F144" s="229" t="s">
        <v>141</v>
      </c>
      <c r="G144" s="229" t="s">
        <v>82</v>
      </c>
      <c r="H144" s="229"/>
      <c r="I144" s="229">
        <v>0</v>
      </c>
      <c r="J144" s="229">
        <v>0</v>
      </c>
      <c r="K144" s="230">
        <v>1</v>
      </c>
      <c r="L144" s="229" t="s">
        <v>1865</v>
      </c>
      <c r="M144" s="229">
        <v>4.8828125E-4</v>
      </c>
      <c r="N144" s="229" t="s">
        <v>300</v>
      </c>
      <c r="O144" s="229" t="s">
        <v>261</v>
      </c>
      <c r="P144" s="231"/>
    </row>
    <row r="145" spans="1:16" x14ac:dyDescent="0.25">
      <c r="A145" s="227" t="s">
        <v>2062</v>
      </c>
      <c r="B145" s="228" t="s">
        <v>2063</v>
      </c>
      <c r="C145" s="228" t="s">
        <v>434</v>
      </c>
      <c r="D145" s="228" t="s">
        <v>247</v>
      </c>
      <c r="E145" s="229"/>
      <c r="F145" s="229" t="s">
        <v>141</v>
      </c>
      <c r="G145" s="229" t="s">
        <v>82</v>
      </c>
      <c r="H145" s="229"/>
      <c r="I145" s="229" t="b">
        <v>0</v>
      </c>
      <c r="J145" s="229" t="b">
        <v>0</v>
      </c>
      <c r="K145" s="230" t="b">
        <v>1</v>
      </c>
      <c r="L145" s="229" t="s">
        <v>1883</v>
      </c>
      <c r="M145" s="229" t="s">
        <v>1883</v>
      </c>
      <c r="N145" s="229" t="s">
        <v>271</v>
      </c>
      <c r="O145" s="229" t="s">
        <v>501</v>
      </c>
      <c r="P145" s="231"/>
    </row>
    <row r="146" spans="1:16" x14ac:dyDescent="0.25">
      <c r="A146" s="227" t="s">
        <v>2064</v>
      </c>
      <c r="B146" s="228" t="s">
        <v>2065</v>
      </c>
      <c r="C146" s="228" t="s">
        <v>434</v>
      </c>
      <c r="D146" s="228" t="s">
        <v>247</v>
      </c>
      <c r="E146" s="229"/>
      <c r="F146" s="229" t="s">
        <v>139</v>
      </c>
      <c r="G146" s="229" t="s">
        <v>82</v>
      </c>
      <c r="H146" s="229"/>
      <c r="I146" s="229" t="b">
        <v>0</v>
      </c>
      <c r="J146" s="229" t="b">
        <v>0</v>
      </c>
      <c r="K146" s="230" t="b">
        <v>1</v>
      </c>
      <c r="L146" s="229" t="s">
        <v>1883</v>
      </c>
      <c r="M146" s="229" t="s">
        <v>1883</v>
      </c>
      <c r="N146" s="229" t="s">
        <v>271</v>
      </c>
      <c r="O146" s="229" t="s">
        <v>501</v>
      </c>
      <c r="P146" s="231"/>
    </row>
    <row r="147" spans="1:16" x14ac:dyDescent="0.25">
      <c r="A147" s="227" t="s">
        <v>2066</v>
      </c>
      <c r="B147" s="228" t="s">
        <v>2067</v>
      </c>
      <c r="C147" s="228" t="s">
        <v>434</v>
      </c>
      <c r="D147" s="228" t="s">
        <v>247</v>
      </c>
      <c r="E147" s="229"/>
      <c r="F147" s="229" t="s">
        <v>136</v>
      </c>
      <c r="G147" s="229"/>
      <c r="H147" s="229"/>
      <c r="I147" s="229" t="b">
        <v>0</v>
      </c>
      <c r="J147" s="229" t="b">
        <v>0</v>
      </c>
      <c r="K147" s="230" t="b">
        <v>1</v>
      </c>
      <c r="L147" s="229" t="s">
        <v>1871</v>
      </c>
      <c r="M147" s="229" t="s">
        <v>1871</v>
      </c>
      <c r="N147" s="229" t="s">
        <v>271</v>
      </c>
      <c r="O147" s="229" t="s">
        <v>929</v>
      </c>
      <c r="P147" s="231"/>
    </row>
    <row r="148" spans="1:16" ht="52.8" x14ac:dyDescent="0.25">
      <c r="A148" s="227" t="s">
        <v>2068</v>
      </c>
      <c r="B148" s="228" t="s">
        <v>2069</v>
      </c>
      <c r="C148" s="228" t="s">
        <v>434</v>
      </c>
      <c r="D148" s="228" t="s">
        <v>247</v>
      </c>
      <c r="E148" s="229" t="s">
        <v>2070</v>
      </c>
      <c r="F148" s="229" t="s">
        <v>136</v>
      </c>
      <c r="G148" s="229" t="s">
        <v>82</v>
      </c>
      <c r="H148" s="229"/>
      <c r="I148" s="229">
        <v>0</v>
      </c>
      <c r="J148" s="229">
        <v>0</v>
      </c>
      <c r="K148" s="230">
        <v>2</v>
      </c>
      <c r="L148" s="229">
        <v>1</v>
      </c>
      <c r="M148" s="229"/>
      <c r="N148" s="229" t="s">
        <v>271</v>
      </c>
      <c r="O148" s="229" t="s">
        <v>2071</v>
      </c>
      <c r="P148" s="231"/>
    </row>
    <row r="149" spans="1:16" ht="39.6" x14ac:dyDescent="0.25">
      <c r="A149" s="227" t="s">
        <v>2072</v>
      </c>
      <c r="B149" s="228" t="s">
        <v>2073</v>
      </c>
      <c r="C149" s="228" t="s">
        <v>485</v>
      </c>
      <c r="D149" s="228"/>
      <c r="E149" s="229" t="s">
        <v>2074</v>
      </c>
      <c r="F149" s="229" t="s">
        <v>136</v>
      </c>
      <c r="G149" s="229" t="s">
        <v>82</v>
      </c>
      <c r="H149" s="229"/>
      <c r="I149" s="229">
        <v>0</v>
      </c>
      <c r="J149" s="229">
        <v>-8.8000000000000007</v>
      </c>
      <c r="K149" s="230">
        <v>8.8000000000000007</v>
      </c>
      <c r="L149" s="229" t="s">
        <v>1865</v>
      </c>
      <c r="M149" s="229"/>
      <c r="N149" s="229" t="s">
        <v>256</v>
      </c>
      <c r="O149" s="229" t="s">
        <v>261</v>
      </c>
      <c r="P149" s="231"/>
    </row>
    <row r="150" spans="1:16" ht="39.6" x14ac:dyDescent="0.25">
      <c r="A150" s="227" t="s">
        <v>2075</v>
      </c>
      <c r="B150" s="228" t="s">
        <v>2076</v>
      </c>
      <c r="C150" s="228" t="s">
        <v>485</v>
      </c>
      <c r="D150" s="228"/>
      <c r="E150" s="229" t="s">
        <v>2077</v>
      </c>
      <c r="F150" s="229" t="s">
        <v>136</v>
      </c>
      <c r="G150" s="229" t="s">
        <v>82</v>
      </c>
      <c r="H150" s="229"/>
      <c r="I150" s="229">
        <v>0</v>
      </c>
      <c r="J150" s="229">
        <v>-8.8000000000000007</v>
      </c>
      <c r="K150" s="230">
        <v>8.8000000000000007</v>
      </c>
      <c r="L150" s="229" t="s">
        <v>1865</v>
      </c>
      <c r="M150" s="229"/>
      <c r="N150" s="229" t="s">
        <v>256</v>
      </c>
      <c r="O150" s="229" t="s">
        <v>261</v>
      </c>
      <c r="P150" s="231"/>
    </row>
    <row r="151" spans="1:16" ht="39.6" x14ac:dyDescent="0.25">
      <c r="A151" s="227" t="s">
        <v>2078</v>
      </c>
      <c r="B151" s="228" t="s">
        <v>2079</v>
      </c>
      <c r="C151" s="228" t="s">
        <v>485</v>
      </c>
      <c r="D151" s="228"/>
      <c r="E151" s="229" t="s">
        <v>2080</v>
      </c>
      <c r="F151" s="229" t="s">
        <v>136</v>
      </c>
      <c r="G151" s="229" t="s">
        <v>82</v>
      </c>
      <c r="H151" s="229"/>
      <c r="I151" s="229">
        <v>1</v>
      </c>
      <c r="J151" s="229">
        <v>0</v>
      </c>
      <c r="K151" s="230">
        <v>1</v>
      </c>
      <c r="L151" s="229" t="s">
        <v>1865</v>
      </c>
      <c r="M151" s="229"/>
      <c r="N151" s="229" t="s">
        <v>300</v>
      </c>
      <c r="O151" s="229" t="s">
        <v>261</v>
      </c>
      <c r="P151" s="231"/>
    </row>
    <row r="152" spans="1:16" ht="26.4" x14ac:dyDescent="0.25">
      <c r="A152" s="227" t="s">
        <v>2081</v>
      </c>
      <c r="B152" s="228" t="s">
        <v>2082</v>
      </c>
      <c r="C152" s="228" t="s">
        <v>485</v>
      </c>
      <c r="D152" s="228"/>
      <c r="E152" s="229" t="s">
        <v>2083</v>
      </c>
      <c r="F152" s="229" t="s">
        <v>136</v>
      </c>
      <c r="G152" s="229" t="s">
        <v>82</v>
      </c>
      <c r="H152" s="229"/>
      <c r="I152" s="229">
        <v>8.8000000000000007</v>
      </c>
      <c r="J152" s="229">
        <v>0</v>
      </c>
      <c r="K152" s="230">
        <v>8.8000000000000007</v>
      </c>
      <c r="L152" s="229" t="s">
        <v>1865</v>
      </c>
      <c r="M152" s="229"/>
      <c r="N152" s="229" t="s">
        <v>256</v>
      </c>
      <c r="O152" s="229" t="s">
        <v>261</v>
      </c>
      <c r="P152" s="231"/>
    </row>
    <row r="153" spans="1:16" ht="39.6" x14ac:dyDescent="0.25">
      <c r="A153" s="227" t="s">
        <v>2084</v>
      </c>
      <c r="B153" s="228" t="s">
        <v>2085</v>
      </c>
      <c r="C153" s="228" t="s">
        <v>485</v>
      </c>
      <c r="D153" s="228"/>
      <c r="E153" s="229" t="s">
        <v>2086</v>
      </c>
      <c r="F153" s="229" t="s">
        <v>136</v>
      </c>
      <c r="G153" s="229" t="s">
        <v>82</v>
      </c>
      <c r="H153" s="229"/>
      <c r="I153" s="229">
        <v>8.8000000000000007</v>
      </c>
      <c r="J153" s="229">
        <v>0</v>
      </c>
      <c r="K153" s="230">
        <v>8.8000000000000007</v>
      </c>
      <c r="L153" s="229" t="s">
        <v>1865</v>
      </c>
      <c r="M153" s="229"/>
      <c r="N153" s="229" t="s">
        <v>256</v>
      </c>
      <c r="O153" s="229" t="s">
        <v>261</v>
      </c>
      <c r="P153" s="231"/>
    </row>
    <row r="154" spans="1:16" ht="26.4" x14ac:dyDescent="0.25">
      <c r="A154" s="227" t="s">
        <v>2087</v>
      </c>
      <c r="B154" s="228" t="s">
        <v>2088</v>
      </c>
      <c r="C154" s="228" t="s">
        <v>485</v>
      </c>
      <c r="D154" s="228"/>
      <c r="E154" s="229" t="s">
        <v>2089</v>
      </c>
      <c r="F154" s="229" t="s">
        <v>136</v>
      </c>
      <c r="G154" s="229" t="s">
        <v>82</v>
      </c>
      <c r="H154" s="229"/>
      <c r="I154" s="229">
        <v>8.8000000000000007</v>
      </c>
      <c r="J154" s="229">
        <v>0</v>
      </c>
      <c r="K154" s="230">
        <v>8.8000000000000007</v>
      </c>
      <c r="L154" s="229" t="s">
        <v>1865</v>
      </c>
      <c r="M154" s="229"/>
      <c r="N154" s="229" t="s">
        <v>256</v>
      </c>
      <c r="O154" s="229" t="s">
        <v>261</v>
      </c>
      <c r="P154" s="231"/>
    </row>
    <row r="155" spans="1:16" ht="39.6" x14ac:dyDescent="0.25">
      <c r="A155" s="227" t="s">
        <v>2090</v>
      </c>
      <c r="B155" s="228" t="s">
        <v>2091</v>
      </c>
      <c r="C155" s="228" t="s">
        <v>485</v>
      </c>
      <c r="D155" s="228"/>
      <c r="E155" s="229" t="s">
        <v>2092</v>
      </c>
      <c r="F155" s="229" t="s">
        <v>136</v>
      </c>
      <c r="G155" s="229" t="s">
        <v>82</v>
      </c>
      <c r="H155" s="229"/>
      <c r="I155" s="229">
        <v>0</v>
      </c>
      <c r="J155" s="229">
        <v>-8.8000000000000007</v>
      </c>
      <c r="K155" s="230">
        <v>8.8000000000000007</v>
      </c>
      <c r="L155" s="229" t="s">
        <v>1865</v>
      </c>
      <c r="M155" s="229"/>
      <c r="N155" s="229" t="s">
        <v>256</v>
      </c>
      <c r="O155" s="229" t="s">
        <v>261</v>
      </c>
      <c r="P155" s="231"/>
    </row>
    <row r="156" spans="1:16" ht="26.4" x14ac:dyDescent="0.25">
      <c r="A156" s="227" t="s">
        <v>2093</v>
      </c>
      <c r="B156" s="228" t="s">
        <v>2094</v>
      </c>
      <c r="C156" s="228" t="s">
        <v>485</v>
      </c>
      <c r="D156" s="228"/>
      <c r="E156" s="229" t="s">
        <v>2095</v>
      </c>
      <c r="F156" s="229" t="s">
        <v>136</v>
      </c>
      <c r="G156" s="229" t="s">
        <v>82</v>
      </c>
      <c r="H156" s="229"/>
      <c r="I156" s="229" t="b">
        <v>0</v>
      </c>
      <c r="J156" s="229" t="b">
        <v>0</v>
      </c>
      <c r="K156" s="230" t="b">
        <v>1</v>
      </c>
      <c r="L156" s="229" t="s">
        <v>1883</v>
      </c>
      <c r="M156" s="229"/>
      <c r="N156" s="229" t="s">
        <v>424</v>
      </c>
      <c r="O156" s="229" t="s">
        <v>501</v>
      </c>
      <c r="P156" s="231"/>
    </row>
    <row r="157" spans="1:16" ht="26.4" x14ac:dyDescent="0.25">
      <c r="A157" s="227" t="s">
        <v>2096</v>
      </c>
      <c r="B157" s="228" t="s">
        <v>2097</v>
      </c>
      <c r="C157" s="228" t="s">
        <v>485</v>
      </c>
      <c r="D157" s="228"/>
      <c r="E157" s="229" t="s">
        <v>2098</v>
      </c>
      <c r="F157" s="229" t="s">
        <v>136</v>
      </c>
      <c r="G157" s="229" t="s">
        <v>82</v>
      </c>
      <c r="H157" s="229"/>
      <c r="I157" s="229">
        <v>0</v>
      </c>
      <c r="J157" s="229">
        <v>-8.8000000000000007</v>
      </c>
      <c r="K157" s="230">
        <v>8.8000000000000007</v>
      </c>
      <c r="L157" s="229" t="s">
        <v>1865</v>
      </c>
      <c r="M157" s="229"/>
      <c r="N157" s="229" t="s">
        <v>256</v>
      </c>
      <c r="O157" s="229" t="s">
        <v>261</v>
      </c>
      <c r="P157" s="231"/>
    </row>
    <row r="158" spans="1:16" ht="39.6" x14ac:dyDescent="0.25">
      <c r="A158" s="227" t="s">
        <v>2099</v>
      </c>
      <c r="B158" s="228" t="s">
        <v>2100</v>
      </c>
      <c r="C158" s="228" t="s">
        <v>485</v>
      </c>
      <c r="D158" s="228"/>
      <c r="E158" s="229" t="s">
        <v>2101</v>
      </c>
      <c r="F158" s="229" t="s">
        <v>136</v>
      </c>
      <c r="G158" s="229" t="s">
        <v>82</v>
      </c>
      <c r="H158" s="229"/>
      <c r="I158" s="229" t="b">
        <v>0</v>
      </c>
      <c r="J158" s="229" t="b">
        <v>0</v>
      </c>
      <c r="K158" s="230" t="b">
        <v>1</v>
      </c>
      <c r="L158" s="229" t="s">
        <v>1883</v>
      </c>
      <c r="M158" s="229"/>
      <c r="N158" s="229" t="s">
        <v>424</v>
      </c>
      <c r="O158" s="229" t="s">
        <v>501</v>
      </c>
      <c r="P158" s="231"/>
    </row>
    <row r="159" spans="1:16" ht="52.8" x14ac:dyDescent="0.25">
      <c r="A159" s="227" t="s">
        <v>2102</v>
      </c>
      <c r="B159" s="228" t="s">
        <v>2103</v>
      </c>
      <c r="C159" s="228" t="s">
        <v>485</v>
      </c>
      <c r="D159" s="228"/>
      <c r="E159" s="229" t="s">
        <v>2104</v>
      </c>
      <c r="F159" s="229" t="s">
        <v>136</v>
      </c>
      <c r="G159" s="229" t="s">
        <v>82</v>
      </c>
      <c r="H159" s="229"/>
      <c r="I159" s="229" t="b">
        <v>0</v>
      </c>
      <c r="J159" s="229" t="b">
        <v>0</v>
      </c>
      <c r="K159" s="230" t="b">
        <v>1</v>
      </c>
      <c r="L159" s="229" t="s">
        <v>1883</v>
      </c>
      <c r="M159" s="229"/>
      <c r="N159" s="229" t="s">
        <v>424</v>
      </c>
      <c r="O159" s="229" t="s">
        <v>501</v>
      </c>
      <c r="P159" s="231"/>
    </row>
    <row r="160" spans="1:16" ht="39.6" x14ac:dyDescent="0.25">
      <c r="A160" s="227" t="s">
        <v>2105</v>
      </c>
      <c r="B160" s="228" t="s">
        <v>2106</v>
      </c>
      <c r="C160" s="228" t="s">
        <v>485</v>
      </c>
      <c r="D160" s="228"/>
      <c r="E160" s="229" t="s">
        <v>2107</v>
      </c>
      <c r="F160" s="229" t="s">
        <v>136</v>
      </c>
      <c r="G160" s="229" t="s">
        <v>82</v>
      </c>
      <c r="H160" s="229"/>
      <c r="I160" s="229">
        <v>0</v>
      </c>
      <c r="J160" s="229">
        <v>-8.8000000000000007</v>
      </c>
      <c r="K160" s="230">
        <v>8.8000000000000007</v>
      </c>
      <c r="L160" s="229" t="s">
        <v>1865</v>
      </c>
      <c r="M160" s="229"/>
      <c r="N160" s="229" t="s">
        <v>256</v>
      </c>
      <c r="O160" s="229" t="s">
        <v>261</v>
      </c>
      <c r="P160" s="231"/>
    </row>
    <row r="161" spans="1:16" ht="26.4" x14ac:dyDescent="0.25">
      <c r="A161" s="227" t="s">
        <v>2108</v>
      </c>
      <c r="B161" s="228" t="s">
        <v>2109</v>
      </c>
      <c r="C161" s="228" t="s">
        <v>485</v>
      </c>
      <c r="D161" s="228"/>
      <c r="E161" s="229" t="s">
        <v>2110</v>
      </c>
      <c r="F161" s="229" t="s">
        <v>136</v>
      </c>
      <c r="G161" s="229" t="s">
        <v>82</v>
      </c>
      <c r="H161" s="229"/>
      <c r="I161" s="229">
        <v>0</v>
      </c>
      <c r="J161" s="229">
        <v>-8.8000000000000007</v>
      </c>
      <c r="K161" s="230">
        <v>8.8000000000000007</v>
      </c>
      <c r="L161" s="229" t="s">
        <v>1865</v>
      </c>
      <c r="M161" s="229"/>
      <c r="N161" s="229" t="s">
        <v>256</v>
      </c>
      <c r="O161" s="229" t="s">
        <v>261</v>
      </c>
      <c r="P161" s="231"/>
    </row>
    <row r="162" spans="1:16" ht="26.4" x14ac:dyDescent="0.25">
      <c r="A162" s="227" t="s">
        <v>2111</v>
      </c>
      <c r="B162" s="228" t="s">
        <v>2112</v>
      </c>
      <c r="C162" s="228" t="s">
        <v>485</v>
      </c>
      <c r="D162" s="228"/>
      <c r="E162" s="229" t="s">
        <v>2113</v>
      </c>
      <c r="F162" s="229" t="s">
        <v>136</v>
      </c>
      <c r="G162" s="229" t="s">
        <v>82</v>
      </c>
      <c r="H162" s="229"/>
      <c r="I162" s="229">
        <v>0</v>
      </c>
      <c r="J162" s="229">
        <v>0</v>
      </c>
      <c r="K162" s="230">
        <v>1</v>
      </c>
      <c r="L162" s="229" t="s">
        <v>1865</v>
      </c>
      <c r="M162" s="229"/>
      <c r="N162" s="229" t="s">
        <v>300</v>
      </c>
      <c r="O162" s="229" t="s">
        <v>261</v>
      </c>
      <c r="P162" s="231"/>
    </row>
    <row r="163" spans="1:16" ht="52.8" x14ac:dyDescent="0.25">
      <c r="A163" s="227" t="s">
        <v>2114</v>
      </c>
      <c r="B163" s="228" t="s">
        <v>2115</v>
      </c>
      <c r="C163" s="228" t="s">
        <v>485</v>
      </c>
      <c r="D163" s="228"/>
      <c r="E163" s="229" t="s">
        <v>2116</v>
      </c>
      <c r="F163" s="229" t="s">
        <v>136</v>
      </c>
      <c r="G163" s="229" t="s">
        <v>82</v>
      </c>
      <c r="H163" s="229"/>
      <c r="I163" s="229" t="b">
        <v>0</v>
      </c>
      <c r="J163" s="229" t="b">
        <v>0</v>
      </c>
      <c r="K163" s="230" t="b">
        <v>1</v>
      </c>
      <c r="L163" s="229" t="s">
        <v>1883</v>
      </c>
      <c r="M163" s="229"/>
      <c r="N163" s="229" t="s">
        <v>424</v>
      </c>
      <c r="O163" s="229" t="s">
        <v>501</v>
      </c>
      <c r="P163" s="231"/>
    </row>
    <row r="164" spans="1:16" ht="52.8" x14ac:dyDescent="0.25">
      <c r="A164" s="227" t="s">
        <v>2117</v>
      </c>
      <c r="B164" s="228" t="s">
        <v>2118</v>
      </c>
      <c r="C164" s="228" t="s">
        <v>485</v>
      </c>
      <c r="D164" s="228"/>
      <c r="E164" s="229" t="s">
        <v>2119</v>
      </c>
      <c r="F164" s="229" t="s">
        <v>136</v>
      </c>
      <c r="G164" s="229" t="s">
        <v>82</v>
      </c>
      <c r="H164" s="229"/>
      <c r="I164" s="229">
        <v>0</v>
      </c>
      <c r="J164" s="229">
        <v>0</v>
      </c>
      <c r="K164" s="230">
        <v>1</v>
      </c>
      <c r="L164" s="229" t="s">
        <v>1865</v>
      </c>
      <c r="M164" s="229"/>
      <c r="N164" s="229" t="s">
        <v>300</v>
      </c>
      <c r="O164" s="229" t="s">
        <v>261</v>
      </c>
      <c r="P164" s="231"/>
    </row>
    <row r="165" spans="1:16" ht="52.8" x14ac:dyDescent="0.25">
      <c r="A165" s="227" t="s">
        <v>2120</v>
      </c>
      <c r="B165" s="228" t="s">
        <v>2121</v>
      </c>
      <c r="C165" s="228" t="s">
        <v>485</v>
      </c>
      <c r="D165" s="228"/>
      <c r="E165" s="229" t="s">
        <v>2122</v>
      </c>
      <c r="F165" s="229" t="s">
        <v>136</v>
      </c>
      <c r="G165" s="229" t="s">
        <v>82</v>
      </c>
      <c r="H165" s="229"/>
      <c r="I165" s="229">
        <v>0</v>
      </c>
      <c r="J165" s="229">
        <v>-8.8000000000000007</v>
      </c>
      <c r="K165" s="230">
        <v>8.8000000000000007</v>
      </c>
      <c r="L165" s="229" t="s">
        <v>1865</v>
      </c>
      <c r="M165" s="229"/>
      <c r="N165" s="229" t="s">
        <v>256</v>
      </c>
      <c r="O165" s="229" t="s">
        <v>261</v>
      </c>
      <c r="P165" s="231"/>
    </row>
    <row r="166" spans="1:16" ht="52.8" x14ac:dyDescent="0.25">
      <c r="A166" s="227" t="s">
        <v>1909</v>
      </c>
      <c r="B166" s="228" t="s">
        <v>1910</v>
      </c>
      <c r="C166" s="228" t="s">
        <v>485</v>
      </c>
      <c r="D166" s="228"/>
      <c r="E166" s="229" t="s">
        <v>2123</v>
      </c>
      <c r="F166" s="229" t="s">
        <v>136</v>
      </c>
      <c r="G166" s="229" t="s">
        <v>82</v>
      </c>
      <c r="H166" s="229"/>
      <c r="I166" s="229">
        <v>0</v>
      </c>
      <c r="J166" s="229">
        <v>-8.8000000000000007</v>
      </c>
      <c r="K166" s="230">
        <v>8.8000000000000007</v>
      </c>
      <c r="L166" s="229" t="s">
        <v>1865</v>
      </c>
      <c r="M166" s="229"/>
      <c r="N166" s="229" t="s">
        <v>256</v>
      </c>
      <c r="O166" s="229" t="s">
        <v>261</v>
      </c>
      <c r="P166" s="231"/>
    </row>
    <row r="167" spans="1:16" ht="52.8" x14ac:dyDescent="0.25">
      <c r="A167" s="227" t="s">
        <v>2124</v>
      </c>
      <c r="B167" s="228" t="s">
        <v>2125</v>
      </c>
      <c r="C167" s="228" t="s">
        <v>485</v>
      </c>
      <c r="D167" s="228"/>
      <c r="E167" s="229" t="s">
        <v>2126</v>
      </c>
      <c r="F167" s="229" t="s">
        <v>136</v>
      </c>
      <c r="G167" s="229" t="s">
        <v>82</v>
      </c>
      <c r="H167" s="229"/>
      <c r="I167" s="229">
        <v>0</v>
      </c>
      <c r="J167" s="229">
        <v>0</v>
      </c>
      <c r="K167" s="230">
        <v>1</v>
      </c>
      <c r="L167" s="229" t="s">
        <v>1865</v>
      </c>
      <c r="M167" s="229"/>
      <c r="N167" s="229" t="s">
        <v>300</v>
      </c>
      <c r="O167" s="229" t="s">
        <v>261</v>
      </c>
      <c r="P167" s="231"/>
    </row>
    <row r="168" spans="1:16" ht="39.6" x14ac:dyDescent="0.25">
      <c r="A168" s="227" t="s">
        <v>2127</v>
      </c>
      <c r="B168" s="228" t="s">
        <v>2128</v>
      </c>
      <c r="C168" s="228" t="s">
        <v>485</v>
      </c>
      <c r="D168" s="228"/>
      <c r="E168" s="229" t="s">
        <v>2129</v>
      </c>
      <c r="F168" s="229" t="s">
        <v>136</v>
      </c>
      <c r="G168" s="229" t="s">
        <v>82</v>
      </c>
      <c r="H168" s="229"/>
      <c r="I168" s="229">
        <v>8.8000000000000007</v>
      </c>
      <c r="J168" s="229">
        <v>0</v>
      </c>
      <c r="K168" s="230">
        <v>8.8000000000000007</v>
      </c>
      <c r="L168" s="229" t="s">
        <v>1865</v>
      </c>
      <c r="M168" s="229"/>
      <c r="N168" s="229" t="s">
        <v>256</v>
      </c>
      <c r="O168" s="229" t="s">
        <v>261</v>
      </c>
      <c r="P168" s="231"/>
    </row>
    <row r="169" spans="1:16" x14ac:dyDescent="0.25">
      <c r="A169" s="227" t="s">
        <v>1980</v>
      </c>
      <c r="B169" s="228" t="s">
        <v>1883</v>
      </c>
      <c r="C169" s="228" t="s">
        <v>485</v>
      </c>
      <c r="D169" s="228"/>
      <c r="E169" s="229" t="s">
        <v>2130</v>
      </c>
      <c r="F169" s="229" t="s">
        <v>136</v>
      </c>
      <c r="G169" s="229" t="s">
        <v>82</v>
      </c>
      <c r="H169" s="229"/>
      <c r="I169" s="229">
        <v>0</v>
      </c>
      <c r="J169" s="229">
        <v>0</v>
      </c>
      <c r="K169" s="230">
        <v>512</v>
      </c>
      <c r="L169" s="229" t="s">
        <v>1865</v>
      </c>
      <c r="M169" s="229"/>
      <c r="N169" s="229" t="s">
        <v>311</v>
      </c>
      <c r="O169" s="229" t="s">
        <v>261</v>
      </c>
      <c r="P169" s="231"/>
    </row>
    <row r="170" spans="1:16" ht="39.6" x14ac:dyDescent="0.25">
      <c r="A170" s="227" t="s">
        <v>2131</v>
      </c>
      <c r="B170" s="228" t="s">
        <v>2132</v>
      </c>
      <c r="C170" s="228" t="s">
        <v>485</v>
      </c>
      <c r="D170" s="228"/>
      <c r="E170" s="229" t="s">
        <v>2133</v>
      </c>
      <c r="F170" s="229" t="s">
        <v>136</v>
      </c>
      <c r="G170" s="229" t="s">
        <v>82</v>
      </c>
      <c r="H170" s="229"/>
      <c r="I170" s="229">
        <v>0</v>
      </c>
      <c r="J170" s="229">
        <v>-8.8000000000000007</v>
      </c>
      <c r="K170" s="230">
        <v>8.8000000000000007</v>
      </c>
      <c r="L170" s="229" t="s">
        <v>1865</v>
      </c>
      <c r="M170" s="229"/>
      <c r="N170" s="229" t="s">
        <v>256</v>
      </c>
      <c r="O170" s="229" t="s">
        <v>261</v>
      </c>
      <c r="P170" s="231"/>
    </row>
    <row r="171" spans="1:16" ht="26.4" x14ac:dyDescent="0.25">
      <c r="A171" s="227" t="s">
        <v>4993</v>
      </c>
      <c r="B171" s="228" t="s">
        <v>4993</v>
      </c>
      <c r="C171" s="228" t="s">
        <v>485</v>
      </c>
      <c r="D171" s="228"/>
      <c r="E171" s="229" t="s">
        <v>4994</v>
      </c>
      <c r="F171" s="229" t="s">
        <v>136</v>
      </c>
      <c r="G171" s="229" t="s">
        <v>82</v>
      </c>
      <c r="H171" s="229"/>
      <c r="I171" s="229">
        <v>0</v>
      </c>
      <c r="J171" s="229">
        <v>-3</v>
      </c>
      <c r="K171" s="230">
        <v>3</v>
      </c>
      <c r="L171" s="229" t="s">
        <v>1865</v>
      </c>
      <c r="M171" s="229"/>
      <c r="N171" s="229" t="s">
        <v>256</v>
      </c>
      <c r="O171" s="229" t="s">
        <v>261</v>
      </c>
      <c r="P171" s="231"/>
    </row>
    <row r="172" spans="1:16" ht="26.4" x14ac:dyDescent="0.25">
      <c r="A172" s="227" t="s">
        <v>2134</v>
      </c>
      <c r="B172" s="228" t="s">
        <v>2135</v>
      </c>
      <c r="C172" s="228" t="s">
        <v>485</v>
      </c>
      <c r="D172" s="228" t="s">
        <v>486</v>
      </c>
      <c r="E172" s="229" t="s">
        <v>2136</v>
      </c>
      <c r="F172" s="229" t="s">
        <v>138</v>
      </c>
      <c r="G172" s="229" t="s">
        <v>82</v>
      </c>
      <c r="H172" s="229"/>
      <c r="I172" s="229">
        <v>0</v>
      </c>
      <c r="J172" s="229">
        <v>0</v>
      </c>
      <c r="K172" s="230">
        <v>1</v>
      </c>
      <c r="L172" s="229" t="s">
        <v>1865</v>
      </c>
      <c r="M172" s="229">
        <v>3.0517578125E-5</v>
      </c>
      <c r="N172" s="229" t="s">
        <v>300</v>
      </c>
      <c r="O172" s="229" t="s">
        <v>261</v>
      </c>
      <c r="P172" s="231"/>
    </row>
    <row r="173" spans="1:16" ht="39.6" x14ac:dyDescent="0.25">
      <c r="A173" s="227" t="s">
        <v>2137</v>
      </c>
      <c r="B173" s="228" t="s">
        <v>2138</v>
      </c>
      <c r="C173" s="228" t="s">
        <v>485</v>
      </c>
      <c r="D173" s="228" t="s">
        <v>486</v>
      </c>
      <c r="E173" s="229" t="s">
        <v>2139</v>
      </c>
      <c r="F173" s="229" t="s">
        <v>138</v>
      </c>
      <c r="G173" s="229" t="s">
        <v>82</v>
      </c>
      <c r="H173" s="229"/>
      <c r="I173" s="229">
        <v>0</v>
      </c>
      <c r="J173" s="229">
        <v>-8.8000000000000007</v>
      </c>
      <c r="K173" s="230">
        <v>8.8000000000000007</v>
      </c>
      <c r="L173" s="229" t="s">
        <v>1865</v>
      </c>
      <c r="M173" s="229">
        <v>9.765625E-4</v>
      </c>
      <c r="N173" s="229" t="s">
        <v>256</v>
      </c>
      <c r="O173" s="229" t="s">
        <v>261</v>
      </c>
      <c r="P173" s="231"/>
    </row>
    <row r="174" spans="1:16" ht="39.6" x14ac:dyDescent="0.25">
      <c r="A174" s="227" t="s">
        <v>2140</v>
      </c>
      <c r="B174" s="228" t="s">
        <v>2141</v>
      </c>
      <c r="C174" s="228" t="s">
        <v>485</v>
      </c>
      <c r="D174" s="228" t="s">
        <v>486</v>
      </c>
      <c r="E174" s="229" t="s">
        <v>2142</v>
      </c>
      <c r="F174" s="229" t="s">
        <v>138</v>
      </c>
      <c r="G174" s="229" t="s">
        <v>82</v>
      </c>
      <c r="H174" s="229"/>
      <c r="I174" s="229">
        <v>0</v>
      </c>
      <c r="J174" s="229">
        <v>0</v>
      </c>
      <c r="K174" s="230">
        <v>8.8000000000000007</v>
      </c>
      <c r="L174" s="229" t="s">
        <v>1865</v>
      </c>
      <c r="M174" s="229">
        <v>9.765625E-4</v>
      </c>
      <c r="N174" s="229" t="s">
        <v>256</v>
      </c>
      <c r="O174" s="229" t="s">
        <v>261</v>
      </c>
      <c r="P174" s="231"/>
    </row>
    <row r="175" spans="1:16" ht="52.8" x14ac:dyDescent="0.25">
      <c r="A175" s="227" t="s">
        <v>2143</v>
      </c>
      <c r="B175" s="228" t="s">
        <v>2144</v>
      </c>
      <c r="C175" s="228" t="s">
        <v>485</v>
      </c>
      <c r="D175" s="228" t="s">
        <v>486</v>
      </c>
      <c r="E175" s="229" t="s">
        <v>2145</v>
      </c>
      <c r="F175" s="229" t="s">
        <v>138</v>
      </c>
      <c r="G175" s="229" t="s">
        <v>82</v>
      </c>
      <c r="H175" s="229"/>
      <c r="I175" s="229">
        <v>0</v>
      </c>
      <c r="J175" s="229">
        <v>-8.8000000000000007</v>
      </c>
      <c r="K175" s="230">
        <v>8.8000000000000007</v>
      </c>
      <c r="L175" s="229" t="s">
        <v>1865</v>
      </c>
      <c r="M175" s="229">
        <v>9.765625E-4</v>
      </c>
      <c r="N175" s="229" t="s">
        <v>256</v>
      </c>
      <c r="O175" s="229" t="s">
        <v>261</v>
      </c>
      <c r="P175" s="231"/>
    </row>
    <row r="176" spans="1:16" ht="26.4" x14ac:dyDescent="0.25">
      <c r="A176" s="227" t="s">
        <v>4495</v>
      </c>
      <c r="B176" s="228" t="s">
        <v>1883</v>
      </c>
      <c r="C176" s="228" t="s">
        <v>485</v>
      </c>
      <c r="D176" s="228" t="s">
        <v>486</v>
      </c>
      <c r="E176" s="229" t="s">
        <v>2146</v>
      </c>
      <c r="F176" s="229" t="s">
        <v>139</v>
      </c>
      <c r="G176" s="229" t="s">
        <v>82</v>
      </c>
      <c r="H176" s="229"/>
      <c r="I176" s="229">
        <v>0</v>
      </c>
      <c r="J176" s="229">
        <v>-8.8000000000000007</v>
      </c>
      <c r="K176" s="230">
        <v>8.8000000000000007</v>
      </c>
      <c r="L176" s="229" t="s">
        <v>1865</v>
      </c>
      <c r="M176" s="229">
        <v>9.765625E-4</v>
      </c>
      <c r="N176" s="229" t="s">
        <v>256</v>
      </c>
      <c r="O176" s="229" t="s">
        <v>261</v>
      </c>
      <c r="P176" s="231"/>
    </row>
    <row r="177" spans="1:16" ht="26.4" x14ac:dyDescent="0.25">
      <c r="A177" s="227" t="s">
        <v>4496</v>
      </c>
      <c r="B177" s="228" t="s">
        <v>1883</v>
      </c>
      <c r="C177" s="228" t="s">
        <v>485</v>
      </c>
      <c r="D177" s="228" t="s">
        <v>486</v>
      </c>
      <c r="E177" s="229" t="s">
        <v>2147</v>
      </c>
      <c r="F177" s="229" t="s">
        <v>139</v>
      </c>
      <c r="G177" s="229" t="s">
        <v>82</v>
      </c>
      <c r="H177" s="229"/>
      <c r="I177" s="229" t="b">
        <v>0</v>
      </c>
      <c r="J177" s="229" t="b">
        <v>0</v>
      </c>
      <c r="K177" s="230" t="b">
        <v>1</v>
      </c>
      <c r="L177" s="229" t="s">
        <v>1883</v>
      </c>
      <c r="M177" s="229" t="s">
        <v>1883</v>
      </c>
      <c r="N177" s="229" t="s">
        <v>424</v>
      </c>
      <c r="O177" s="229" t="s">
        <v>501</v>
      </c>
      <c r="P177" s="231"/>
    </row>
    <row r="178" spans="1:16" x14ac:dyDescent="0.25">
      <c r="A178" s="227" t="s">
        <v>4497</v>
      </c>
      <c r="B178" s="228" t="s">
        <v>1883</v>
      </c>
      <c r="C178" s="228" t="s">
        <v>485</v>
      </c>
      <c r="D178" s="228"/>
      <c r="E178" s="229"/>
      <c r="F178" s="229" t="s">
        <v>139</v>
      </c>
      <c r="G178" s="229" t="s">
        <v>82</v>
      </c>
      <c r="H178" s="229"/>
      <c r="I178" s="229" t="b">
        <v>0</v>
      </c>
      <c r="J178" s="229" t="b">
        <v>0</v>
      </c>
      <c r="K178" s="230" t="b">
        <v>1</v>
      </c>
      <c r="L178" s="229" t="s">
        <v>1883</v>
      </c>
      <c r="M178" s="229" t="s">
        <v>1883</v>
      </c>
      <c r="N178" s="229" t="s">
        <v>424</v>
      </c>
      <c r="O178" s="229" t="s">
        <v>501</v>
      </c>
      <c r="P178" s="231"/>
    </row>
    <row r="179" spans="1:16" ht="52.8" x14ac:dyDescent="0.25">
      <c r="A179" s="227" t="s">
        <v>4498</v>
      </c>
      <c r="B179" s="228" t="s">
        <v>4499</v>
      </c>
      <c r="C179" s="228" t="s">
        <v>485</v>
      </c>
      <c r="D179" s="228" t="s">
        <v>486</v>
      </c>
      <c r="E179" s="229" t="s">
        <v>2145</v>
      </c>
      <c r="F179" s="229" t="s">
        <v>138</v>
      </c>
      <c r="G179" s="229" t="s">
        <v>82</v>
      </c>
      <c r="H179" s="229"/>
      <c r="I179" s="229">
        <v>0</v>
      </c>
      <c r="J179" s="229">
        <v>0</v>
      </c>
      <c r="K179" s="230">
        <v>8.8000000000000007</v>
      </c>
      <c r="L179" s="229" t="s">
        <v>1865</v>
      </c>
      <c r="M179" s="229">
        <v>9.765625E-4</v>
      </c>
      <c r="N179" s="229" t="s">
        <v>256</v>
      </c>
      <c r="O179" s="229" t="s">
        <v>261</v>
      </c>
      <c r="P179" s="231"/>
    </row>
    <row r="180" spans="1:16" ht="26.4" x14ac:dyDescent="0.25">
      <c r="A180" s="227" t="s">
        <v>2148</v>
      </c>
      <c r="B180" s="228" t="s">
        <v>2148</v>
      </c>
      <c r="C180" s="228" t="s">
        <v>490</v>
      </c>
      <c r="D180" s="228"/>
      <c r="E180" s="229" t="s">
        <v>2149</v>
      </c>
      <c r="F180" s="229" t="s">
        <v>136</v>
      </c>
      <c r="G180" s="229" t="s">
        <v>82</v>
      </c>
      <c r="H180" s="229"/>
      <c r="I180" s="229" t="b">
        <v>0</v>
      </c>
      <c r="J180" s="229" t="b">
        <v>0</v>
      </c>
      <c r="K180" s="230" t="b">
        <v>1</v>
      </c>
      <c r="L180" s="229" t="s">
        <v>1883</v>
      </c>
      <c r="M180" s="229"/>
      <c r="N180" s="229" t="s">
        <v>271</v>
      </c>
      <c r="O180" s="229" t="s">
        <v>501</v>
      </c>
      <c r="P180" s="231"/>
    </row>
    <row r="181" spans="1:16" ht="26.4" x14ac:dyDescent="0.25">
      <c r="A181" s="227" t="s">
        <v>2150</v>
      </c>
      <c r="B181" s="228" t="s">
        <v>2151</v>
      </c>
      <c r="C181" s="228" t="s">
        <v>490</v>
      </c>
      <c r="D181" s="228"/>
      <c r="E181" s="229" t="s">
        <v>2152</v>
      </c>
      <c r="F181" s="229" t="s">
        <v>136</v>
      </c>
      <c r="G181" s="229" t="s">
        <v>82</v>
      </c>
      <c r="H181" s="229"/>
      <c r="I181" s="229">
        <v>0</v>
      </c>
      <c r="J181" s="229">
        <v>-1440.11</v>
      </c>
      <c r="K181" s="230">
        <v>1440.11</v>
      </c>
      <c r="L181" s="229" t="s">
        <v>1865</v>
      </c>
      <c r="M181" s="229"/>
      <c r="N181" s="229" t="s">
        <v>268</v>
      </c>
      <c r="O181" s="229" t="s">
        <v>261</v>
      </c>
      <c r="P181" s="231"/>
    </row>
    <row r="182" spans="1:16" ht="39.6" x14ac:dyDescent="0.25">
      <c r="A182" s="227" t="s">
        <v>1877</v>
      </c>
      <c r="B182" s="228" t="s">
        <v>2153</v>
      </c>
      <c r="C182" s="228" t="s">
        <v>490</v>
      </c>
      <c r="D182" s="228"/>
      <c r="E182" s="229" t="s">
        <v>2154</v>
      </c>
      <c r="F182" s="229" t="s">
        <v>136</v>
      </c>
      <c r="G182" s="229" t="s">
        <v>82</v>
      </c>
      <c r="H182" s="229"/>
      <c r="I182" s="229">
        <v>0</v>
      </c>
      <c r="J182" s="229">
        <v>0</v>
      </c>
      <c r="K182" s="230">
        <v>1</v>
      </c>
      <c r="L182" s="229" t="s">
        <v>1865</v>
      </c>
      <c r="M182" s="229"/>
      <c r="N182" s="229" t="s">
        <v>300</v>
      </c>
      <c r="O182" s="229" t="s">
        <v>261</v>
      </c>
      <c r="P182" s="231"/>
    </row>
    <row r="183" spans="1:16" ht="26.4" x14ac:dyDescent="0.25">
      <c r="A183" s="227" t="s">
        <v>1872</v>
      </c>
      <c r="B183" s="228" t="s">
        <v>1060</v>
      </c>
      <c r="C183" s="228" t="s">
        <v>490</v>
      </c>
      <c r="D183" s="228"/>
      <c r="E183" s="229" t="s">
        <v>2155</v>
      </c>
      <c r="F183" s="229" t="s">
        <v>136</v>
      </c>
      <c r="G183" s="229" t="s">
        <v>82</v>
      </c>
      <c r="H183" s="229"/>
      <c r="I183" s="229">
        <v>0</v>
      </c>
      <c r="J183" s="229">
        <v>-10</v>
      </c>
      <c r="K183" s="230">
        <v>10</v>
      </c>
      <c r="L183" s="229" t="s">
        <v>1865</v>
      </c>
      <c r="M183" s="229"/>
      <c r="N183" s="229" t="s">
        <v>265</v>
      </c>
      <c r="O183" s="229" t="s">
        <v>261</v>
      </c>
      <c r="P183" s="231"/>
    </row>
    <row r="184" spans="1:16" ht="26.4" x14ac:dyDescent="0.25">
      <c r="A184" s="227" t="s">
        <v>2156</v>
      </c>
      <c r="B184" s="228" t="s">
        <v>2157</v>
      </c>
      <c r="C184" s="228" t="s">
        <v>490</v>
      </c>
      <c r="D184" s="228"/>
      <c r="E184" s="229" t="s">
        <v>2158</v>
      </c>
      <c r="F184" s="229" t="s">
        <v>136</v>
      </c>
      <c r="G184" s="229" t="s">
        <v>82</v>
      </c>
      <c r="H184" s="229"/>
      <c r="I184" s="229">
        <v>0</v>
      </c>
      <c r="J184" s="229">
        <v>-32</v>
      </c>
      <c r="K184" s="230">
        <v>32</v>
      </c>
      <c r="L184" s="229" t="s">
        <v>1865</v>
      </c>
      <c r="M184" s="229"/>
      <c r="N184" s="229" t="s">
        <v>1461</v>
      </c>
      <c r="O184" s="229" t="s">
        <v>261</v>
      </c>
      <c r="P184" s="231"/>
    </row>
    <row r="185" spans="1:16" ht="52.8" x14ac:dyDescent="0.25">
      <c r="A185" s="227" t="s">
        <v>2159</v>
      </c>
      <c r="B185" s="228" t="s">
        <v>2160</v>
      </c>
      <c r="C185" s="228" t="s">
        <v>490</v>
      </c>
      <c r="D185" s="228"/>
      <c r="E185" s="229" t="s">
        <v>2161</v>
      </c>
      <c r="F185" s="229" t="s">
        <v>136</v>
      </c>
      <c r="G185" s="229" t="s">
        <v>82</v>
      </c>
      <c r="H185" s="229"/>
      <c r="I185" s="229">
        <v>0</v>
      </c>
      <c r="J185" s="229">
        <v>-5</v>
      </c>
      <c r="K185" s="230">
        <v>5</v>
      </c>
      <c r="L185" s="229" t="s">
        <v>1865</v>
      </c>
      <c r="M185" s="229"/>
      <c r="N185" s="229" t="s">
        <v>2162</v>
      </c>
      <c r="O185" s="229" t="s">
        <v>261</v>
      </c>
      <c r="P185" s="231"/>
    </row>
    <row r="186" spans="1:16" ht="26.4" x14ac:dyDescent="0.25">
      <c r="A186" s="227" t="s">
        <v>2163</v>
      </c>
      <c r="B186" s="228" t="s">
        <v>2164</v>
      </c>
      <c r="C186" s="228" t="s">
        <v>490</v>
      </c>
      <c r="D186" s="228"/>
      <c r="E186" s="229" t="s">
        <v>2165</v>
      </c>
      <c r="F186" s="229" t="s">
        <v>136</v>
      </c>
      <c r="G186" s="229" t="s">
        <v>82</v>
      </c>
      <c r="H186" s="229"/>
      <c r="I186" s="229">
        <v>0</v>
      </c>
      <c r="J186" s="229">
        <v>-8.8000000000000007</v>
      </c>
      <c r="K186" s="230">
        <v>8.8000000000000007</v>
      </c>
      <c r="L186" s="229" t="s">
        <v>1865</v>
      </c>
      <c r="M186" s="229"/>
      <c r="N186" s="229" t="s">
        <v>256</v>
      </c>
      <c r="O186" s="229" t="s">
        <v>261</v>
      </c>
      <c r="P186" s="231"/>
    </row>
    <row r="187" spans="1:16" ht="26.4" x14ac:dyDescent="0.25">
      <c r="A187" s="227" t="s">
        <v>2166</v>
      </c>
      <c r="B187" s="228" t="s">
        <v>2167</v>
      </c>
      <c r="C187" s="228" t="s">
        <v>490</v>
      </c>
      <c r="D187" s="228"/>
      <c r="E187" s="229" t="s">
        <v>2168</v>
      </c>
      <c r="F187" s="229" t="s">
        <v>136</v>
      </c>
      <c r="G187" s="229" t="s">
        <v>82</v>
      </c>
      <c r="H187" s="229"/>
      <c r="I187" s="229">
        <v>0</v>
      </c>
      <c r="J187" s="229">
        <v>-50</v>
      </c>
      <c r="K187" s="230">
        <v>150</v>
      </c>
      <c r="L187" s="229" t="s">
        <v>1865</v>
      </c>
      <c r="M187" s="229"/>
      <c r="N187" s="229" t="s">
        <v>558</v>
      </c>
      <c r="O187" s="229" t="s">
        <v>261</v>
      </c>
      <c r="P187" s="231"/>
    </row>
    <row r="188" spans="1:16" ht="39.6" x14ac:dyDescent="0.25">
      <c r="A188" s="227" t="s">
        <v>1873</v>
      </c>
      <c r="B188" s="228" t="s">
        <v>2169</v>
      </c>
      <c r="C188" s="228" t="s">
        <v>490</v>
      </c>
      <c r="D188" s="228"/>
      <c r="E188" s="229" t="s">
        <v>2170</v>
      </c>
      <c r="F188" s="229" t="s">
        <v>136</v>
      </c>
      <c r="G188" s="229" t="s">
        <v>82</v>
      </c>
      <c r="H188" s="229"/>
      <c r="I188" s="229" t="b">
        <v>1</v>
      </c>
      <c r="J188" s="229" t="b">
        <v>0</v>
      </c>
      <c r="K188" s="230" t="b">
        <v>1</v>
      </c>
      <c r="L188" s="229" t="s">
        <v>1883</v>
      </c>
      <c r="M188" s="229"/>
      <c r="N188" s="229" t="s">
        <v>424</v>
      </c>
      <c r="O188" s="229" t="s">
        <v>501</v>
      </c>
      <c r="P188" s="231"/>
    </row>
    <row r="189" spans="1:16" ht="26.4" x14ac:dyDescent="0.25">
      <c r="A189" s="227" t="s">
        <v>1980</v>
      </c>
      <c r="B189" s="228" t="s">
        <v>2171</v>
      </c>
      <c r="C189" s="228" t="s">
        <v>490</v>
      </c>
      <c r="D189" s="228"/>
      <c r="E189" s="229" t="s">
        <v>2172</v>
      </c>
      <c r="F189" s="229" t="s">
        <v>136</v>
      </c>
      <c r="G189" s="229" t="s">
        <v>82</v>
      </c>
      <c r="H189" s="229"/>
      <c r="I189" s="229">
        <v>0</v>
      </c>
      <c r="J189" s="229">
        <v>0</v>
      </c>
      <c r="K189" s="230">
        <v>511</v>
      </c>
      <c r="L189" s="229" t="s">
        <v>1865</v>
      </c>
      <c r="M189" s="229"/>
      <c r="N189" s="229" t="s">
        <v>311</v>
      </c>
      <c r="O189" s="229" t="s">
        <v>261</v>
      </c>
      <c r="P189" s="231"/>
    </row>
    <row r="190" spans="1:16" ht="39.6" x14ac:dyDescent="0.25">
      <c r="A190" s="227" t="s">
        <v>2173</v>
      </c>
      <c r="B190" s="228" t="s">
        <v>2174</v>
      </c>
      <c r="C190" s="228" t="s">
        <v>490</v>
      </c>
      <c r="D190" s="228" t="s">
        <v>491</v>
      </c>
      <c r="E190" s="229" t="s">
        <v>2175</v>
      </c>
      <c r="F190" s="229" t="s">
        <v>138</v>
      </c>
      <c r="G190" s="229" t="s">
        <v>82</v>
      </c>
      <c r="H190" s="229"/>
      <c r="I190" s="229">
        <v>0</v>
      </c>
      <c r="J190" s="229">
        <v>0</v>
      </c>
      <c r="K190" s="230">
        <v>20</v>
      </c>
      <c r="L190" s="229" t="s">
        <v>1865</v>
      </c>
      <c r="M190" s="229">
        <v>4.8828125E-4</v>
      </c>
      <c r="N190" s="229" t="s">
        <v>265</v>
      </c>
      <c r="O190" s="229" t="s">
        <v>261</v>
      </c>
      <c r="P190" s="231"/>
    </row>
    <row r="191" spans="1:16" ht="39.6" x14ac:dyDescent="0.25">
      <c r="A191" s="227" t="s">
        <v>2176</v>
      </c>
      <c r="B191" s="228" t="s">
        <v>2177</v>
      </c>
      <c r="C191" s="228" t="s">
        <v>490</v>
      </c>
      <c r="D191" s="228" t="s">
        <v>491</v>
      </c>
      <c r="E191" s="229" t="s">
        <v>2178</v>
      </c>
      <c r="F191" s="229" t="s">
        <v>138</v>
      </c>
      <c r="G191" s="229" t="s">
        <v>82</v>
      </c>
      <c r="H191" s="229"/>
      <c r="I191" s="229">
        <v>0</v>
      </c>
      <c r="J191" s="229">
        <v>-5</v>
      </c>
      <c r="K191" s="230">
        <v>5</v>
      </c>
      <c r="L191" s="229" t="s">
        <v>1865</v>
      </c>
      <c r="M191" s="229">
        <v>4.8828125E-4</v>
      </c>
      <c r="N191" s="229" t="s">
        <v>265</v>
      </c>
      <c r="O191" s="229" t="s">
        <v>261</v>
      </c>
      <c r="P191" s="231"/>
    </row>
    <row r="192" spans="1:16" ht="52.8" x14ac:dyDescent="0.25">
      <c r="A192" s="227" t="s">
        <v>2179</v>
      </c>
      <c r="B192" s="228" t="s">
        <v>2180</v>
      </c>
      <c r="C192" s="228" t="s">
        <v>490</v>
      </c>
      <c r="D192" s="228" t="s">
        <v>491</v>
      </c>
      <c r="E192" s="229" t="s">
        <v>2181</v>
      </c>
      <c r="F192" s="229" t="s">
        <v>138</v>
      </c>
      <c r="G192" s="229" t="s">
        <v>82</v>
      </c>
      <c r="H192" s="229"/>
      <c r="I192" s="229">
        <v>0</v>
      </c>
      <c r="J192" s="229">
        <v>0</v>
      </c>
      <c r="K192" s="230">
        <v>20</v>
      </c>
      <c r="L192" s="229" t="s">
        <v>1865</v>
      </c>
      <c r="M192" s="229">
        <v>4.8828125E-4</v>
      </c>
      <c r="N192" s="229" t="s">
        <v>265</v>
      </c>
      <c r="O192" s="229" t="s">
        <v>261</v>
      </c>
      <c r="P192" s="231"/>
    </row>
    <row r="193" spans="1:16" x14ac:dyDescent="0.25">
      <c r="A193" s="227" t="s">
        <v>4916</v>
      </c>
      <c r="B193" s="228" t="s">
        <v>2182</v>
      </c>
      <c r="C193" s="228" t="s">
        <v>490</v>
      </c>
      <c r="D193" s="228" t="s">
        <v>491</v>
      </c>
      <c r="E193" s="229"/>
      <c r="F193" s="229" t="s">
        <v>139</v>
      </c>
      <c r="G193" s="229" t="s">
        <v>82</v>
      </c>
      <c r="H193" s="229"/>
      <c r="I193" s="229" t="s">
        <v>585</v>
      </c>
      <c r="J193" s="229">
        <v>-10</v>
      </c>
      <c r="K193" s="230">
        <v>10</v>
      </c>
      <c r="L193" s="229" t="s">
        <v>1865</v>
      </c>
      <c r="M193" s="229">
        <v>4.8828125E-4</v>
      </c>
      <c r="N193" s="229" t="s">
        <v>265</v>
      </c>
      <c r="O193" s="229" t="s">
        <v>261</v>
      </c>
      <c r="P193" s="231"/>
    </row>
    <row r="194" spans="1:16" x14ac:dyDescent="0.25">
      <c r="A194" s="227" t="s">
        <v>4917</v>
      </c>
      <c r="B194" s="228" t="s">
        <v>2183</v>
      </c>
      <c r="C194" s="228" t="s">
        <v>490</v>
      </c>
      <c r="D194" s="228" t="s">
        <v>491</v>
      </c>
      <c r="E194" s="229"/>
      <c r="F194" s="229" t="s">
        <v>139</v>
      </c>
      <c r="G194" s="229" t="s">
        <v>82</v>
      </c>
      <c r="H194" s="229"/>
      <c r="I194" s="229" t="s">
        <v>585</v>
      </c>
      <c r="J194" s="229">
        <v>-10</v>
      </c>
      <c r="K194" s="230">
        <v>10</v>
      </c>
      <c r="L194" s="229" t="s">
        <v>1865</v>
      </c>
      <c r="M194" s="229">
        <v>4.8828125E-4</v>
      </c>
      <c r="N194" s="229" t="s">
        <v>265</v>
      </c>
      <c r="O194" s="229" t="s">
        <v>261</v>
      </c>
      <c r="P194" s="231"/>
    </row>
    <row r="195" spans="1:16" ht="20.399999999999999" x14ac:dyDescent="0.25">
      <c r="A195" s="227" t="s">
        <v>4918</v>
      </c>
      <c r="B195" s="228" t="s">
        <v>2184</v>
      </c>
      <c r="C195" s="228" t="s">
        <v>490</v>
      </c>
      <c r="D195" s="228" t="s">
        <v>491</v>
      </c>
      <c r="E195" s="229"/>
      <c r="F195" s="229" t="s">
        <v>139</v>
      </c>
      <c r="G195" s="229" t="s">
        <v>82</v>
      </c>
      <c r="H195" s="229"/>
      <c r="I195" s="229" t="s">
        <v>585</v>
      </c>
      <c r="J195" s="229">
        <v>-10</v>
      </c>
      <c r="K195" s="230">
        <v>10</v>
      </c>
      <c r="L195" s="229" t="s">
        <v>1865</v>
      </c>
      <c r="M195" s="229">
        <v>4.8828125E-4</v>
      </c>
      <c r="N195" s="229" t="s">
        <v>265</v>
      </c>
      <c r="O195" s="229" t="s">
        <v>261</v>
      </c>
      <c r="P195" s="231"/>
    </row>
    <row r="196" spans="1:16" ht="26.4" x14ac:dyDescent="0.25">
      <c r="A196" s="227" t="s">
        <v>4919</v>
      </c>
      <c r="B196" s="228"/>
      <c r="C196" s="228" t="s">
        <v>490</v>
      </c>
      <c r="D196" s="228" t="s">
        <v>491</v>
      </c>
      <c r="E196" s="229"/>
      <c r="F196" s="229" t="s">
        <v>139</v>
      </c>
      <c r="G196" s="229" t="s">
        <v>82</v>
      </c>
      <c r="H196" s="229"/>
      <c r="I196" s="229" t="s">
        <v>2185</v>
      </c>
      <c r="J196" s="229">
        <v>-1440.11</v>
      </c>
      <c r="K196" s="230">
        <v>1440.11</v>
      </c>
      <c r="L196" s="229" t="s">
        <v>1865</v>
      </c>
      <c r="M196" s="229">
        <v>6.25E-2</v>
      </c>
      <c r="N196" s="229" t="s">
        <v>268</v>
      </c>
      <c r="O196" s="229" t="s">
        <v>261</v>
      </c>
      <c r="P196" s="231"/>
    </row>
    <row r="197" spans="1:16" ht="26.4" x14ac:dyDescent="0.25">
      <c r="A197" s="227" t="s">
        <v>4920</v>
      </c>
      <c r="B197" s="228"/>
      <c r="C197" s="228" t="s">
        <v>490</v>
      </c>
      <c r="D197" s="228" t="s">
        <v>491</v>
      </c>
      <c r="E197" s="229"/>
      <c r="F197" s="229" t="s">
        <v>139</v>
      </c>
      <c r="G197" s="229" t="s">
        <v>82</v>
      </c>
      <c r="H197" s="229"/>
      <c r="I197" s="229" t="s">
        <v>2185</v>
      </c>
      <c r="J197" s="229">
        <v>-1833.4649444186343</v>
      </c>
      <c r="K197" s="230">
        <v>1833.4649444186343</v>
      </c>
      <c r="L197" s="229" t="s">
        <v>1865</v>
      </c>
      <c r="M197" s="229">
        <v>6.25E-2</v>
      </c>
      <c r="N197" s="229" t="s">
        <v>535</v>
      </c>
      <c r="O197" s="229" t="s">
        <v>261</v>
      </c>
      <c r="P197" s="231"/>
    </row>
    <row r="198" spans="1:16" x14ac:dyDescent="0.25">
      <c r="A198" s="227" t="s">
        <v>4921</v>
      </c>
      <c r="B198" s="228"/>
      <c r="C198" s="228" t="s">
        <v>490</v>
      </c>
      <c r="D198" s="228" t="s">
        <v>491</v>
      </c>
      <c r="E198" s="229"/>
      <c r="F198" s="229" t="s">
        <v>139</v>
      </c>
      <c r="G198" s="229" t="s">
        <v>82</v>
      </c>
      <c r="H198" s="229"/>
      <c r="I198" s="229" t="s">
        <v>2186</v>
      </c>
      <c r="J198" s="229">
        <v>-10</v>
      </c>
      <c r="K198" s="230">
        <v>10</v>
      </c>
      <c r="L198" s="229" t="s">
        <v>1865</v>
      </c>
      <c r="M198" s="229">
        <v>4.8828125E-4</v>
      </c>
      <c r="N198" s="229" t="s">
        <v>265</v>
      </c>
      <c r="O198" s="229" t="s">
        <v>261</v>
      </c>
      <c r="P198" s="231"/>
    </row>
    <row r="199" spans="1:16" x14ac:dyDescent="0.25">
      <c r="A199" s="227" t="s">
        <v>4922</v>
      </c>
      <c r="B199" s="228"/>
      <c r="C199" s="228" t="s">
        <v>490</v>
      </c>
      <c r="D199" s="228" t="s">
        <v>491</v>
      </c>
      <c r="E199" s="229"/>
      <c r="F199" s="229" t="s">
        <v>139</v>
      </c>
      <c r="G199" s="229" t="s">
        <v>82</v>
      </c>
      <c r="H199" s="229"/>
      <c r="I199" s="229">
        <v>0</v>
      </c>
      <c r="J199" s="229">
        <v>0</v>
      </c>
      <c r="K199" s="230">
        <v>4294967295</v>
      </c>
      <c r="L199" s="229">
        <v>1</v>
      </c>
      <c r="M199" s="229">
        <v>1</v>
      </c>
      <c r="N199" s="229" t="s">
        <v>273</v>
      </c>
      <c r="O199" s="229" t="s">
        <v>321</v>
      </c>
      <c r="P199" s="231"/>
    </row>
    <row r="200" spans="1:16" x14ac:dyDescent="0.25">
      <c r="A200" s="227" t="s">
        <v>4923</v>
      </c>
      <c r="B200" s="228"/>
      <c r="C200" s="228" t="s">
        <v>490</v>
      </c>
      <c r="D200" s="228" t="s">
        <v>491</v>
      </c>
      <c r="E200" s="229"/>
      <c r="F200" s="229" t="s">
        <v>139</v>
      </c>
      <c r="G200" s="229" t="s">
        <v>82</v>
      </c>
      <c r="H200" s="229"/>
      <c r="I200" s="229">
        <v>0</v>
      </c>
      <c r="J200" s="229">
        <v>-10</v>
      </c>
      <c r="K200" s="230">
        <v>10</v>
      </c>
      <c r="L200" s="229" t="s">
        <v>1865</v>
      </c>
      <c r="M200" s="229">
        <v>4.8828125E-4</v>
      </c>
      <c r="N200" s="229" t="s">
        <v>265</v>
      </c>
      <c r="O200" s="229" t="s">
        <v>261</v>
      </c>
      <c r="P200" s="231"/>
    </row>
    <row r="201" spans="1:16" x14ac:dyDescent="0.25">
      <c r="A201" s="227" t="s">
        <v>4924</v>
      </c>
      <c r="B201" s="228"/>
      <c r="C201" s="228" t="s">
        <v>490</v>
      </c>
      <c r="D201" s="228" t="s">
        <v>491</v>
      </c>
      <c r="E201" s="229"/>
      <c r="F201" s="229" t="s">
        <v>139</v>
      </c>
      <c r="G201" s="229" t="s">
        <v>82</v>
      </c>
      <c r="H201" s="229"/>
      <c r="I201" s="229">
        <v>0</v>
      </c>
      <c r="J201" s="229">
        <v>-10</v>
      </c>
      <c r="K201" s="230">
        <v>10</v>
      </c>
      <c r="L201" s="229" t="s">
        <v>1865</v>
      </c>
      <c r="M201" s="229">
        <v>4.8828125E-4</v>
      </c>
      <c r="N201" s="229" t="s">
        <v>265</v>
      </c>
      <c r="O201" s="229" t="s">
        <v>261</v>
      </c>
      <c r="P201" s="231"/>
    </row>
    <row r="202" spans="1:16" x14ac:dyDescent="0.25">
      <c r="A202" s="227" t="s">
        <v>4925</v>
      </c>
      <c r="B202" s="228"/>
      <c r="C202" s="228" t="s">
        <v>490</v>
      </c>
      <c r="D202" s="228" t="s">
        <v>491</v>
      </c>
      <c r="E202" s="229"/>
      <c r="F202" s="229" t="s">
        <v>139</v>
      </c>
      <c r="G202" s="229" t="s">
        <v>82</v>
      </c>
      <c r="H202" s="229"/>
      <c r="I202" s="229" t="s">
        <v>1440</v>
      </c>
      <c r="J202" s="229"/>
      <c r="K202" s="230"/>
      <c r="L202" s="229"/>
      <c r="M202" s="229"/>
      <c r="N202" s="229"/>
      <c r="O202" s="229" t="s">
        <v>1960</v>
      </c>
      <c r="P202" s="231"/>
    </row>
    <row r="203" spans="1:16" x14ac:dyDescent="0.25">
      <c r="A203" s="227" t="s">
        <v>4926</v>
      </c>
      <c r="B203" s="228"/>
      <c r="C203" s="228" t="s">
        <v>490</v>
      </c>
      <c r="D203" s="228" t="s">
        <v>491</v>
      </c>
      <c r="E203" s="229"/>
      <c r="F203" s="229" t="s">
        <v>139</v>
      </c>
      <c r="G203" s="229" t="s">
        <v>82</v>
      </c>
      <c r="H203" s="229"/>
      <c r="I203" s="229">
        <v>0</v>
      </c>
      <c r="J203" s="229">
        <v>-1833.4649444186343</v>
      </c>
      <c r="K203" s="230">
        <v>1833.4649444186343</v>
      </c>
      <c r="L203" s="229" t="s">
        <v>1865</v>
      </c>
      <c r="M203" s="229">
        <v>6.25E-2</v>
      </c>
      <c r="N203" s="229" t="s">
        <v>300</v>
      </c>
      <c r="O203" s="229" t="s">
        <v>261</v>
      </c>
      <c r="P203" s="231"/>
    </row>
    <row r="204" spans="1:16" x14ac:dyDescent="0.25">
      <c r="A204" s="227" t="s">
        <v>4927</v>
      </c>
      <c r="B204" s="228"/>
      <c r="C204" s="228" t="s">
        <v>490</v>
      </c>
      <c r="D204" s="228" t="s">
        <v>491</v>
      </c>
      <c r="E204" s="229"/>
      <c r="F204" s="229" t="s">
        <v>139</v>
      </c>
      <c r="G204" s="229" t="s">
        <v>82</v>
      </c>
      <c r="H204" s="229"/>
      <c r="I204" s="229">
        <v>0</v>
      </c>
      <c r="J204" s="229">
        <v>4.9023076705685002E-2</v>
      </c>
      <c r="K204" s="230">
        <v>0.99343858006369301</v>
      </c>
      <c r="L204" s="229" t="s">
        <v>1865</v>
      </c>
      <c r="M204" s="229">
        <v>1.52587890625E-5</v>
      </c>
      <c r="N204" s="229" t="s">
        <v>300</v>
      </c>
      <c r="O204" s="229" t="s">
        <v>261</v>
      </c>
      <c r="P204" s="231"/>
    </row>
    <row r="205" spans="1:16" x14ac:dyDescent="0.25">
      <c r="A205" s="227" t="s">
        <v>4928</v>
      </c>
      <c r="B205" s="228"/>
      <c r="C205" s="228" t="s">
        <v>490</v>
      </c>
      <c r="D205" s="228" t="s">
        <v>491</v>
      </c>
      <c r="E205" s="229"/>
      <c r="F205" s="229" t="s">
        <v>139</v>
      </c>
      <c r="G205" s="229" t="s">
        <v>82</v>
      </c>
      <c r="H205" s="229"/>
      <c r="I205" s="229" t="s">
        <v>1440</v>
      </c>
      <c r="J205" s="229"/>
      <c r="K205" s="230"/>
      <c r="L205" s="229"/>
      <c r="M205" s="229"/>
      <c r="N205" s="229"/>
      <c r="O205" s="229" t="s">
        <v>1960</v>
      </c>
      <c r="P205" s="231"/>
    </row>
    <row r="206" spans="1:16" ht="20.399999999999999" x14ac:dyDescent="0.25">
      <c r="A206" s="227" t="s">
        <v>4929</v>
      </c>
      <c r="B206" s="228"/>
      <c r="C206" s="228" t="s">
        <v>490</v>
      </c>
      <c r="D206" s="228" t="s">
        <v>491</v>
      </c>
      <c r="E206" s="229"/>
      <c r="F206" s="229" t="s">
        <v>139</v>
      </c>
      <c r="G206" s="229" t="s">
        <v>82</v>
      </c>
      <c r="H206" s="229"/>
      <c r="I206" s="229">
        <v>0</v>
      </c>
      <c r="J206" s="229">
        <v>-5</v>
      </c>
      <c r="K206" s="230">
        <v>5</v>
      </c>
      <c r="L206" s="229" t="s">
        <v>1865</v>
      </c>
      <c r="M206" s="229">
        <v>2.44140625E-4</v>
      </c>
      <c r="N206" s="229" t="s">
        <v>300</v>
      </c>
      <c r="O206" s="229" t="s">
        <v>261</v>
      </c>
      <c r="P206" s="231"/>
    </row>
    <row r="207" spans="1:16" x14ac:dyDescent="0.25">
      <c r="A207" s="227" t="s">
        <v>4930</v>
      </c>
      <c r="B207" s="228"/>
      <c r="C207" s="228" t="s">
        <v>490</v>
      </c>
      <c r="D207" s="228" t="s">
        <v>491</v>
      </c>
      <c r="E207" s="229"/>
      <c r="F207" s="229" t="s">
        <v>139</v>
      </c>
      <c r="G207" s="229" t="s">
        <v>82</v>
      </c>
      <c r="H207" s="229"/>
      <c r="I207" s="229">
        <v>0</v>
      </c>
      <c r="J207" s="229">
        <v>4.9023076705685002E-2</v>
      </c>
      <c r="K207" s="230">
        <v>0.99343858006369301</v>
      </c>
      <c r="L207" s="229" t="s">
        <v>1865</v>
      </c>
      <c r="M207" s="229">
        <v>1.52587890625E-5</v>
      </c>
      <c r="N207" s="229" t="s">
        <v>300</v>
      </c>
      <c r="O207" s="229" t="s">
        <v>261</v>
      </c>
      <c r="P207" s="231"/>
    </row>
    <row r="208" spans="1:16" x14ac:dyDescent="0.25">
      <c r="A208" s="227" t="s">
        <v>4931</v>
      </c>
      <c r="B208" s="228"/>
      <c r="C208" s="228" t="s">
        <v>490</v>
      </c>
      <c r="D208" s="228" t="s">
        <v>491</v>
      </c>
      <c r="E208" s="229"/>
      <c r="F208" s="229" t="s">
        <v>139</v>
      </c>
      <c r="G208" s="229" t="s">
        <v>82</v>
      </c>
      <c r="H208" s="229"/>
      <c r="I208" s="229" t="s">
        <v>1440</v>
      </c>
      <c r="J208" s="229"/>
      <c r="K208" s="230"/>
      <c r="L208" s="229"/>
      <c r="M208" s="229"/>
      <c r="N208" s="229"/>
      <c r="O208" s="229" t="s">
        <v>1960</v>
      </c>
      <c r="P208" s="231"/>
    </row>
    <row r="209" spans="1:16" ht="20.399999999999999" x14ac:dyDescent="0.25">
      <c r="A209" s="227" t="s">
        <v>4932</v>
      </c>
      <c r="B209" s="228"/>
      <c r="C209" s="228" t="s">
        <v>490</v>
      </c>
      <c r="D209" s="228" t="s">
        <v>491</v>
      </c>
      <c r="E209" s="229"/>
      <c r="F209" s="229" t="s">
        <v>139</v>
      </c>
      <c r="G209" s="229" t="s">
        <v>82</v>
      </c>
      <c r="H209" s="229"/>
      <c r="I209" s="229">
        <v>0</v>
      </c>
      <c r="J209" s="229">
        <v>0</v>
      </c>
      <c r="K209" s="230">
        <v>1</v>
      </c>
      <c r="L209" s="229" t="s">
        <v>1865</v>
      </c>
      <c r="M209" s="229">
        <v>3.0517578125E-5</v>
      </c>
      <c r="N209" s="229" t="s">
        <v>300</v>
      </c>
      <c r="O209" s="229" t="s">
        <v>261</v>
      </c>
      <c r="P209" s="231"/>
    </row>
    <row r="210" spans="1:16" ht="20.399999999999999" x14ac:dyDescent="0.25">
      <c r="A210" s="227" t="s">
        <v>4933</v>
      </c>
      <c r="B210" s="228"/>
      <c r="C210" s="228" t="s">
        <v>490</v>
      </c>
      <c r="D210" s="228" t="s">
        <v>491</v>
      </c>
      <c r="E210" s="229"/>
      <c r="F210" s="229" t="s">
        <v>139</v>
      </c>
      <c r="G210" s="229" t="s">
        <v>82</v>
      </c>
      <c r="H210" s="229"/>
      <c r="I210" s="229">
        <v>0</v>
      </c>
      <c r="J210" s="229">
        <v>4.9023076705685002E-2</v>
      </c>
      <c r="K210" s="230">
        <v>0.99343858006369301</v>
      </c>
      <c r="L210" s="229" t="s">
        <v>1865</v>
      </c>
      <c r="M210" s="229">
        <v>1.52587890625E-5</v>
      </c>
      <c r="N210" s="229" t="s">
        <v>300</v>
      </c>
      <c r="O210" s="229" t="s">
        <v>261</v>
      </c>
      <c r="P210" s="231"/>
    </row>
    <row r="211" spans="1:16" x14ac:dyDescent="0.25">
      <c r="A211" s="227" t="s">
        <v>4934</v>
      </c>
      <c r="B211" s="228"/>
      <c r="C211" s="228" t="s">
        <v>490</v>
      </c>
      <c r="D211" s="228" t="s">
        <v>491</v>
      </c>
      <c r="E211" s="229"/>
      <c r="F211" s="229" t="s">
        <v>139</v>
      </c>
      <c r="G211" s="229" t="s">
        <v>82</v>
      </c>
      <c r="H211" s="229"/>
      <c r="I211" s="229" t="s">
        <v>1440</v>
      </c>
      <c r="J211" s="229"/>
      <c r="K211" s="230"/>
      <c r="L211" s="229"/>
      <c r="M211" s="229"/>
      <c r="N211" s="229"/>
      <c r="O211" s="229" t="s">
        <v>1960</v>
      </c>
      <c r="P211" s="231"/>
    </row>
    <row r="212" spans="1:16" ht="20.399999999999999" x14ac:dyDescent="0.25">
      <c r="A212" s="227" t="s">
        <v>4935</v>
      </c>
      <c r="B212" s="228"/>
      <c r="C212" s="228" t="s">
        <v>490</v>
      </c>
      <c r="D212" s="228" t="s">
        <v>491</v>
      </c>
      <c r="E212" s="229"/>
      <c r="F212" s="229" t="s">
        <v>139</v>
      </c>
      <c r="G212" s="229" t="s">
        <v>82</v>
      </c>
      <c r="H212" s="229"/>
      <c r="I212" s="229">
        <v>0</v>
      </c>
      <c r="J212" s="229">
        <v>0</v>
      </c>
      <c r="K212" s="230">
        <v>255</v>
      </c>
      <c r="L212" s="229" t="s">
        <v>1865</v>
      </c>
      <c r="M212" s="229">
        <v>7.8125E-3</v>
      </c>
      <c r="N212" s="229" t="s">
        <v>300</v>
      </c>
      <c r="O212" s="229" t="s">
        <v>261</v>
      </c>
      <c r="P212" s="231"/>
    </row>
    <row r="213" spans="1:16" x14ac:dyDescent="0.25">
      <c r="A213" s="227" t="s">
        <v>4936</v>
      </c>
      <c r="B213" s="228"/>
      <c r="C213" s="228" t="s">
        <v>490</v>
      </c>
      <c r="D213" s="228" t="s">
        <v>491</v>
      </c>
      <c r="E213" s="229"/>
      <c r="F213" s="229" t="s">
        <v>139</v>
      </c>
      <c r="G213" s="229" t="s">
        <v>82</v>
      </c>
      <c r="H213" s="229"/>
      <c r="I213" s="229">
        <v>0</v>
      </c>
      <c r="J213" s="229">
        <v>4.9023076705685002E-2</v>
      </c>
      <c r="K213" s="230">
        <v>0.99343858006369301</v>
      </c>
      <c r="L213" s="229" t="s">
        <v>1865</v>
      </c>
      <c r="M213" s="229">
        <v>1.52587890625E-5</v>
      </c>
      <c r="N213" s="229" t="s">
        <v>300</v>
      </c>
      <c r="O213" s="229" t="s">
        <v>261</v>
      </c>
      <c r="P213" s="231"/>
    </row>
    <row r="214" spans="1:16" x14ac:dyDescent="0.25">
      <c r="A214" s="227" t="s">
        <v>4937</v>
      </c>
      <c r="B214" s="228"/>
      <c r="C214" s="228" t="s">
        <v>490</v>
      </c>
      <c r="D214" s="228" t="s">
        <v>491</v>
      </c>
      <c r="E214" s="229"/>
      <c r="F214" s="229" t="s">
        <v>139</v>
      </c>
      <c r="G214" s="229" t="s">
        <v>82</v>
      </c>
      <c r="H214" s="229"/>
      <c r="I214" s="229" t="s">
        <v>1440</v>
      </c>
      <c r="J214" s="229"/>
      <c r="K214" s="230"/>
      <c r="L214" s="229"/>
      <c r="M214" s="229"/>
      <c r="N214" s="229"/>
      <c r="O214" s="229" t="s">
        <v>1960</v>
      </c>
      <c r="P214" s="231"/>
    </row>
    <row r="215" spans="1:16" ht="20.399999999999999" x14ac:dyDescent="0.25">
      <c r="A215" s="227" t="s">
        <v>4938</v>
      </c>
      <c r="B215" s="228"/>
      <c r="C215" s="228" t="s">
        <v>490</v>
      </c>
      <c r="D215" s="228" t="s">
        <v>491</v>
      </c>
      <c r="E215" s="229"/>
      <c r="F215" s="229" t="s">
        <v>139</v>
      </c>
      <c r="G215" s="229" t="s">
        <v>82</v>
      </c>
      <c r="H215" s="229"/>
      <c r="I215" s="229">
        <v>0</v>
      </c>
      <c r="J215" s="229">
        <v>-50</v>
      </c>
      <c r="K215" s="230">
        <v>150</v>
      </c>
      <c r="L215" s="229" t="s">
        <v>1865</v>
      </c>
      <c r="M215" s="229">
        <v>7.8125E-3</v>
      </c>
      <c r="N215" s="229" t="s">
        <v>300</v>
      </c>
      <c r="O215" s="229" t="s">
        <v>261</v>
      </c>
      <c r="P215" s="231"/>
    </row>
    <row r="216" spans="1:16" ht="20.399999999999999" x14ac:dyDescent="0.25">
      <c r="A216" s="227" t="s">
        <v>4939</v>
      </c>
      <c r="B216" s="228"/>
      <c r="C216" s="228" t="s">
        <v>490</v>
      </c>
      <c r="D216" s="228" t="s">
        <v>491</v>
      </c>
      <c r="E216" s="229"/>
      <c r="F216" s="229" t="s">
        <v>139</v>
      </c>
      <c r="G216" s="229" t="s">
        <v>82</v>
      </c>
      <c r="H216" s="229"/>
      <c r="I216" s="229">
        <v>0</v>
      </c>
      <c r="J216" s="229">
        <v>4.9023076705685002E-2</v>
      </c>
      <c r="K216" s="230">
        <v>0.99343858006369301</v>
      </c>
      <c r="L216" s="229" t="s">
        <v>1865</v>
      </c>
      <c r="M216" s="229">
        <v>1.52587890625E-5</v>
      </c>
      <c r="N216" s="229" t="s">
        <v>300</v>
      </c>
      <c r="O216" s="229" t="s">
        <v>261</v>
      </c>
      <c r="P216" s="231"/>
    </row>
    <row r="217" spans="1:16" x14ac:dyDescent="0.25">
      <c r="A217" s="227" t="s">
        <v>4940</v>
      </c>
      <c r="B217" s="228"/>
      <c r="C217" s="228" t="s">
        <v>490</v>
      </c>
      <c r="D217" s="228" t="s">
        <v>491</v>
      </c>
      <c r="E217" s="229"/>
      <c r="F217" s="229" t="s">
        <v>139</v>
      </c>
      <c r="G217" s="229" t="s">
        <v>82</v>
      </c>
      <c r="H217" s="229"/>
      <c r="I217" s="229" t="s">
        <v>1440</v>
      </c>
      <c r="J217" s="229"/>
      <c r="K217" s="230"/>
      <c r="L217" s="229"/>
      <c r="M217" s="229"/>
      <c r="N217" s="229"/>
      <c r="O217" s="229" t="s">
        <v>1960</v>
      </c>
      <c r="P217" s="231"/>
    </row>
    <row r="218" spans="1:16" ht="20.399999999999999" x14ac:dyDescent="0.25">
      <c r="A218" s="227" t="s">
        <v>4941</v>
      </c>
      <c r="B218" s="228"/>
      <c r="C218" s="228" t="s">
        <v>490</v>
      </c>
      <c r="D218" s="228" t="s">
        <v>491</v>
      </c>
      <c r="E218" s="229"/>
      <c r="F218" s="229" t="s">
        <v>139</v>
      </c>
      <c r="G218" s="229" t="s">
        <v>82</v>
      </c>
      <c r="H218" s="229"/>
      <c r="I218" s="229">
        <v>0</v>
      </c>
      <c r="J218" s="229">
        <v>-1440.11</v>
      </c>
      <c r="K218" s="230">
        <v>1440.11</v>
      </c>
      <c r="L218" s="229" t="s">
        <v>1865</v>
      </c>
      <c r="M218" s="229">
        <v>6.25E-2</v>
      </c>
      <c r="N218" s="229" t="s">
        <v>300</v>
      </c>
      <c r="O218" s="229" t="s">
        <v>261</v>
      </c>
      <c r="P218" s="231"/>
    </row>
    <row r="219" spans="1:16" x14ac:dyDescent="0.25">
      <c r="A219" s="227" t="s">
        <v>4942</v>
      </c>
      <c r="B219" s="228"/>
      <c r="C219" s="228" t="s">
        <v>490</v>
      </c>
      <c r="D219" s="228" t="s">
        <v>491</v>
      </c>
      <c r="E219" s="229"/>
      <c r="F219" s="229" t="s">
        <v>139</v>
      </c>
      <c r="G219" s="229" t="s">
        <v>82</v>
      </c>
      <c r="H219" s="229"/>
      <c r="I219" s="229">
        <v>0</v>
      </c>
      <c r="J219" s="229">
        <v>4.9023076705685002E-2</v>
      </c>
      <c r="K219" s="230">
        <v>0.99343858006369301</v>
      </c>
      <c r="L219" s="229" t="s">
        <v>1865</v>
      </c>
      <c r="M219" s="229">
        <v>1.52587890625E-5</v>
      </c>
      <c r="N219" s="229" t="s">
        <v>300</v>
      </c>
      <c r="O219" s="229" t="s">
        <v>261</v>
      </c>
      <c r="P219" s="231"/>
    </row>
    <row r="220" spans="1:16" x14ac:dyDescent="0.25">
      <c r="A220" s="227" t="s">
        <v>4943</v>
      </c>
      <c r="B220" s="228"/>
      <c r="C220" s="228" t="s">
        <v>490</v>
      </c>
      <c r="D220" s="228" t="s">
        <v>491</v>
      </c>
      <c r="E220" s="229"/>
      <c r="F220" s="229" t="s">
        <v>139</v>
      </c>
      <c r="G220" s="229" t="s">
        <v>82</v>
      </c>
      <c r="H220" s="229"/>
      <c r="I220" s="229" t="s">
        <v>1440</v>
      </c>
      <c r="J220" s="229"/>
      <c r="K220" s="230"/>
      <c r="L220" s="229"/>
      <c r="M220" s="229"/>
      <c r="N220" s="229"/>
      <c r="O220" s="229" t="s">
        <v>1960</v>
      </c>
      <c r="P220" s="231"/>
    </row>
    <row r="221" spans="1:16" x14ac:dyDescent="0.25">
      <c r="A221" s="227" t="s">
        <v>4944</v>
      </c>
      <c r="B221" s="228"/>
      <c r="C221" s="228" t="s">
        <v>490</v>
      </c>
      <c r="D221" s="228" t="s">
        <v>491</v>
      </c>
      <c r="E221" s="229"/>
      <c r="F221" s="229" t="s">
        <v>139</v>
      </c>
      <c r="G221" s="229" t="s">
        <v>82</v>
      </c>
      <c r="H221" s="229"/>
      <c r="I221" s="229">
        <v>0</v>
      </c>
      <c r="J221" s="229">
        <v>-20</v>
      </c>
      <c r="K221" s="230">
        <v>20</v>
      </c>
      <c r="L221" s="229" t="s">
        <v>1865</v>
      </c>
      <c r="M221" s="229">
        <v>1.953125E-3</v>
      </c>
      <c r="N221" s="229" t="s">
        <v>300</v>
      </c>
      <c r="O221" s="229" t="s">
        <v>261</v>
      </c>
      <c r="P221" s="231"/>
    </row>
    <row r="222" spans="1:16" x14ac:dyDescent="0.25">
      <c r="A222" s="227" t="s">
        <v>4945</v>
      </c>
      <c r="B222" s="228"/>
      <c r="C222" s="228" t="s">
        <v>490</v>
      </c>
      <c r="D222" s="228" t="s">
        <v>491</v>
      </c>
      <c r="E222" s="229"/>
      <c r="F222" s="229" t="s">
        <v>139</v>
      </c>
      <c r="G222" s="229" t="s">
        <v>82</v>
      </c>
      <c r="H222" s="229"/>
      <c r="I222" s="229">
        <v>0</v>
      </c>
      <c r="J222" s="229">
        <v>4.9023076705685002E-2</v>
      </c>
      <c r="K222" s="230">
        <v>0.99343858006369301</v>
      </c>
      <c r="L222" s="229" t="s">
        <v>1865</v>
      </c>
      <c r="M222" s="229">
        <v>9.765625E-4</v>
      </c>
      <c r="N222" s="229" t="s">
        <v>300</v>
      </c>
      <c r="O222" s="229" t="s">
        <v>261</v>
      </c>
      <c r="P222" s="231"/>
    </row>
    <row r="223" spans="1:16" x14ac:dyDescent="0.25">
      <c r="A223" s="227" t="s">
        <v>4946</v>
      </c>
      <c r="B223" s="228" t="s">
        <v>2187</v>
      </c>
      <c r="C223" s="228" t="s">
        <v>490</v>
      </c>
      <c r="D223" s="228" t="s">
        <v>491</v>
      </c>
      <c r="E223" s="229"/>
      <c r="F223" s="229" t="s">
        <v>139</v>
      </c>
      <c r="G223" s="229" t="s">
        <v>82</v>
      </c>
      <c r="H223" s="229"/>
      <c r="I223" s="229" t="s">
        <v>1440</v>
      </c>
      <c r="J223" s="229"/>
      <c r="K223" s="230"/>
      <c r="L223" s="229"/>
      <c r="M223" s="229"/>
      <c r="N223" s="229"/>
      <c r="O223" s="229" t="s">
        <v>1960</v>
      </c>
      <c r="P223" s="231"/>
    </row>
    <row r="224" spans="1:16" ht="20.399999999999999" x14ac:dyDescent="0.25">
      <c r="A224" s="227" t="s">
        <v>4947</v>
      </c>
      <c r="B224" s="228"/>
      <c r="C224" s="228" t="s">
        <v>490</v>
      </c>
      <c r="D224" s="228" t="s">
        <v>491</v>
      </c>
      <c r="E224" s="229"/>
      <c r="F224" s="229" t="s">
        <v>139</v>
      </c>
      <c r="G224" s="229" t="s">
        <v>82</v>
      </c>
      <c r="H224" s="229"/>
      <c r="I224" s="229">
        <v>0</v>
      </c>
      <c r="J224" s="229">
        <v>-10</v>
      </c>
      <c r="K224" s="230">
        <v>10</v>
      </c>
      <c r="L224" s="229" t="s">
        <v>1865</v>
      </c>
      <c r="M224" s="229">
        <v>4.8828125E-4</v>
      </c>
      <c r="N224" s="229" t="s">
        <v>300</v>
      </c>
      <c r="O224" s="229" t="s">
        <v>261</v>
      </c>
      <c r="P224" s="231"/>
    </row>
    <row r="225" spans="1:16" ht="20.399999999999999" x14ac:dyDescent="0.25">
      <c r="A225" s="227" t="s">
        <v>4948</v>
      </c>
      <c r="B225" s="228"/>
      <c r="C225" s="228" t="s">
        <v>490</v>
      </c>
      <c r="D225" s="228" t="s">
        <v>491</v>
      </c>
      <c r="E225" s="229"/>
      <c r="F225" s="229" t="s">
        <v>139</v>
      </c>
      <c r="G225" s="229" t="s">
        <v>82</v>
      </c>
      <c r="H225" s="229"/>
      <c r="I225" s="229">
        <v>0</v>
      </c>
      <c r="J225" s="229">
        <v>1.5079531039959801E-5</v>
      </c>
      <c r="K225" s="230">
        <v>0.55257561128965804</v>
      </c>
      <c r="L225" s="229" t="s">
        <v>1865</v>
      </c>
      <c r="M225" s="229">
        <v>1.52587890625E-5</v>
      </c>
      <c r="N225" s="229" t="s">
        <v>300</v>
      </c>
      <c r="O225" s="229" t="s">
        <v>261</v>
      </c>
      <c r="P225" s="231"/>
    </row>
    <row r="226" spans="1:16" x14ac:dyDescent="0.25">
      <c r="A226" s="227" t="s">
        <v>4949</v>
      </c>
      <c r="B226" s="228" t="s">
        <v>2188</v>
      </c>
      <c r="C226" s="228" t="s">
        <v>490</v>
      </c>
      <c r="D226" s="228" t="s">
        <v>491</v>
      </c>
      <c r="E226" s="229"/>
      <c r="F226" s="229" t="s">
        <v>139</v>
      </c>
      <c r="G226" s="229" t="s">
        <v>82</v>
      </c>
      <c r="H226" s="229"/>
      <c r="I226" s="229" t="s">
        <v>1440</v>
      </c>
      <c r="J226" s="229"/>
      <c r="K226" s="230"/>
      <c r="L226" s="229"/>
      <c r="M226" s="229"/>
      <c r="N226" s="229"/>
      <c r="O226" s="229" t="s">
        <v>1960</v>
      </c>
      <c r="P226" s="231"/>
    </row>
    <row r="227" spans="1:16" ht="20.399999999999999" x14ac:dyDescent="0.25">
      <c r="A227" s="227" t="s">
        <v>4950</v>
      </c>
      <c r="B227" s="228"/>
      <c r="C227" s="228" t="s">
        <v>490</v>
      </c>
      <c r="D227" s="228" t="s">
        <v>491</v>
      </c>
      <c r="E227" s="229"/>
      <c r="F227" s="229" t="s">
        <v>139</v>
      </c>
      <c r="G227" s="229" t="s">
        <v>82</v>
      </c>
      <c r="H227" s="229"/>
      <c r="I227" s="229">
        <v>0</v>
      </c>
      <c r="J227" s="229">
        <v>-10</v>
      </c>
      <c r="K227" s="230">
        <v>10</v>
      </c>
      <c r="L227" s="229" t="s">
        <v>1865</v>
      </c>
      <c r="M227" s="229">
        <v>4.8828125E-4</v>
      </c>
      <c r="N227" s="229" t="s">
        <v>300</v>
      </c>
      <c r="O227" s="229" t="s">
        <v>261</v>
      </c>
      <c r="P227" s="231"/>
    </row>
    <row r="228" spans="1:16" ht="20.399999999999999" x14ac:dyDescent="0.25">
      <c r="A228" s="227" t="s">
        <v>4951</v>
      </c>
      <c r="B228" s="228"/>
      <c r="C228" s="228" t="s">
        <v>490</v>
      </c>
      <c r="D228" s="228" t="s">
        <v>491</v>
      </c>
      <c r="E228" s="229"/>
      <c r="F228" s="229" t="s">
        <v>139</v>
      </c>
      <c r="G228" s="229" t="s">
        <v>82</v>
      </c>
      <c r="H228" s="229"/>
      <c r="I228" s="229">
        <v>0</v>
      </c>
      <c r="J228" s="229">
        <v>5.0264219169239999E-5</v>
      </c>
      <c r="K228" s="230">
        <v>0.99343858006369301</v>
      </c>
      <c r="L228" s="229" t="s">
        <v>1865</v>
      </c>
      <c r="M228" s="229">
        <v>1.52587890625E-5</v>
      </c>
      <c r="N228" s="229" t="s">
        <v>300</v>
      </c>
      <c r="O228" s="229" t="s">
        <v>261</v>
      </c>
      <c r="P228" s="231"/>
    </row>
    <row r="229" spans="1:16" x14ac:dyDescent="0.25">
      <c r="A229" s="227" t="s">
        <v>4952</v>
      </c>
      <c r="B229" s="228"/>
      <c r="C229" s="228" t="s">
        <v>490</v>
      </c>
      <c r="D229" s="228" t="s">
        <v>491</v>
      </c>
      <c r="E229" s="229"/>
      <c r="F229" s="229" t="s">
        <v>139</v>
      </c>
      <c r="G229" s="229" t="s">
        <v>82</v>
      </c>
      <c r="H229" s="229"/>
      <c r="I229" s="229">
        <v>0</v>
      </c>
      <c r="J229" s="229">
        <v>0</v>
      </c>
      <c r="K229" s="230">
        <v>4</v>
      </c>
      <c r="L229" s="229">
        <v>1</v>
      </c>
      <c r="M229" s="229">
        <v>1</v>
      </c>
      <c r="N229" s="229" t="s">
        <v>271</v>
      </c>
      <c r="O229" s="229" t="s">
        <v>1003</v>
      </c>
      <c r="P229" s="231"/>
    </row>
    <row r="230" spans="1:16" x14ac:dyDescent="0.25">
      <c r="A230" s="227" t="s">
        <v>4953</v>
      </c>
      <c r="B230" s="228"/>
      <c r="C230" s="228" t="s">
        <v>490</v>
      </c>
      <c r="D230" s="228" t="s">
        <v>491</v>
      </c>
      <c r="E230" s="229"/>
      <c r="F230" s="229" t="s">
        <v>139</v>
      </c>
      <c r="G230" s="229" t="s">
        <v>82</v>
      </c>
      <c r="H230" s="229"/>
      <c r="I230" s="229" t="b">
        <v>0</v>
      </c>
      <c r="J230" s="229" t="b">
        <v>0</v>
      </c>
      <c r="K230" s="230" t="b">
        <v>1</v>
      </c>
      <c r="L230" s="229" t="s">
        <v>1883</v>
      </c>
      <c r="M230" s="229" t="s">
        <v>1883</v>
      </c>
      <c r="N230" s="229" t="s">
        <v>271</v>
      </c>
      <c r="O230" s="229" t="s">
        <v>501</v>
      </c>
      <c r="P230" s="231"/>
    </row>
    <row r="231" spans="1:16" ht="20.399999999999999" x14ac:dyDescent="0.25">
      <c r="A231" s="227" t="s">
        <v>4954</v>
      </c>
      <c r="B231" s="228" t="s">
        <v>2189</v>
      </c>
      <c r="C231" s="228" t="s">
        <v>490</v>
      </c>
      <c r="D231" s="228" t="s">
        <v>491</v>
      </c>
      <c r="E231" s="229"/>
      <c r="F231" s="229" t="s">
        <v>139</v>
      </c>
      <c r="G231" s="229" t="s">
        <v>82</v>
      </c>
      <c r="H231" s="229"/>
      <c r="I231" s="229" t="b">
        <v>0</v>
      </c>
      <c r="J231" s="229" t="b">
        <v>0</v>
      </c>
      <c r="K231" s="230" t="b">
        <v>1</v>
      </c>
      <c r="L231" s="229" t="s">
        <v>1871</v>
      </c>
      <c r="M231" s="229" t="s">
        <v>1871</v>
      </c>
      <c r="N231" s="229" t="s">
        <v>271</v>
      </c>
      <c r="O231" s="229" t="s">
        <v>501</v>
      </c>
      <c r="P231" s="231"/>
    </row>
    <row r="232" spans="1:16" x14ac:dyDescent="0.25">
      <c r="A232" s="227" t="s">
        <v>4955</v>
      </c>
      <c r="B232" s="228" t="s">
        <v>2190</v>
      </c>
      <c r="C232" s="228" t="s">
        <v>490</v>
      </c>
      <c r="D232" s="228" t="s">
        <v>491</v>
      </c>
      <c r="E232" s="229"/>
      <c r="F232" s="229" t="s">
        <v>139</v>
      </c>
      <c r="G232" s="229" t="s">
        <v>82</v>
      </c>
      <c r="H232" s="229"/>
      <c r="I232" s="229" t="s">
        <v>585</v>
      </c>
      <c r="J232" s="229">
        <v>-10</v>
      </c>
      <c r="K232" s="230">
        <v>10</v>
      </c>
      <c r="L232" s="229" t="s">
        <v>1865</v>
      </c>
      <c r="M232" s="229">
        <v>4.8828125E-4</v>
      </c>
      <c r="N232" s="229" t="s">
        <v>265</v>
      </c>
      <c r="O232" s="229" t="s">
        <v>261</v>
      </c>
      <c r="P232" s="231"/>
    </row>
    <row r="233" spans="1:16" ht="20.399999999999999" x14ac:dyDescent="0.25">
      <c r="A233" s="227" t="s">
        <v>2191</v>
      </c>
      <c r="B233" s="228" t="s">
        <v>2192</v>
      </c>
      <c r="C233" s="228" t="s">
        <v>490</v>
      </c>
      <c r="D233" s="228" t="s">
        <v>491</v>
      </c>
      <c r="E233" s="229"/>
      <c r="F233" s="229" t="s">
        <v>82</v>
      </c>
      <c r="G233" s="229" t="s">
        <v>82</v>
      </c>
      <c r="H233" s="229"/>
      <c r="I233" s="229"/>
      <c r="J233" s="229">
        <v>-10</v>
      </c>
      <c r="K233" s="230">
        <v>10</v>
      </c>
      <c r="L233" s="229" t="s">
        <v>1865</v>
      </c>
      <c r="M233" s="229">
        <v>4.8828125E-4</v>
      </c>
      <c r="N233" s="229" t="s">
        <v>265</v>
      </c>
      <c r="O233" s="229" t="s">
        <v>261</v>
      </c>
      <c r="P233" s="231"/>
    </row>
    <row r="234" spans="1:16" ht="20.399999999999999" x14ac:dyDescent="0.25">
      <c r="A234" s="227" t="s">
        <v>2193</v>
      </c>
      <c r="B234" s="228" t="s">
        <v>2194</v>
      </c>
      <c r="C234" s="228" t="s">
        <v>490</v>
      </c>
      <c r="D234" s="228" t="s">
        <v>491</v>
      </c>
      <c r="E234" s="229"/>
      <c r="F234" s="229" t="s">
        <v>82</v>
      </c>
      <c r="G234" s="229" t="s">
        <v>82</v>
      </c>
      <c r="H234" s="229"/>
      <c r="I234" s="229"/>
      <c r="J234" s="229">
        <v>-10</v>
      </c>
      <c r="K234" s="230">
        <v>10</v>
      </c>
      <c r="L234" s="229" t="s">
        <v>1865</v>
      </c>
      <c r="M234" s="229">
        <v>4.8828125E-4</v>
      </c>
      <c r="N234" s="229" t="s">
        <v>265</v>
      </c>
      <c r="O234" s="229" t="s">
        <v>261</v>
      </c>
      <c r="P234" s="231"/>
    </row>
    <row r="235" spans="1:16" ht="20.399999999999999" x14ac:dyDescent="0.25">
      <c r="A235" s="227" t="s">
        <v>2195</v>
      </c>
      <c r="B235" s="228" t="s">
        <v>2196</v>
      </c>
      <c r="C235" s="228" t="s">
        <v>490</v>
      </c>
      <c r="D235" s="228" t="s">
        <v>491</v>
      </c>
      <c r="E235" s="229"/>
      <c r="F235" s="229" t="s">
        <v>82</v>
      </c>
      <c r="G235" s="229" t="s">
        <v>82</v>
      </c>
      <c r="H235" s="229"/>
      <c r="I235" s="229"/>
      <c r="J235" s="229">
        <v>-10</v>
      </c>
      <c r="K235" s="230">
        <v>10</v>
      </c>
      <c r="L235" s="229" t="s">
        <v>1865</v>
      </c>
      <c r="M235" s="229">
        <v>4.8828125E-4</v>
      </c>
      <c r="N235" s="229" t="s">
        <v>265</v>
      </c>
      <c r="O235" s="229" t="s">
        <v>261</v>
      </c>
      <c r="P235" s="231"/>
    </row>
    <row r="236" spans="1:16" ht="20.399999999999999" x14ac:dyDescent="0.25">
      <c r="A236" s="227" t="s">
        <v>2197</v>
      </c>
      <c r="B236" s="228" t="s">
        <v>2198</v>
      </c>
      <c r="C236" s="228" t="s">
        <v>490</v>
      </c>
      <c r="D236" s="228" t="s">
        <v>491</v>
      </c>
      <c r="E236" s="229"/>
      <c r="F236" s="229" t="s">
        <v>82</v>
      </c>
      <c r="G236" s="229" t="s">
        <v>82</v>
      </c>
      <c r="H236" s="229"/>
      <c r="I236" s="229"/>
      <c r="J236" s="229">
        <v>0</v>
      </c>
      <c r="K236" s="230">
        <v>65534</v>
      </c>
      <c r="L236" s="229">
        <v>1</v>
      </c>
      <c r="M236" s="229">
        <v>1</v>
      </c>
      <c r="N236" s="229" t="s">
        <v>424</v>
      </c>
      <c r="O236" s="229" t="s">
        <v>267</v>
      </c>
      <c r="P236" s="231"/>
    </row>
    <row r="237" spans="1:16" ht="20.399999999999999" x14ac:dyDescent="0.25">
      <c r="A237" s="227" t="s">
        <v>2199</v>
      </c>
      <c r="B237" s="228" t="s">
        <v>2200</v>
      </c>
      <c r="C237" s="228" t="s">
        <v>490</v>
      </c>
      <c r="D237" s="228" t="s">
        <v>491</v>
      </c>
      <c r="E237" s="229"/>
      <c r="F237" s="229" t="s">
        <v>82</v>
      </c>
      <c r="G237" s="229" t="s">
        <v>82</v>
      </c>
      <c r="H237" s="229"/>
      <c r="I237" s="229"/>
      <c r="J237" s="229">
        <v>0</v>
      </c>
      <c r="K237" s="230">
        <v>4</v>
      </c>
      <c r="L237" s="229">
        <v>1</v>
      </c>
      <c r="M237" s="229">
        <v>1</v>
      </c>
      <c r="N237" s="229" t="s">
        <v>424</v>
      </c>
      <c r="O237" s="229" t="s">
        <v>1003</v>
      </c>
      <c r="P237" s="231"/>
    </row>
    <row r="238" spans="1:16" ht="20.399999999999999" x14ac:dyDescent="0.25">
      <c r="A238" s="227" t="s">
        <v>2201</v>
      </c>
      <c r="B238" s="228" t="s">
        <v>2202</v>
      </c>
      <c r="C238" s="228" t="s">
        <v>490</v>
      </c>
      <c r="D238" s="228" t="s">
        <v>491</v>
      </c>
      <c r="E238" s="229"/>
      <c r="F238" s="229" t="s">
        <v>82</v>
      </c>
      <c r="G238" s="229" t="s">
        <v>82</v>
      </c>
      <c r="H238" s="229"/>
      <c r="I238" s="229"/>
      <c r="J238" s="229">
        <v>-10</v>
      </c>
      <c r="K238" s="230">
        <v>10</v>
      </c>
      <c r="L238" s="229" t="s">
        <v>1865</v>
      </c>
      <c r="M238" s="229">
        <v>4.8828125E-4</v>
      </c>
      <c r="N238" s="229" t="s">
        <v>2203</v>
      </c>
      <c r="O238" s="229" t="s">
        <v>261</v>
      </c>
      <c r="P238" s="231"/>
    </row>
    <row r="239" spans="1:16" ht="20.399999999999999" x14ac:dyDescent="0.25">
      <c r="A239" s="227" t="s">
        <v>2204</v>
      </c>
      <c r="B239" s="228" t="s">
        <v>2205</v>
      </c>
      <c r="C239" s="228" t="s">
        <v>490</v>
      </c>
      <c r="D239" s="228" t="s">
        <v>491</v>
      </c>
      <c r="E239" s="229"/>
      <c r="F239" s="229" t="s">
        <v>82</v>
      </c>
      <c r="G239" s="229" t="s">
        <v>82</v>
      </c>
      <c r="H239" s="229"/>
      <c r="I239" s="229"/>
      <c r="J239" s="229" t="b">
        <v>0</v>
      </c>
      <c r="K239" s="230" t="b">
        <v>1</v>
      </c>
      <c r="L239" s="229" t="s">
        <v>1871</v>
      </c>
      <c r="M239" s="229" t="s">
        <v>1871</v>
      </c>
      <c r="N239" s="229" t="s">
        <v>271</v>
      </c>
      <c r="O239" s="229" t="s">
        <v>501</v>
      </c>
      <c r="P239" s="231"/>
    </row>
    <row r="240" spans="1:16" ht="20.399999999999999" x14ac:dyDescent="0.25">
      <c r="A240" s="227" t="s">
        <v>2206</v>
      </c>
      <c r="B240" s="228" t="s">
        <v>2207</v>
      </c>
      <c r="C240" s="228" t="s">
        <v>490</v>
      </c>
      <c r="D240" s="228" t="s">
        <v>491</v>
      </c>
      <c r="E240" s="229"/>
      <c r="F240" s="229" t="s">
        <v>82</v>
      </c>
      <c r="G240" s="229" t="s">
        <v>82</v>
      </c>
      <c r="H240" s="229"/>
      <c r="I240" s="229"/>
      <c r="J240" s="229" t="b">
        <v>0</v>
      </c>
      <c r="K240" s="230" t="b">
        <v>1</v>
      </c>
      <c r="L240" s="229" t="s">
        <v>1871</v>
      </c>
      <c r="M240" s="229" t="s">
        <v>1871</v>
      </c>
      <c r="N240" s="229" t="s">
        <v>271</v>
      </c>
      <c r="O240" s="229" t="s">
        <v>501</v>
      </c>
      <c r="P240" s="231"/>
    </row>
    <row r="241" spans="1:16" ht="20.399999999999999" x14ac:dyDescent="0.25">
      <c r="A241" s="227" t="s">
        <v>4956</v>
      </c>
      <c r="B241" s="228"/>
      <c r="C241" s="228" t="s">
        <v>490</v>
      </c>
      <c r="D241" s="228" t="s">
        <v>491</v>
      </c>
      <c r="E241" s="229"/>
      <c r="F241" s="229" t="s">
        <v>139</v>
      </c>
      <c r="G241" s="229" t="s">
        <v>82</v>
      </c>
      <c r="H241" s="229"/>
      <c r="I241" s="229">
        <v>0</v>
      </c>
      <c r="J241" s="229">
        <v>0</v>
      </c>
      <c r="K241" s="230" t="s">
        <v>909</v>
      </c>
      <c r="L241" s="229">
        <v>1</v>
      </c>
      <c r="M241" s="229">
        <v>0</v>
      </c>
      <c r="N241" s="229" t="s">
        <v>273</v>
      </c>
      <c r="O241" s="229" t="s">
        <v>4430</v>
      </c>
      <c r="P241" s="231"/>
    </row>
    <row r="242" spans="1:16" x14ac:dyDescent="0.25">
      <c r="A242" s="227" t="s">
        <v>2208</v>
      </c>
      <c r="B242" s="228" t="s">
        <v>2209</v>
      </c>
      <c r="C242" s="228" t="s">
        <v>598</v>
      </c>
      <c r="D242" s="228" t="s">
        <v>176</v>
      </c>
      <c r="E242" s="229" t="s">
        <v>2210</v>
      </c>
      <c r="F242" s="229" t="s">
        <v>136</v>
      </c>
      <c r="G242" s="229" t="s">
        <v>82</v>
      </c>
      <c r="H242" s="229"/>
      <c r="I242" s="229">
        <v>0</v>
      </c>
      <c r="J242" s="229">
        <v>5</v>
      </c>
      <c r="K242" s="230">
        <v>31</v>
      </c>
      <c r="L242" s="229" t="s">
        <v>1865</v>
      </c>
      <c r="M242" s="229"/>
      <c r="N242" s="229" t="s">
        <v>599</v>
      </c>
      <c r="O242" s="229" t="s">
        <v>261</v>
      </c>
      <c r="P242" s="231"/>
    </row>
    <row r="243" spans="1:16" ht="26.4" x14ac:dyDescent="0.25">
      <c r="A243" s="227" t="s">
        <v>2211</v>
      </c>
      <c r="B243" s="228" t="s">
        <v>2212</v>
      </c>
      <c r="C243" s="228" t="s">
        <v>598</v>
      </c>
      <c r="D243" s="228" t="s">
        <v>176</v>
      </c>
      <c r="E243" s="229" t="s">
        <v>2213</v>
      </c>
      <c r="F243" s="229" t="s">
        <v>136</v>
      </c>
      <c r="G243" s="229" t="s">
        <v>82</v>
      </c>
      <c r="H243" s="229"/>
      <c r="I243" s="229">
        <v>0</v>
      </c>
      <c r="J243" s="229">
        <v>5</v>
      </c>
      <c r="K243" s="230">
        <v>31</v>
      </c>
      <c r="L243" s="229" t="s">
        <v>1865</v>
      </c>
      <c r="M243" s="229"/>
      <c r="N243" s="229" t="s">
        <v>599</v>
      </c>
      <c r="O243" s="229" t="s">
        <v>261</v>
      </c>
      <c r="P243" s="231"/>
    </row>
    <row r="244" spans="1:16" ht="26.4" x14ac:dyDescent="0.25">
      <c r="A244" s="227" t="s">
        <v>2214</v>
      </c>
      <c r="B244" s="228" t="s">
        <v>2215</v>
      </c>
      <c r="C244" s="228" t="s">
        <v>598</v>
      </c>
      <c r="D244" s="228" t="s">
        <v>176</v>
      </c>
      <c r="E244" s="229" t="s">
        <v>2216</v>
      </c>
      <c r="F244" s="229" t="s">
        <v>138</v>
      </c>
      <c r="G244" s="229" t="s">
        <v>82</v>
      </c>
      <c r="H244" s="229"/>
      <c r="I244" s="229" t="b">
        <v>0</v>
      </c>
      <c r="J244" s="229" t="b">
        <v>0</v>
      </c>
      <c r="K244" s="230" t="b">
        <v>1</v>
      </c>
      <c r="L244" s="229" t="s">
        <v>1883</v>
      </c>
      <c r="M244" s="229" t="s">
        <v>1883</v>
      </c>
      <c r="N244" s="229" t="s">
        <v>1883</v>
      </c>
      <c r="O244" s="229" t="s">
        <v>501</v>
      </c>
      <c r="P244" s="231"/>
    </row>
    <row r="245" spans="1:16" ht="26.4" x14ac:dyDescent="0.25">
      <c r="A245" s="227" t="s">
        <v>2217</v>
      </c>
      <c r="B245" s="228" t="s">
        <v>2218</v>
      </c>
      <c r="C245" s="228" t="s">
        <v>598</v>
      </c>
      <c r="D245" s="228" t="s">
        <v>176</v>
      </c>
      <c r="E245" s="229" t="s">
        <v>2219</v>
      </c>
      <c r="F245" s="229" t="s">
        <v>138</v>
      </c>
      <c r="G245" s="229" t="s">
        <v>82</v>
      </c>
      <c r="H245" s="229"/>
      <c r="I245" s="229">
        <v>0</v>
      </c>
      <c r="J245" s="229">
        <v>5</v>
      </c>
      <c r="K245" s="230">
        <v>31</v>
      </c>
      <c r="L245" s="229" t="s">
        <v>1865</v>
      </c>
      <c r="M245" s="229">
        <v>6.25E-2</v>
      </c>
      <c r="N245" s="229" t="s">
        <v>599</v>
      </c>
      <c r="O245" s="229" t="s">
        <v>261</v>
      </c>
      <c r="P245" s="231"/>
    </row>
    <row r="246" spans="1:16" x14ac:dyDescent="0.25">
      <c r="A246" s="227" t="s">
        <v>2220</v>
      </c>
      <c r="B246" s="228" t="s">
        <v>2221</v>
      </c>
      <c r="C246" s="228" t="s">
        <v>598</v>
      </c>
      <c r="D246" s="228" t="s">
        <v>176</v>
      </c>
      <c r="E246" s="229"/>
      <c r="F246" s="229" t="s">
        <v>136</v>
      </c>
      <c r="G246" s="229" t="s">
        <v>82</v>
      </c>
      <c r="H246" s="229"/>
      <c r="I246" s="229">
        <v>0</v>
      </c>
      <c r="J246" s="229">
        <v>5</v>
      </c>
      <c r="K246" s="230">
        <v>31</v>
      </c>
      <c r="L246" s="229" t="s">
        <v>1865</v>
      </c>
      <c r="M246" s="229"/>
      <c r="N246" s="229" t="s">
        <v>599</v>
      </c>
      <c r="O246" s="229" t="s">
        <v>261</v>
      </c>
      <c r="P246" s="231"/>
    </row>
    <row r="247" spans="1:16" x14ac:dyDescent="0.25">
      <c r="A247" s="227" t="s">
        <v>2222</v>
      </c>
      <c r="B247" s="228" t="s">
        <v>2223</v>
      </c>
      <c r="C247" s="228" t="s">
        <v>598</v>
      </c>
      <c r="D247" s="228" t="s">
        <v>176</v>
      </c>
      <c r="E247" s="229"/>
      <c r="F247" s="229" t="s">
        <v>138</v>
      </c>
      <c r="G247" s="229" t="s">
        <v>82</v>
      </c>
      <c r="H247" s="229"/>
      <c r="I247" s="229">
        <v>0</v>
      </c>
      <c r="J247" s="229">
        <v>5</v>
      </c>
      <c r="K247" s="230">
        <v>31</v>
      </c>
      <c r="L247" s="229" t="s">
        <v>1865</v>
      </c>
      <c r="M247" s="229">
        <v>6.25E-2</v>
      </c>
      <c r="N247" s="229" t="s">
        <v>599</v>
      </c>
      <c r="O247" s="229" t="s">
        <v>261</v>
      </c>
      <c r="P247" s="231"/>
    </row>
    <row r="248" spans="1:16" x14ac:dyDescent="0.25">
      <c r="A248" s="227" t="s">
        <v>2224</v>
      </c>
      <c r="B248" s="228"/>
      <c r="C248" s="228" t="s">
        <v>598</v>
      </c>
      <c r="D248" s="228"/>
      <c r="E248" s="229"/>
      <c r="F248" s="229" t="s">
        <v>139</v>
      </c>
      <c r="G248" s="229" t="s">
        <v>82</v>
      </c>
      <c r="H248" s="229"/>
      <c r="I248" s="229">
        <v>0</v>
      </c>
      <c r="J248" s="229">
        <v>5</v>
      </c>
      <c r="K248" s="230">
        <v>31</v>
      </c>
      <c r="L248" s="229" t="s">
        <v>1865</v>
      </c>
      <c r="M248" s="229">
        <v>6.25E-2</v>
      </c>
      <c r="N248" s="229" t="s">
        <v>599</v>
      </c>
      <c r="O248" s="229" t="s">
        <v>261</v>
      </c>
      <c r="P248" s="231"/>
    </row>
    <row r="249" spans="1:16" x14ac:dyDescent="0.25">
      <c r="A249" s="227" t="s">
        <v>2225</v>
      </c>
      <c r="B249" s="228"/>
      <c r="C249" s="228" t="s">
        <v>598</v>
      </c>
      <c r="D249" s="228"/>
      <c r="E249" s="229"/>
      <c r="F249" s="229" t="s">
        <v>139</v>
      </c>
      <c r="G249" s="229" t="s">
        <v>82</v>
      </c>
      <c r="H249" s="229"/>
      <c r="I249" s="229">
        <v>0</v>
      </c>
      <c r="J249" s="229">
        <v>5</v>
      </c>
      <c r="K249" s="230">
        <v>31</v>
      </c>
      <c r="L249" s="229" t="s">
        <v>1865</v>
      </c>
      <c r="M249" s="229">
        <v>6.25E-2</v>
      </c>
      <c r="N249" s="229" t="s">
        <v>599</v>
      </c>
      <c r="O249" s="229" t="s">
        <v>261</v>
      </c>
      <c r="P249" s="231"/>
    </row>
    <row r="250" spans="1:16" x14ac:dyDescent="0.25">
      <c r="A250" s="227" t="s">
        <v>2226</v>
      </c>
      <c r="B250" s="228"/>
      <c r="C250" s="228" t="s">
        <v>598</v>
      </c>
      <c r="D250" s="228"/>
      <c r="E250" s="229"/>
      <c r="F250" s="229" t="s">
        <v>139</v>
      </c>
      <c r="G250" s="229" t="s">
        <v>82</v>
      </c>
      <c r="H250" s="229"/>
      <c r="I250" s="229" t="b">
        <v>0</v>
      </c>
      <c r="J250" s="229" t="b">
        <v>0</v>
      </c>
      <c r="K250" s="230" t="b">
        <v>1</v>
      </c>
      <c r="L250" s="229" t="s">
        <v>1883</v>
      </c>
      <c r="M250" s="229" t="s">
        <v>1883</v>
      </c>
      <c r="N250" s="229" t="s">
        <v>1883</v>
      </c>
      <c r="O250" s="229" t="s">
        <v>501</v>
      </c>
      <c r="P250" s="231"/>
    </row>
    <row r="251" spans="1:16" x14ac:dyDescent="0.25">
      <c r="A251" s="227" t="s">
        <v>2227</v>
      </c>
      <c r="B251" s="228" t="s">
        <v>2228</v>
      </c>
      <c r="C251" s="228" t="s">
        <v>598</v>
      </c>
      <c r="D251" s="228" t="s">
        <v>176</v>
      </c>
      <c r="E251" s="229"/>
      <c r="F251" s="229" t="s">
        <v>141</v>
      </c>
      <c r="G251" s="229" t="s">
        <v>82</v>
      </c>
      <c r="H251" s="229"/>
      <c r="I251" s="229">
        <v>0</v>
      </c>
      <c r="J251" s="229">
        <v>0</v>
      </c>
      <c r="K251" s="230">
        <v>26</v>
      </c>
      <c r="L251" s="229" t="s">
        <v>1865</v>
      </c>
      <c r="M251" s="229">
        <v>6.25E-2</v>
      </c>
      <c r="N251" s="229" t="s">
        <v>599</v>
      </c>
      <c r="O251" s="229" t="s">
        <v>261</v>
      </c>
      <c r="P251" s="231"/>
    </row>
    <row r="252" spans="1:16" x14ac:dyDescent="0.25">
      <c r="A252" s="227" t="s">
        <v>2229</v>
      </c>
      <c r="B252" s="228" t="s">
        <v>2230</v>
      </c>
      <c r="C252" s="228" t="s">
        <v>598</v>
      </c>
      <c r="D252" s="228" t="s">
        <v>176</v>
      </c>
      <c r="E252" s="229"/>
      <c r="F252" s="229" t="s">
        <v>141</v>
      </c>
      <c r="G252" s="229" t="s">
        <v>82</v>
      </c>
      <c r="H252" s="229"/>
      <c r="I252" s="229">
        <v>0</v>
      </c>
      <c r="J252" s="229">
        <v>0</v>
      </c>
      <c r="K252" s="230">
        <v>26</v>
      </c>
      <c r="L252" s="229" t="s">
        <v>1865</v>
      </c>
      <c r="M252" s="229">
        <v>6.25E-2</v>
      </c>
      <c r="N252" s="229" t="s">
        <v>599</v>
      </c>
      <c r="O252" s="229" t="s">
        <v>261</v>
      </c>
      <c r="P252" s="231"/>
    </row>
    <row r="253" spans="1:16" x14ac:dyDescent="0.25">
      <c r="A253" s="227" t="s">
        <v>2231</v>
      </c>
      <c r="B253" s="228" t="s">
        <v>2232</v>
      </c>
      <c r="C253" s="228" t="s">
        <v>598</v>
      </c>
      <c r="D253" s="228" t="s">
        <v>176</v>
      </c>
      <c r="E253" s="229"/>
      <c r="F253" s="229" t="s">
        <v>139</v>
      </c>
      <c r="G253" s="229" t="s">
        <v>82</v>
      </c>
      <c r="H253" s="229"/>
      <c r="I253" s="229">
        <v>0</v>
      </c>
      <c r="J253" s="229">
        <v>0</v>
      </c>
      <c r="K253" s="230">
        <v>255</v>
      </c>
      <c r="L253" s="229">
        <v>1</v>
      </c>
      <c r="M253" s="229">
        <v>0</v>
      </c>
      <c r="N253" s="229" t="s">
        <v>271</v>
      </c>
      <c r="O253" s="229" t="s">
        <v>267</v>
      </c>
      <c r="P253" s="231"/>
    </row>
    <row r="254" spans="1:16" x14ac:dyDescent="0.25">
      <c r="A254" s="227" t="s">
        <v>2233</v>
      </c>
      <c r="B254" s="228" t="s">
        <v>2234</v>
      </c>
      <c r="C254" s="228" t="s">
        <v>598</v>
      </c>
      <c r="D254" s="228" t="s">
        <v>176</v>
      </c>
      <c r="E254" s="229"/>
      <c r="F254" s="229" t="s">
        <v>139</v>
      </c>
      <c r="G254" s="229" t="s">
        <v>82</v>
      </c>
      <c r="H254" s="229"/>
      <c r="I254" s="229">
        <v>0</v>
      </c>
      <c r="J254" s="229">
        <v>0</v>
      </c>
      <c r="K254" s="230">
        <v>255</v>
      </c>
      <c r="L254" s="229">
        <v>1</v>
      </c>
      <c r="M254" s="229">
        <v>0</v>
      </c>
      <c r="N254" s="229" t="s">
        <v>271</v>
      </c>
      <c r="O254" s="229" t="s">
        <v>267</v>
      </c>
      <c r="P254" s="231"/>
    </row>
    <row r="255" spans="1:16" ht="26.4" x14ac:dyDescent="0.25">
      <c r="A255" s="227" t="s">
        <v>3536</v>
      </c>
      <c r="B255" s="228" t="s">
        <v>3537</v>
      </c>
      <c r="C255" s="228" t="s">
        <v>598</v>
      </c>
      <c r="D255" s="228" t="s">
        <v>176</v>
      </c>
      <c r="E255" s="229" t="s">
        <v>3538</v>
      </c>
      <c r="F255" s="229" t="s">
        <v>82</v>
      </c>
      <c r="G255" s="229" t="s">
        <v>82</v>
      </c>
      <c r="H255" s="229"/>
      <c r="I255" s="229">
        <v>0</v>
      </c>
      <c r="J255" s="229">
        <v>0</v>
      </c>
      <c r="K255" s="230">
        <v>65535</v>
      </c>
      <c r="L255" s="229">
        <v>1</v>
      </c>
      <c r="M255" s="229">
        <v>0</v>
      </c>
      <c r="N255" s="229" t="s">
        <v>271</v>
      </c>
      <c r="O255" s="229" t="s">
        <v>267</v>
      </c>
      <c r="P255" s="231"/>
    </row>
    <row r="256" spans="1:16" ht="26.4" x14ac:dyDescent="0.25">
      <c r="A256" s="227" t="s">
        <v>3539</v>
      </c>
      <c r="B256" s="228" t="s">
        <v>3540</v>
      </c>
      <c r="C256" s="228" t="s">
        <v>598</v>
      </c>
      <c r="D256" s="228" t="s">
        <v>176</v>
      </c>
      <c r="E256" s="229" t="s">
        <v>3541</v>
      </c>
      <c r="F256" s="229" t="s">
        <v>82</v>
      </c>
      <c r="G256" s="229" t="s">
        <v>82</v>
      </c>
      <c r="H256" s="229"/>
      <c r="I256" s="229">
        <v>0</v>
      </c>
      <c r="J256" s="229">
        <v>0</v>
      </c>
      <c r="K256" s="230">
        <v>31</v>
      </c>
      <c r="L256" s="229" t="s">
        <v>1865</v>
      </c>
      <c r="M256" s="229">
        <v>1E-3</v>
      </c>
      <c r="N256" s="229" t="s">
        <v>599</v>
      </c>
      <c r="O256" s="229" t="s">
        <v>261</v>
      </c>
      <c r="P256" s="231"/>
    </row>
    <row r="257" spans="1:16" x14ac:dyDescent="0.25">
      <c r="A257" s="227" t="s">
        <v>3542</v>
      </c>
      <c r="B257" s="228"/>
      <c r="C257" s="228" t="s">
        <v>598</v>
      </c>
      <c r="D257" s="228" t="s">
        <v>176</v>
      </c>
      <c r="E257" s="229"/>
      <c r="F257" s="229" t="s">
        <v>139</v>
      </c>
      <c r="G257" s="229" t="s">
        <v>82</v>
      </c>
      <c r="H257" s="229"/>
      <c r="I257" s="229">
        <v>0</v>
      </c>
      <c r="J257" s="229">
        <v>5</v>
      </c>
      <c r="K257" s="230">
        <v>31</v>
      </c>
      <c r="L257" s="229" t="s">
        <v>1865</v>
      </c>
      <c r="M257" s="229">
        <v>1E-3</v>
      </c>
      <c r="N257" s="229" t="s">
        <v>599</v>
      </c>
      <c r="O257" s="229" t="s">
        <v>261</v>
      </c>
      <c r="P257" s="231"/>
    </row>
    <row r="258" spans="1:16" x14ac:dyDescent="0.25">
      <c r="A258" s="227" t="s">
        <v>4431</v>
      </c>
      <c r="B258" s="228"/>
      <c r="C258" s="228" t="s">
        <v>598</v>
      </c>
      <c r="D258" s="228" t="s">
        <v>176</v>
      </c>
      <c r="E258" s="229"/>
      <c r="F258" s="229" t="s">
        <v>139</v>
      </c>
      <c r="G258" s="229" t="s">
        <v>82</v>
      </c>
      <c r="H258" s="229"/>
      <c r="I258" s="229" t="b">
        <v>0</v>
      </c>
      <c r="J258" s="229" t="b">
        <v>0</v>
      </c>
      <c r="K258" s="230" t="b">
        <v>1</v>
      </c>
      <c r="L258" s="229" t="s">
        <v>1871</v>
      </c>
      <c r="M258" s="229" t="s">
        <v>1871</v>
      </c>
      <c r="N258" s="229" t="s">
        <v>271</v>
      </c>
      <c r="O258" s="229" t="s">
        <v>501</v>
      </c>
      <c r="P258" s="231"/>
    </row>
    <row r="259" spans="1:16" ht="52.8" x14ac:dyDescent="0.25">
      <c r="A259" s="227" t="s">
        <v>3556</v>
      </c>
      <c r="B259" s="228" t="s">
        <v>3557</v>
      </c>
      <c r="C259" s="228" t="s">
        <v>3436</v>
      </c>
      <c r="D259" s="228"/>
      <c r="E259" s="229" t="s">
        <v>3558</v>
      </c>
      <c r="F259" s="229" t="s">
        <v>136</v>
      </c>
      <c r="G259" s="229"/>
      <c r="H259" s="229"/>
      <c r="I259" s="229">
        <v>0</v>
      </c>
      <c r="J259" s="229">
        <v>0</v>
      </c>
      <c r="K259" s="230">
        <v>5</v>
      </c>
      <c r="L259" s="229" t="s">
        <v>1865</v>
      </c>
      <c r="M259" s="229"/>
      <c r="N259" s="229" t="s">
        <v>599</v>
      </c>
      <c r="O259" s="229" t="s">
        <v>261</v>
      </c>
      <c r="P259" s="231"/>
    </row>
    <row r="260" spans="1:16" ht="52.8" x14ac:dyDescent="0.25">
      <c r="A260" s="227" t="s">
        <v>3559</v>
      </c>
      <c r="B260" s="228" t="s">
        <v>3560</v>
      </c>
      <c r="C260" s="228" t="s">
        <v>3436</v>
      </c>
      <c r="D260" s="228"/>
      <c r="E260" s="229" t="s">
        <v>3561</v>
      </c>
      <c r="F260" s="229" t="s">
        <v>136</v>
      </c>
      <c r="G260" s="229"/>
      <c r="H260" s="229"/>
      <c r="I260" s="229">
        <v>0</v>
      </c>
      <c r="J260" s="229">
        <v>0</v>
      </c>
      <c r="K260" s="230">
        <v>5</v>
      </c>
      <c r="L260" s="229" t="s">
        <v>1865</v>
      </c>
      <c r="M260" s="229"/>
      <c r="N260" s="229" t="s">
        <v>599</v>
      </c>
      <c r="O260" s="229" t="s">
        <v>261</v>
      </c>
      <c r="P260" s="231"/>
    </row>
    <row r="261" spans="1:16" ht="26.4" x14ac:dyDescent="0.25">
      <c r="A261" s="227" t="s">
        <v>3562</v>
      </c>
      <c r="B261" s="228" t="s">
        <v>3563</v>
      </c>
      <c r="C261" s="228" t="s">
        <v>3436</v>
      </c>
      <c r="D261" s="228"/>
      <c r="E261" s="229" t="s">
        <v>3564</v>
      </c>
      <c r="F261" s="229" t="s">
        <v>136</v>
      </c>
      <c r="G261" s="229"/>
      <c r="H261" s="229"/>
      <c r="I261" s="229">
        <v>0</v>
      </c>
      <c r="J261" s="229">
        <v>-1118</v>
      </c>
      <c r="K261" s="230">
        <v>1118</v>
      </c>
      <c r="L261" s="229" t="s">
        <v>1865</v>
      </c>
      <c r="M261" s="229"/>
      <c r="N261" s="229" t="s">
        <v>263</v>
      </c>
      <c r="O261" s="229" t="s">
        <v>261</v>
      </c>
      <c r="P261" s="231"/>
    </row>
    <row r="262" spans="1:16" ht="52.8" x14ac:dyDescent="0.25">
      <c r="A262" s="227" t="s">
        <v>2235</v>
      </c>
      <c r="B262" s="228" t="s">
        <v>3565</v>
      </c>
      <c r="C262" s="228" t="s">
        <v>3436</v>
      </c>
      <c r="D262" s="228"/>
      <c r="E262" s="229" t="s">
        <v>3566</v>
      </c>
      <c r="F262" s="229" t="s">
        <v>136</v>
      </c>
      <c r="G262" s="229"/>
      <c r="H262" s="229"/>
      <c r="I262" s="229">
        <v>0</v>
      </c>
      <c r="J262" s="229">
        <v>5</v>
      </c>
      <c r="K262" s="230">
        <v>30</v>
      </c>
      <c r="L262" s="229" t="s">
        <v>1865</v>
      </c>
      <c r="M262" s="229"/>
      <c r="N262" s="229" t="s">
        <v>599</v>
      </c>
      <c r="O262" s="229" t="s">
        <v>261</v>
      </c>
      <c r="P262" s="231"/>
    </row>
    <row r="263" spans="1:16" ht="52.8" x14ac:dyDescent="0.25">
      <c r="A263" s="227" t="s">
        <v>3567</v>
      </c>
      <c r="B263" s="228" t="s">
        <v>3568</v>
      </c>
      <c r="C263" s="228" t="s">
        <v>3436</v>
      </c>
      <c r="D263" s="228"/>
      <c r="E263" s="229" t="s">
        <v>3569</v>
      </c>
      <c r="F263" s="229" t="s">
        <v>136</v>
      </c>
      <c r="G263" s="229"/>
      <c r="H263" s="229"/>
      <c r="I263" s="229">
        <v>0</v>
      </c>
      <c r="J263" s="229">
        <v>0</v>
      </c>
      <c r="K263" s="230">
        <v>20</v>
      </c>
      <c r="L263" s="229" t="s">
        <v>1865</v>
      </c>
      <c r="M263" s="229"/>
      <c r="N263" s="229" t="s">
        <v>599</v>
      </c>
      <c r="O263" s="229" t="s">
        <v>261</v>
      </c>
      <c r="P263" s="231"/>
    </row>
    <row r="264" spans="1:16" x14ac:dyDescent="0.25">
      <c r="A264" s="227" t="s">
        <v>2606</v>
      </c>
      <c r="B264" s="228"/>
      <c r="C264" s="228" t="s">
        <v>3436</v>
      </c>
      <c r="D264" s="228"/>
      <c r="E264" s="229"/>
      <c r="F264" s="229" t="s">
        <v>136</v>
      </c>
      <c r="G264" s="229"/>
      <c r="H264" s="229"/>
      <c r="I264" s="229" t="b">
        <v>0</v>
      </c>
      <c r="J264" s="229" t="b">
        <v>0</v>
      </c>
      <c r="K264" s="230" t="b">
        <v>1</v>
      </c>
      <c r="L264" s="229" t="s">
        <v>1883</v>
      </c>
      <c r="M264" s="229"/>
      <c r="N264" s="229" t="s">
        <v>424</v>
      </c>
      <c r="O264" s="229" t="s">
        <v>501</v>
      </c>
      <c r="P264" s="231"/>
    </row>
    <row r="265" spans="1:16" x14ac:dyDescent="0.25">
      <c r="A265" s="227" t="s">
        <v>2609</v>
      </c>
      <c r="B265" s="228"/>
      <c r="C265" s="228" t="s">
        <v>3436</v>
      </c>
      <c r="D265" s="228"/>
      <c r="E265" s="229"/>
      <c r="F265" s="229" t="s">
        <v>136</v>
      </c>
      <c r="G265" s="229"/>
      <c r="H265" s="229"/>
      <c r="I265" s="229" t="b">
        <v>0</v>
      </c>
      <c r="J265" s="229" t="b">
        <v>0</v>
      </c>
      <c r="K265" s="230" t="b">
        <v>1</v>
      </c>
      <c r="L265" s="229" t="s">
        <v>1883</v>
      </c>
      <c r="M265" s="229"/>
      <c r="N265" s="229" t="s">
        <v>424</v>
      </c>
      <c r="O265" s="229" t="s">
        <v>501</v>
      </c>
      <c r="P265" s="231"/>
    </row>
    <row r="266" spans="1:16" ht="39.6" x14ac:dyDescent="0.25">
      <c r="A266" s="227" t="s">
        <v>3570</v>
      </c>
      <c r="B266" s="228" t="s">
        <v>3571</v>
      </c>
      <c r="C266" s="228" t="s">
        <v>3436</v>
      </c>
      <c r="D266" s="228" t="s">
        <v>3437</v>
      </c>
      <c r="E266" s="229" t="s">
        <v>3572</v>
      </c>
      <c r="F266" s="229" t="s">
        <v>138</v>
      </c>
      <c r="G266" s="229"/>
      <c r="H266" s="229"/>
      <c r="I266" s="229" t="b">
        <v>0</v>
      </c>
      <c r="J266" s="229" t="b">
        <v>0</v>
      </c>
      <c r="K266" s="230" t="b">
        <v>1</v>
      </c>
      <c r="L266" s="229" t="s">
        <v>1883</v>
      </c>
      <c r="M266" s="229" t="s">
        <v>1883</v>
      </c>
      <c r="N266" s="229" t="s">
        <v>424</v>
      </c>
      <c r="O266" s="229" t="s">
        <v>501</v>
      </c>
      <c r="P266" s="231"/>
    </row>
    <row r="267" spans="1:16" ht="39.6" x14ac:dyDescent="0.25">
      <c r="A267" s="227" t="s">
        <v>2593</v>
      </c>
      <c r="B267" s="228" t="s">
        <v>2595</v>
      </c>
      <c r="C267" s="228" t="s">
        <v>3436</v>
      </c>
      <c r="D267" s="228" t="s">
        <v>3437</v>
      </c>
      <c r="E267" s="229" t="s">
        <v>3573</v>
      </c>
      <c r="F267" s="229" t="s">
        <v>138</v>
      </c>
      <c r="G267" s="229"/>
      <c r="H267" s="229"/>
      <c r="I267" s="229" t="b">
        <v>0</v>
      </c>
      <c r="J267" s="229" t="b">
        <v>0</v>
      </c>
      <c r="K267" s="230" t="b">
        <v>1</v>
      </c>
      <c r="L267" s="229" t="s">
        <v>1883</v>
      </c>
      <c r="M267" s="229" t="s">
        <v>1883</v>
      </c>
      <c r="N267" s="229" t="s">
        <v>424</v>
      </c>
      <c r="O267" s="229" t="s">
        <v>501</v>
      </c>
      <c r="P267" s="231"/>
    </row>
    <row r="268" spans="1:16" ht="39.6" x14ac:dyDescent="0.25">
      <c r="A268" s="227" t="s">
        <v>2600</v>
      </c>
      <c r="B268" s="228" t="s">
        <v>2601</v>
      </c>
      <c r="C268" s="228" t="s">
        <v>3436</v>
      </c>
      <c r="D268" s="228" t="s">
        <v>3437</v>
      </c>
      <c r="E268" s="229" t="s">
        <v>3574</v>
      </c>
      <c r="F268" s="229" t="s">
        <v>138</v>
      </c>
      <c r="G268" s="229"/>
      <c r="H268" s="229"/>
      <c r="I268" s="229" t="b">
        <v>0</v>
      </c>
      <c r="J268" s="229" t="b">
        <v>0</v>
      </c>
      <c r="K268" s="230" t="b">
        <v>1</v>
      </c>
      <c r="L268" s="229" t="s">
        <v>1883</v>
      </c>
      <c r="M268" s="229" t="s">
        <v>1883</v>
      </c>
      <c r="N268" s="229" t="s">
        <v>424</v>
      </c>
      <c r="O268" s="229" t="s">
        <v>501</v>
      </c>
      <c r="P268" s="231"/>
    </row>
    <row r="269" spans="1:16" ht="30.6" x14ac:dyDescent="0.25">
      <c r="A269" s="227" t="s">
        <v>3575</v>
      </c>
      <c r="B269" s="228"/>
      <c r="C269" s="228" t="s">
        <v>3436</v>
      </c>
      <c r="D269" s="228" t="s">
        <v>3437</v>
      </c>
      <c r="E269" s="229"/>
      <c r="F269" s="229" t="s">
        <v>139</v>
      </c>
      <c r="G269" s="229"/>
      <c r="H269" s="229"/>
      <c r="I269" s="229" t="b">
        <v>0</v>
      </c>
      <c r="J269" s="229" t="b">
        <v>0</v>
      </c>
      <c r="K269" s="230" t="b">
        <v>1</v>
      </c>
      <c r="L269" s="229" t="s">
        <v>1883</v>
      </c>
      <c r="M269" s="229" t="s">
        <v>1883</v>
      </c>
      <c r="N269" s="229" t="s">
        <v>424</v>
      </c>
      <c r="O269" s="229" t="s">
        <v>501</v>
      </c>
      <c r="P269" s="231"/>
    </row>
    <row r="270" spans="1:16" ht="30.6" x14ac:dyDescent="0.25">
      <c r="A270" s="227" t="s">
        <v>3576</v>
      </c>
      <c r="B270" s="228"/>
      <c r="C270" s="228" t="s">
        <v>3436</v>
      </c>
      <c r="D270" s="228" t="s">
        <v>3437</v>
      </c>
      <c r="E270" s="229"/>
      <c r="F270" s="229" t="s">
        <v>139</v>
      </c>
      <c r="G270" s="229"/>
      <c r="H270" s="229"/>
      <c r="I270" s="229" t="b">
        <v>0</v>
      </c>
      <c r="J270" s="229" t="b">
        <v>0</v>
      </c>
      <c r="K270" s="230" t="b">
        <v>1</v>
      </c>
      <c r="L270" s="229" t="s">
        <v>1883</v>
      </c>
      <c r="M270" s="229" t="s">
        <v>1883</v>
      </c>
      <c r="N270" s="229" t="s">
        <v>424</v>
      </c>
      <c r="O270" s="229" t="s">
        <v>501</v>
      </c>
      <c r="P270" s="231"/>
    </row>
    <row r="271" spans="1:16" ht="30.6" x14ac:dyDescent="0.25">
      <c r="A271" s="227" t="s">
        <v>3577</v>
      </c>
      <c r="B271" s="228"/>
      <c r="C271" s="228" t="s">
        <v>3436</v>
      </c>
      <c r="D271" s="228" t="s">
        <v>3437</v>
      </c>
      <c r="E271" s="229"/>
      <c r="F271" s="229" t="s">
        <v>139</v>
      </c>
      <c r="G271" s="229"/>
      <c r="H271" s="229"/>
      <c r="I271" s="229" t="b">
        <v>0</v>
      </c>
      <c r="J271" s="229" t="b">
        <v>0</v>
      </c>
      <c r="K271" s="230" t="b">
        <v>1</v>
      </c>
      <c r="L271" s="229" t="s">
        <v>1883</v>
      </c>
      <c r="M271" s="229" t="s">
        <v>1883</v>
      </c>
      <c r="N271" s="229" t="s">
        <v>424</v>
      </c>
      <c r="O271" s="229" t="s">
        <v>501</v>
      </c>
      <c r="P271" s="231"/>
    </row>
    <row r="272" spans="1:16" ht="30.6" x14ac:dyDescent="0.25">
      <c r="A272" s="227" t="s">
        <v>3578</v>
      </c>
      <c r="B272" s="228"/>
      <c r="C272" s="228" t="s">
        <v>3436</v>
      </c>
      <c r="D272" s="228" t="s">
        <v>3437</v>
      </c>
      <c r="E272" s="229"/>
      <c r="F272" s="229" t="s">
        <v>139</v>
      </c>
      <c r="G272" s="229"/>
      <c r="H272" s="229"/>
      <c r="I272" s="229" t="b">
        <v>0</v>
      </c>
      <c r="J272" s="229" t="b">
        <v>0</v>
      </c>
      <c r="K272" s="230" t="b">
        <v>1</v>
      </c>
      <c r="L272" s="229" t="s">
        <v>1883</v>
      </c>
      <c r="M272" s="229" t="s">
        <v>1883</v>
      </c>
      <c r="N272" s="229" t="s">
        <v>424</v>
      </c>
      <c r="O272" s="229" t="s">
        <v>501</v>
      </c>
      <c r="P272" s="231"/>
    </row>
    <row r="273" spans="1:16" ht="30.6" x14ac:dyDescent="0.25">
      <c r="A273" s="227" t="s">
        <v>3579</v>
      </c>
      <c r="B273" s="228"/>
      <c r="C273" s="228" t="s">
        <v>3436</v>
      </c>
      <c r="D273" s="228" t="s">
        <v>3437</v>
      </c>
      <c r="E273" s="229"/>
      <c r="F273" s="229" t="s">
        <v>139</v>
      </c>
      <c r="G273" s="229"/>
      <c r="H273" s="229"/>
      <c r="I273" s="229" t="b">
        <v>0</v>
      </c>
      <c r="J273" s="229" t="b">
        <v>0</v>
      </c>
      <c r="K273" s="230" t="b">
        <v>1</v>
      </c>
      <c r="L273" s="229" t="s">
        <v>1883</v>
      </c>
      <c r="M273" s="229" t="s">
        <v>1883</v>
      </c>
      <c r="N273" s="229" t="s">
        <v>424</v>
      </c>
      <c r="O273" s="229" t="s">
        <v>501</v>
      </c>
      <c r="P273" s="231"/>
    </row>
    <row r="274" spans="1:16" ht="30.6" x14ac:dyDescent="0.25">
      <c r="A274" s="227" t="s">
        <v>3580</v>
      </c>
      <c r="B274" s="228" t="s">
        <v>3581</v>
      </c>
      <c r="C274" s="228" t="s">
        <v>3436</v>
      </c>
      <c r="D274" s="228" t="s">
        <v>3437</v>
      </c>
      <c r="E274" s="229"/>
      <c r="F274" s="229" t="s">
        <v>139</v>
      </c>
      <c r="G274" s="229"/>
      <c r="H274" s="229"/>
      <c r="I274" s="229">
        <v>0</v>
      </c>
      <c r="J274" s="229">
        <v>0</v>
      </c>
      <c r="K274" s="230">
        <v>7</v>
      </c>
      <c r="L274" s="229">
        <v>1</v>
      </c>
      <c r="M274" s="229">
        <v>0</v>
      </c>
      <c r="N274" s="229" t="s">
        <v>424</v>
      </c>
      <c r="O274" s="229"/>
      <c r="P274" s="231"/>
    </row>
    <row r="275" spans="1:16" ht="30.6" x14ac:dyDescent="0.25">
      <c r="A275" s="227" t="s">
        <v>3582</v>
      </c>
      <c r="B275" s="228"/>
      <c r="C275" s="228" t="s">
        <v>3436</v>
      </c>
      <c r="D275" s="228" t="s">
        <v>3437</v>
      </c>
      <c r="E275" s="229"/>
      <c r="F275" s="229" t="s">
        <v>139</v>
      </c>
      <c r="G275" s="229"/>
      <c r="H275" s="229"/>
      <c r="I275" s="229">
        <v>0</v>
      </c>
      <c r="J275" s="229">
        <v>0</v>
      </c>
      <c r="K275" s="230">
        <v>65535</v>
      </c>
      <c r="L275" s="229">
        <v>1</v>
      </c>
      <c r="M275" s="229">
        <v>0</v>
      </c>
      <c r="N275" s="229" t="s">
        <v>424</v>
      </c>
      <c r="O275" s="229" t="s">
        <v>267</v>
      </c>
      <c r="P275" s="231"/>
    </row>
    <row r="276" spans="1:16" ht="30.6" x14ac:dyDescent="0.25">
      <c r="A276" s="227" t="s">
        <v>3583</v>
      </c>
      <c r="B276" s="228"/>
      <c r="C276" s="228" t="s">
        <v>3436</v>
      </c>
      <c r="D276" s="228" t="s">
        <v>3437</v>
      </c>
      <c r="E276" s="229"/>
      <c r="F276" s="229" t="s">
        <v>139</v>
      </c>
      <c r="G276" s="229"/>
      <c r="H276" s="229"/>
      <c r="I276" s="229">
        <v>0</v>
      </c>
      <c r="J276" s="229">
        <v>0</v>
      </c>
      <c r="K276" s="230">
        <v>4294967295</v>
      </c>
      <c r="L276" s="229">
        <v>1</v>
      </c>
      <c r="M276" s="229">
        <v>1</v>
      </c>
      <c r="N276" s="229" t="s">
        <v>273</v>
      </c>
      <c r="O276" s="229" t="s">
        <v>321</v>
      </c>
      <c r="P276" s="231"/>
    </row>
    <row r="277" spans="1:16" ht="30.6" x14ac:dyDescent="0.25">
      <c r="A277" s="227" t="s">
        <v>3584</v>
      </c>
      <c r="B277" s="228"/>
      <c r="C277" s="228" t="s">
        <v>3436</v>
      </c>
      <c r="D277" s="228" t="s">
        <v>3437</v>
      </c>
      <c r="E277" s="229"/>
      <c r="F277" s="229" t="s">
        <v>139</v>
      </c>
      <c r="G277" s="229"/>
      <c r="H277" s="229"/>
      <c r="I277" s="229">
        <v>0</v>
      </c>
      <c r="J277" s="229">
        <v>0</v>
      </c>
      <c r="K277" s="230">
        <v>4294967295</v>
      </c>
      <c r="L277" s="229">
        <v>1</v>
      </c>
      <c r="M277" s="229">
        <v>1</v>
      </c>
      <c r="N277" s="229" t="s">
        <v>273</v>
      </c>
      <c r="O277" s="229" t="s">
        <v>321</v>
      </c>
      <c r="P277" s="231"/>
    </row>
    <row r="278" spans="1:16" ht="30.6" x14ac:dyDescent="0.25">
      <c r="A278" s="227" t="s">
        <v>3585</v>
      </c>
      <c r="B278" s="228"/>
      <c r="C278" s="228" t="s">
        <v>3436</v>
      </c>
      <c r="D278" s="228" t="s">
        <v>3437</v>
      </c>
      <c r="E278" s="229"/>
      <c r="F278" s="229" t="s">
        <v>139</v>
      </c>
      <c r="G278" s="229"/>
      <c r="H278" s="229"/>
      <c r="I278" s="229">
        <v>0</v>
      </c>
      <c r="J278" s="229">
        <v>0</v>
      </c>
      <c r="K278" s="230">
        <v>4294967295</v>
      </c>
      <c r="L278" s="229">
        <v>1</v>
      </c>
      <c r="M278" s="229">
        <v>1</v>
      </c>
      <c r="N278" s="229" t="s">
        <v>273</v>
      </c>
      <c r="O278" s="229" t="s">
        <v>321</v>
      </c>
      <c r="P278" s="231"/>
    </row>
    <row r="279" spans="1:16" ht="30.6" x14ac:dyDescent="0.25">
      <c r="A279" s="227" t="s">
        <v>3586</v>
      </c>
      <c r="B279" s="228"/>
      <c r="C279" s="228" t="s">
        <v>3436</v>
      </c>
      <c r="D279" s="228" t="s">
        <v>3437</v>
      </c>
      <c r="E279" s="229"/>
      <c r="F279" s="229" t="s">
        <v>139</v>
      </c>
      <c r="G279" s="229"/>
      <c r="H279" s="229"/>
      <c r="I279" s="229">
        <v>0</v>
      </c>
      <c r="J279" s="229">
        <v>0</v>
      </c>
      <c r="K279" s="230">
        <v>4294967295</v>
      </c>
      <c r="L279" s="229">
        <v>1</v>
      </c>
      <c r="M279" s="229">
        <v>1</v>
      </c>
      <c r="N279" s="229" t="s">
        <v>273</v>
      </c>
      <c r="O279" s="229" t="s">
        <v>321</v>
      </c>
      <c r="P279" s="231"/>
    </row>
    <row r="280" spans="1:16" ht="30.6" x14ac:dyDescent="0.25">
      <c r="A280" s="227" t="s">
        <v>3587</v>
      </c>
      <c r="B280" s="228"/>
      <c r="C280" s="228" t="s">
        <v>3436</v>
      </c>
      <c r="D280" s="228" t="s">
        <v>3437</v>
      </c>
      <c r="E280" s="229"/>
      <c r="F280" s="229" t="s">
        <v>139</v>
      </c>
      <c r="G280" s="229"/>
      <c r="H280" s="229"/>
      <c r="I280" s="229">
        <v>0</v>
      </c>
      <c r="J280" s="229">
        <v>0</v>
      </c>
      <c r="K280" s="230">
        <v>4294967295</v>
      </c>
      <c r="L280" s="229">
        <v>1</v>
      </c>
      <c r="M280" s="229">
        <v>1</v>
      </c>
      <c r="N280" s="229" t="s">
        <v>273</v>
      </c>
      <c r="O280" s="229" t="s">
        <v>321</v>
      </c>
      <c r="P280" s="231"/>
    </row>
    <row r="281" spans="1:16" ht="30.6" x14ac:dyDescent="0.25">
      <c r="A281" s="227" t="s">
        <v>3588</v>
      </c>
      <c r="B281" s="228" t="s">
        <v>3589</v>
      </c>
      <c r="C281" s="228" t="s">
        <v>3436</v>
      </c>
      <c r="D281" s="228" t="s">
        <v>3437</v>
      </c>
      <c r="E281" s="229"/>
      <c r="F281" s="229" t="s">
        <v>139</v>
      </c>
      <c r="G281" s="229"/>
      <c r="H281" s="229"/>
      <c r="I281" s="229">
        <v>0</v>
      </c>
      <c r="J281" s="229">
        <v>0</v>
      </c>
      <c r="K281" s="230">
        <v>21</v>
      </c>
      <c r="L281" s="229" t="s">
        <v>1865</v>
      </c>
      <c r="M281" s="229">
        <v>4.8828125E-4</v>
      </c>
      <c r="N281" s="229" t="s">
        <v>599</v>
      </c>
      <c r="O281" s="229" t="s">
        <v>261</v>
      </c>
      <c r="P281" s="231"/>
    </row>
    <row r="282" spans="1:16" ht="30.6" x14ac:dyDescent="0.25">
      <c r="A282" s="227" t="s">
        <v>3590</v>
      </c>
      <c r="B282" s="228" t="s">
        <v>3591</v>
      </c>
      <c r="C282" s="228" t="s">
        <v>3436</v>
      </c>
      <c r="D282" s="228" t="s">
        <v>3437</v>
      </c>
      <c r="E282" s="229"/>
      <c r="F282" s="229" t="s">
        <v>139</v>
      </c>
      <c r="G282" s="229"/>
      <c r="H282" s="229"/>
      <c r="I282" s="229">
        <v>0</v>
      </c>
      <c r="J282" s="229">
        <v>0</v>
      </c>
      <c r="K282" s="230">
        <v>19</v>
      </c>
      <c r="L282" s="229" t="s">
        <v>1865</v>
      </c>
      <c r="M282" s="229">
        <v>4.8828125E-4</v>
      </c>
      <c r="N282" s="229" t="s">
        <v>599</v>
      </c>
      <c r="O282" s="229" t="s">
        <v>261</v>
      </c>
      <c r="P282" s="231"/>
    </row>
    <row r="283" spans="1:16" ht="30.6" x14ac:dyDescent="0.25">
      <c r="A283" s="227" t="s">
        <v>3592</v>
      </c>
      <c r="B283" s="228"/>
      <c r="C283" s="228" t="s">
        <v>3436</v>
      </c>
      <c r="D283" s="228" t="s">
        <v>3437</v>
      </c>
      <c r="E283" s="229"/>
      <c r="F283" s="229" t="s">
        <v>139</v>
      </c>
      <c r="G283" s="229"/>
      <c r="H283" s="229"/>
      <c r="I283" s="229">
        <v>0</v>
      </c>
      <c r="J283" s="229">
        <v>0</v>
      </c>
      <c r="K283" s="230">
        <v>30</v>
      </c>
      <c r="L283" s="229" t="s">
        <v>1865</v>
      </c>
      <c r="M283" s="229">
        <v>4.8828125E-4</v>
      </c>
      <c r="N283" s="229" t="s">
        <v>599</v>
      </c>
      <c r="O283" s="229" t="s">
        <v>261</v>
      </c>
      <c r="P283" s="231"/>
    </row>
    <row r="284" spans="1:16" ht="30.6" x14ac:dyDescent="0.25">
      <c r="A284" s="227" t="s">
        <v>3593</v>
      </c>
      <c r="B284" s="228"/>
      <c r="C284" s="228" t="s">
        <v>3436</v>
      </c>
      <c r="D284" s="228" t="s">
        <v>3437</v>
      </c>
      <c r="E284" s="229"/>
      <c r="F284" s="229" t="s">
        <v>139</v>
      </c>
      <c r="G284" s="229"/>
      <c r="H284" s="229"/>
      <c r="I284" s="229">
        <v>0</v>
      </c>
      <c r="J284" s="229">
        <v>0</v>
      </c>
      <c r="K284" s="230">
        <v>20</v>
      </c>
      <c r="L284" s="229" t="s">
        <v>1865</v>
      </c>
      <c r="M284" s="229">
        <v>4.8828125E-4</v>
      </c>
      <c r="N284" s="229" t="s">
        <v>599</v>
      </c>
      <c r="O284" s="229" t="s">
        <v>261</v>
      </c>
      <c r="P284" s="231"/>
    </row>
    <row r="285" spans="1:16" ht="66" x14ac:dyDescent="0.25">
      <c r="A285" s="227" t="s">
        <v>4635</v>
      </c>
      <c r="B285" s="228"/>
      <c r="C285" s="228" t="s">
        <v>3436</v>
      </c>
      <c r="D285" s="228" t="s">
        <v>3437</v>
      </c>
      <c r="E285" s="229" t="s">
        <v>4636</v>
      </c>
      <c r="F285" s="229" t="s">
        <v>139</v>
      </c>
      <c r="G285" s="229"/>
      <c r="H285" s="229"/>
      <c r="I285" s="229">
        <v>0</v>
      </c>
      <c r="J285" s="229">
        <v>0</v>
      </c>
      <c r="K285" s="230">
        <v>1000</v>
      </c>
      <c r="L285" s="229">
        <v>1</v>
      </c>
      <c r="M285" s="229">
        <v>1</v>
      </c>
      <c r="N285" s="229" t="s">
        <v>424</v>
      </c>
      <c r="O285" s="229" t="s">
        <v>267</v>
      </c>
      <c r="P285" s="231"/>
    </row>
    <row r="286" spans="1:16" ht="30.6" x14ac:dyDescent="0.25">
      <c r="A286" s="227" t="s">
        <v>3594</v>
      </c>
      <c r="B286" s="228" t="s">
        <v>3595</v>
      </c>
      <c r="C286" s="228" t="s">
        <v>3436</v>
      </c>
      <c r="D286" s="228" t="s">
        <v>3437</v>
      </c>
      <c r="E286" s="229"/>
      <c r="F286" s="229" t="s">
        <v>141</v>
      </c>
      <c r="G286" s="229"/>
      <c r="H286" s="229"/>
      <c r="I286" s="229" t="b">
        <v>0</v>
      </c>
      <c r="J286" s="229" t="b">
        <v>0</v>
      </c>
      <c r="K286" s="230" t="b">
        <v>1</v>
      </c>
      <c r="L286" s="229" t="s">
        <v>1883</v>
      </c>
      <c r="M286" s="229" t="s">
        <v>1883</v>
      </c>
      <c r="N286" s="229" t="s">
        <v>424</v>
      </c>
      <c r="O286" s="229" t="s">
        <v>501</v>
      </c>
      <c r="P286" s="231"/>
    </row>
    <row r="287" spans="1:16" ht="30.6" x14ac:dyDescent="0.25">
      <c r="A287" s="227" t="s">
        <v>3596</v>
      </c>
      <c r="B287" s="228" t="s">
        <v>3597</v>
      </c>
      <c r="C287" s="228" t="s">
        <v>3436</v>
      </c>
      <c r="D287" s="228" t="s">
        <v>3437</v>
      </c>
      <c r="E287" s="229"/>
      <c r="F287" s="229" t="s">
        <v>141</v>
      </c>
      <c r="G287" s="229"/>
      <c r="H287" s="229"/>
      <c r="I287" s="229">
        <v>0</v>
      </c>
      <c r="J287" s="229">
        <v>-20</v>
      </c>
      <c r="K287" s="230">
        <v>30</v>
      </c>
      <c r="L287" s="229" t="s">
        <v>1865</v>
      </c>
      <c r="M287" s="229">
        <v>9.765625E-4</v>
      </c>
      <c r="N287" s="229" t="s">
        <v>599</v>
      </c>
      <c r="O287" s="229" t="s">
        <v>261</v>
      </c>
      <c r="P287" s="231"/>
    </row>
    <row r="288" spans="1:16" ht="30.6" x14ac:dyDescent="0.25">
      <c r="A288" s="227" t="s">
        <v>3598</v>
      </c>
      <c r="B288" s="228" t="s">
        <v>3599</v>
      </c>
      <c r="C288" s="228" t="s">
        <v>3436</v>
      </c>
      <c r="D288" s="228" t="s">
        <v>3437</v>
      </c>
      <c r="E288" s="229"/>
      <c r="F288" s="229" t="s">
        <v>141</v>
      </c>
      <c r="G288" s="229"/>
      <c r="H288" s="229"/>
      <c r="I288" s="229">
        <v>0</v>
      </c>
      <c r="J288" s="229">
        <v>0</v>
      </c>
      <c r="K288" s="230">
        <v>120</v>
      </c>
      <c r="L288" s="229" t="s">
        <v>1865</v>
      </c>
      <c r="M288" s="229">
        <v>1.953125E-3</v>
      </c>
      <c r="N288" s="229" t="s">
        <v>599</v>
      </c>
      <c r="O288" s="229" t="s">
        <v>261</v>
      </c>
      <c r="P288" s="231"/>
    </row>
    <row r="289" spans="1:16" ht="184.8" x14ac:dyDescent="0.25">
      <c r="A289" s="227" t="s">
        <v>3600</v>
      </c>
      <c r="B289" s="228" t="s">
        <v>3600</v>
      </c>
      <c r="C289" s="228" t="s">
        <v>3436</v>
      </c>
      <c r="D289" s="228" t="s">
        <v>3437</v>
      </c>
      <c r="E289" s="229" t="s">
        <v>3601</v>
      </c>
      <c r="F289" s="229"/>
      <c r="G289" s="229"/>
      <c r="H289" s="229"/>
      <c r="I289" s="229">
        <v>1</v>
      </c>
      <c r="J289" s="229">
        <v>1</v>
      </c>
      <c r="K289" s="230">
        <v>2</v>
      </c>
      <c r="L289" s="229">
        <v>1</v>
      </c>
      <c r="M289" s="229">
        <v>0</v>
      </c>
      <c r="N289" s="229" t="s">
        <v>424</v>
      </c>
      <c r="O289" s="229" t="s">
        <v>1003</v>
      </c>
      <c r="P289" s="231"/>
    </row>
    <row r="290" spans="1:16" x14ac:dyDescent="0.25">
      <c r="A290" s="227" t="s">
        <v>2235</v>
      </c>
      <c r="B290" s="228" t="s">
        <v>2209</v>
      </c>
      <c r="C290" s="228" t="s">
        <v>625</v>
      </c>
      <c r="D290" s="228" t="s">
        <v>223</v>
      </c>
      <c r="E290" s="229" t="s">
        <v>2210</v>
      </c>
      <c r="F290" s="229" t="s">
        <v>136</v>
      </c>
      <c r="G290" s="229" t="s">
        <v>82</v>
      </c>
      <c r="H290" s="229"/>
      <c r="I290" s="229">
        <v>0</v>
      </c>
      <c r="J290" s="229">
        <v>5</v>
      </c>
      <c r="K290" s="230">
        <v>31</v>
      </c>
      <c r="L290" s="229" t="s">
        <v>1865</v>
      </c>
      <c r="M290" s="229"/>
      <c r="N290" s="229" t="s">
        <v>599</v>
      </c>
      <c r="O290" s="229" t="s">
        <v>261</v>
      </c>
      <c r="P290" s="231"/>
    </row>
    <row r="291" spans="1:16" x14ac:dyDescent="0.25">
      <c r="A291" s="227" t="s">
        <v>4432</v>
      </c>
      <c r="B291" s="228" t="s">
        <v>2236</v>
      </c>
      <c r="C291" s="228" t="s">
        <v>625</v>
      </c>
      <c r="D291" s="228" t="s">
        <v>223</v>
      </c>
      <c r="E291" s="229"/>
      <c r="F291" s="229" t="s">
        <v>139</v>
      </c>
      <c r="G291" s="229" t="s">
        <v>82</v>
      </c>
      <c r="H291" s="229"/>
      <c r="I291" s="229">
        <v>0</v>
      </c>
      <c r="J291" s="229">
        <v>0</v>
      </c>
      <c r="K291" s="230">
        <v>4294967295</v>
      </c>
      <c r="L291" s="229">
        <v>1</v>
      </c>
      <c r="M291" s="229"/>
      <c r="N291" s="229" t="s">
        <v>266</v>
      </c>
      <c r="O291" s="229" t="s">
        <v>2237</v>
      </c>
      <c r="P291" s="231"/>
    </row>
    <row r="292" spans="1:16" x14ac:dyDescent="0.25">
      <c r="A292" s="227" t="s">
        <v>4433</v>
      </c>
      <c r="B292" s="228" t="s">
        <v>2238</v>
      </c>
      <c r="C292" s="228" t="s">
        <v>625</v>
      </c>
      <c r="D292" s="228" t="s">
        <v>223</v>
      </c>
      <c r="E292" s="229"/>
      <c r="F292" s="229" t="s">
        <v>139</v>
      </c>
      <c r="G292" s="229" t="s">
        <v>82</v>
      </c>
      <c r="H292" s="229"/>
      <c r="I292" s="229">
        <v>0</v>
      </c>
      <c r="J292" s="229">
        <v>0</v>
      </c>
      <c r="K292" s="230">
        <v>4294967295</v>
      </c>
      <c r="L292" s="229">
        <v>1</v>
      </c>
      <c r="M292" s="229"/>
      <c r="N292" s="229" t="s">
        <v>266</v>
      </c>
      <c r="O292" s="229" t="s">
        <v>2237</v>
      </c>
      <c r="P292" s="231"/>
    </row>
    <row r="293" spans="1:16" x14ac:dyDescent="0.25">
      <c r="A293" s="227" t="s">
        <v>4434</v>
      </c>
      <c r="B293" s="228" t="s">
        <v>2239</v>
      </c>
      <c r="C293" s="228" t="s">
        <v>625</v>
      </c>
      <c r="D293" s="228" t="s">
        <v>223</v>
      </c>
      <c r="E293" s="229"/>
      <c r="F293" s="229" t="s">
        <v>139</v>
      </c>
      <c r="G293" s="229" t="s">
        <v>82</v>
      </c>
      <c r="H293" s="229"/>
      <c r="I293" s="229">
        <v>0</v>
      </c>
      <c r="J293" s="229">
        <v>0</v>
      </c>
      <c r="K293" s="230">
        <v>4294967295</v>
      </c>
      <c r="L293" s="229">
        <v>1</v>
      </c>
      <c r="M293" s="229"/>
      <c r="N293" s="229" t="s">
        <v>266</v>
      </c>
      <c r="O293" s="229" t="s">
        <v>2237</v>
      </c>
      <c r="P293" s="231"/>
    </row>
    <row r="294" spans="1:16" x14ac:dyDescent="0.25">
      <c r="A294" s="227" t="s">
        <v>4435</v>
      </c>
      <c r="B294" s="228" t="s">
        <v>2240</v>
      </c>
      <c r="C294" s="228" t="s">
        <v>625</v>
      </c>
      <c r="D294" s="228" t="s">
        <v>223</v>
      </c>
      <c r="E294" s="229"/>
      <c r="F294" s="229" t="s">
        <v>139</v>
      </c>
      <c r="G294" s="229" t="s">
        <v>82</v>
      </c>
      <c r="H294" s="229"/>
      <c r="I294" s="229">
        <v>0</v>
      </c>
      <c r="J294" s="229">
        <v>0</v>
      </c>
      <c r="K294" s="230">
        <v>4294967295</v>
      </c>
      <c r="L294" s="229">
        <v>1</v>
      </c>
      <c r="M294" s="229"/>
      <c r="N294" s="229" t="s">
        <v>266</v>
      </c>
      <c r="O294" s="229" t="s">
        <v>2237</v>
      </c>
      <c r="P294" s="231"/>
    </row>
    <row r="295" spans="1:16" x14ac:dyDescent="0.25">
      <c r="A295" s="227" t="s">
        <v>4436</v>
      </c>
      <c r="B295" s="228" t="s">
        <v>4437</v>
      </c>
      <c r="C295" s="228" t="s">
        <v>625</v>
      </c>
      <c r="D295" s="228" t="s">
        <v>223</v>
      </c>
      <c r="E295" s="229"/>
      <c r="F295" s="229" t="s">
        <v>136</v>
      </c>
      <c r="G295" s="229" t="s">
        <v>82</v>
      </c>
      <c r="H295" s="229"/>
      <c r="I295" s="229">
        <v>0</v>
      </c>
      <c r="J295" s="229" t="b">
        <v>0</v>
      </c>
      <c r="K295" s="230" t="b">
        <v>1</v>
      </c>
      <c r="L295" s="229" t="s">
        <v>1883</v>
      </c>
      <c r="M295" s="229"/>
      <c r="N295" s="229" t="s">
        <v>271</v>
      </c>
      <c r="O295" s="229" t="s">
        <v>501</v>
      </c>
      <c r="P295" s="231"/>
    </row>
    <row r="296" spans="1:16" x14ac:dyDescent="0.25">
      <c r="A296" s="227" t="s">
        <v>4438</v>
      </c>
      <c r="B296" s="228"/>
      <c r="C296" s="228" t="s">
        <v>625</v>
      </c>
      <c r="D296" s="228" t="s">
        <v>223</v>
      </c>
      <c r="E296" s="229"/>
      <c r="F296" s="229" t="s">
        <v>139</v>
      </c>
      <c r="G296" s="229" t="s">
        <v>82</v>
      </c>
      <c r="H296" s="229"/>
      <c r="I296" s="229">
        <v>0</v>
      </c>
      <c r="J296" s="229">
        <v>0</v>
      </c>
      <c r="K296" s="230">
        <v>4294967295</v>
      </c>
      <c r="L296" s="229">
        <v>1</v>
      </c>
      <c r="M296" s="229"/>
      <c r="N296" s="229" t="s">
        <v>266</v>
      </c>
      <c r="O296" s="229" t="s">
        <v>2237</v>
      </c>
      <c r="P296" s="231"/>
    </row>
    <row r="297" spans="1:16" x14ac:dyDescent="0.25">
      <c r="A297" s="227" t="s">
        <v>4439</v>
      </c>
      <c r="B297" s="228"/>
      <c r="C297" s="228" t="s">
        <v>625</v>
      </c>
      <c r="D297" s="228" t="s">
        <v>223</v>
      </c>
      <c r="E297" s="229"/>
      <c r="F297" s="229" t="s">
        <v>139</v>
      </c>
      <c r="G297" s="229" t="s">
        <v>82</v>
      </c>
      <c r="H297" s="229"/>
      <c r="I297" s="229">
        <v>0</v>
      </c>
      <c r="J297" s="229">
        <v>0</v>
      </c>
      <c r="K297" s="230">
        <v>4294967295</v>
      </c>
      <c r="L297" s="229">
        <v>1</v>
      </c>
      <c r="M297" s="229"/>
      <c r="N297" s="229" t="s">
        <v>266</v>
      </c>
      <c r="O297" s="229" t="s">
        <v>2237</v>
      </c>
      <c r="P297" s="231"/>
    </row>
    <row r="298" spans="1:16" x14ac:dyDescent="0.25">
      <c r="A298" s="227" t="s">
        <v>2241</v>
      </c>
      <c r="B298" s="228" t="s">
        <v>2242</v>
      </c>
      <c r="C298" s="228" t="s">
        <v>644</v>
      </c>
      <c r="D298" s="228" t="s">
        <v>2243</v>
      </c>
      <c r="E298" s="229"/>
      <c r="F298" s="229" t="s">
        <v>136</v>
      </c>
      <c r="G298" s="229" t="s">
        <v>82</v>
      </c>
      <c r="H298" s="229"/>
      <c r="I298" s="229">
        <v>0</v>
      </c>
      <c r="J298" s="229">
        <v>0</v>
      </c>
      <c r="K298" s="230">
        <v>3</v>
      </c>
      <c r="L298" s="229" t="s">
        <v>2244</v>
      </c>
      <c r="M298" s="229"/>
      <c r="N298" s="229" t="s">
        <v>654</v>
      </c>
      <c r="O298" s="229" t="s">
        <v>261</v>
      </c>
      <c r="P298" s="231"/>
    </row>
    <row r="299" spans="1:16" x14ac:dyDescent="0.25">
      <c r="A299" s="227" t="s">
        <v>2245</v>
      </c>
      <c r="B299" s="228" t="s">
        <v>2246</v>
      </c>
      <c r="C299" s="228" t="s">
        <v>644</v>
      </c>
      <c r="D299" s="228" t="s">
        <v>2243</v>
      </c>
      <c r="E299" s="229"/>
      <c r="F299" s="229" t="s">
        <v>136</v>
      </c>
      <c r="G299" s="229" t="s">
        <v>82</v>
      </c>
      <c r="H299" s="229"/>
      <c r="I299" s="229">
        <v>0</v>
      </c>
      <c r="J299" s="229">
        <v>0</v>
      </c>
      <c r="K299" s="230">
        <v>3</v>
      </c>
      <c r="L299" s="229" t="s">
        <v>2244</v>
      </c>
      <c r="M299" s="229"/>
      <c r="N299" s="229" t="s">
        <v>654</v>
      </c>
      <c r="O299" s="229" t="s">
        <v>261</v>
      </c>
      <c r="P299" s="231"/>
    </row>
    <row r="300" spans="1:16" x14ac:dyDescent="0.25">
      <c r="A300" s="227" t="s">
        <v>2247</v>
      </c>
      <c r="B300" s="228" t="s">
        <v>4637</v>
      </c>
      <c r="C300" s="228" t="s">
        <v>644</v>
      </c>
      <c r="D300" s="228" t="s">
        <v>2243</v>
      </c>
      <c r="E300" s="229"/>
      <c r="F300" s="229" t="s">
        <v>136</v>
      </c>
      <c r="G300" s="229" t="s">
        <v>82</v>
      </c>
      <c r="H300" s="229"/>
      <c r="I300" s="229">
        <v>0</v>
      </c>
      <c r="J300" s="229">
        <v>-1118</v>
      </c>
      <c r="K300" s="230">
        <v>1118</v>
      </c>
      <c r="L300" s="229" t="s">
        <v>2244</v>
      </c>
      <c r="M300" s="229"/>
      <c r="N300" s="229" t="s">
        <v>1223</v>
      </c>
      <c r="O300" s="229" t="s">
        <v>261</v>
      </c>
      <c r="P300" s="231"/>
    </row>
    <row r="301" spans="1:16" x14ac:dyDescent="0.25">
      <c r="A301" s="227" t="s">
        <v>2248</v>
      </c>
      <c r="B301" s="228" t="s">
        <v>2287</v>
      </c>
      <c r="C301" s="228" t="s">
        <v>644</v>
      </c>
      <c r="D301" s="228" t="s">
        <v>2243</v>
      </c>
      <c r="E301" s="229"/>
      <c r="F301" s="229" t="s">
        <v>136</v>
      </c>
      <c r="G301" s="229" t="s">
        <v>82</v>
      </c>
      <c r="H301" s="229"/>
      <c r="I301" s="229">
        <v>0</v>
      </c>
      <c r="J301" s="229">
        <v>-50</v>
      </c>
      <c r="K301" s="230">
        <v>150</v>
      </c>
      <c r="L301" s="229" t="s">
        <v>2244</v>
      </c>
      <c r="M301" s="229"/>
      <c r="N301" s="229" t="s">
        <v>1866</v>
      </c>
      <c r="O301" s="229" t="s">
        <v>261</v>
      </c>
      <c r="P301" s="231"/>
    </row>
    <row r="302" spans="1:16" x14ac:dyDescent="0.25">
      <c r="A302" s="227" t="s">
        <v>2249</v>
      </c>
      <c r="B302" s="228" t="s">
        <v>4638</v>
      </c>
      <c r="C302" s="228" t="s">
        <v>644</v>
      </c>
      <c r="D302" s="228" t="s">
        <v>2243</v>
      </c>
      <c r="E302" s="229"/>
      <c r="F302" s="229" t="s">
        <v>136</v>
      </c>
      <c r="G302" s="229" t="s">
        <v>82</v>
      </c>
      <c r="H302" s="229"/>
      <c r="I302" s="229">
        <v>0</v>
      </c>
      <c r="J302" s="229">
        <v>0</v>
      </c>
      <c r="K302" s="230">
        <v>1</v>
      </c>
      <c r="L302" s="229" t="s">
        <v>2244</v>
      </c>
      <c r="M302" s="229"/>
      <c r="N302" s="229" t="s">
        <v>1353</v>
      </c>
      <c r="O302" s="229" t="s">
        <v>261</v>
      </c>
      <c r="P302" s="231"/>
    </row>
    <row r="303" spans="1:16" x14ac:dyDescent="0.25">
      <c r="A303" s="227" t="s">
        <v>1980</v>
      </c>
      <c r="B303" s="228" t="s">
        <v>1876</v>
      </c>
      <c r="C303" s="228" t="s">
        <v>644</v>
      </c>
      <c r="D303" s="228" t="s">
        <v>2243</v>
      </c>
      <c r="E303" s="229"/>
      <c r="F303" s="229" t="s">
        <v>136</v>
      </c>
      <c r="G303" s="229" t="s">
        <v>82</v>
      </c>
      <c r="H303" s="229"/>
      <c r="I303" s="229">
        <v>0</v>
      </c>
      <c r="J303" s="229">
        <v>0</v>
      </c>
      <c r="K303" s="230">
        <v>255</v>
      </c>
      <c r="L303" s="229" t="s">
        <v>2244</v>
      </c>
      <c r="M303" s="229"/>
      <c r="N303" s="229" t="s">
        <v>311</v>
      </c>
      <c r="O303" s="229" t="s">
        <v>261</v>
      </c>
      <c r="P303" s="231"/>
    </row>
    <row r="304" spans="1:16" x14ac:dyDescent="0.25">
      <c r="A304" s="227" t="s">
        <v>2251</v>
      </c>
      <c r="B304" s="228" t="s">
        <v>2252</v>
      </c>
      <c r="C304" s="228" t="s">
        <v>644</v>
      </c>
      <c r="D304" s="228" t="s">
        <v>2243</v>
      </c>
      <c r="E304" s="229"/>
      <c r="F304" s="229" t="s">
        <v>138</v>
      </c>
      <c r="G304" s="229" t="s">
        <v>82</v>
      </c>
      <c r="H304" s="229"/>
      <c r="I304" s="229">
        <v>0</v>
      </c>
      <c r="J304" s="229">
        <v>-220</v>
      </c>
      <c r="K304" s="230">
        <v>220</v>
      </c>
      <c r="L304" s="229" t="s">
        <v>2244</v>
      </c>
      <c r="M304" s="229">
        <v>0.03</v>
      </c>
      <c r="N304" s="229" t="s">
        <v>648</v>
      </c>
      <c r="O304" s="229" t="s">
        <v>261</v>
      </c>
      <c r="P304" s="231"/>
    </row>
    <row r="305" spans="1:16" x14ac:dyDescent="0.25">
      <c r="A305" s="227" t="s">
        <v>2253</v>
      </c>
      <c r="B305" s="228" t="s">
        <v>2254</v>
      </c>
      <c r="C305" s="228" t="s">
        <v>644</v>
      </c>
      <c r="D305" s="228" t="s">
        <v>2243</v>
      </c>
      <c r="E305" s="229"/>
      <c r="F305" s="229" t="s">
        <v>138</v>
      </c>
      <c r="G305" s="229" t="s">
        <v>82</v>
      </c>
      <c r="H305" s="229"/>
      <c r="I305" s="229">
        <v>0</v>
      </c>
      <c r="J305" s="229">
        <v>-220</v>
      </c>
      <c r="K305" s="230">
        <v>220</v>
      </c>
      <c r="L305" s="229" t="s">
        <v>2244</v>
      </c>
      <c r="M305" s="229">
        <v>0.03</v>
      </c>
      <c r="N305" s="229" t="s">
        <v>648</v>
      </c>
      <c r="O305" s="229" t="s">
        <v>261</v>
      </c>
      <c r="P305" s="231"/>
    </row>
    <row r="306" spans="1:16" x14ac:dyDescent="0.25">
      <c r="A306" s="227" t="s">
        <v>4639</v>
      </c>
      <c r="B306" s="228" t="s">
        <v>2256</v>
      </c>
      <c r="C306" s="228" t="s">
        <v>644</v>
      </c>
      <c r="D306" s="228" t="s">
        <v>2243</v>
      </c>
      <c r="E306" s="229"/>
      <c r="F306" s="229" t="s">
        <v>141</v>
      </c>
      <c r="G306" s="229" t="s">
        <v>82</v>
      </c>
      <c r="H306" s="229"/>
      <c r="I306" s="229">
        <v>0</v>
      </c>
      <c r="J306" s="229">
        <v>-220</v>
      </c>
      <c r="K306" s="230">
        <v>220</v>
      </c>
      <c r="L306" s="229" t="s">
        <v>2244</v>
      </c>
      <c r="M306" s="229" t="s">
        <v>1871</v>
      </c>
      <c r="N306" s="229" t="s">
        <v>648</v>
      </c>
      <c r="O306" s="229" t="s">
        <v>261</v>
      </c>
      <c r="P306" s="231"/>
    </row>
    <row r="307" spans="1:16" x14ac:dyDescent="0.25">
      <c r="A307" s="227" t="s">
        <v>4640</v>
      </c>
      <c r="B307" s="228" t="s">
        <v>2257</v>
      </c>
      <c r="C307" s="228" t="s">
        <v>644</v>
      </c>
      <c r="D307" s="228" t="s">
        <v>2243</v>
      </c>
      <c r="E307" s="229"/>
      <c r="F307" s="229" t="s">
        <v>141</v>
      </c>
      <c r="G307" s="229" t="s">
        <v>82</v>
      </c>
      <c r="H307" s="229"/>
      <c r="I307" s="229">
        <v>0</v>
      </c>
      <c r="J307" s="229">
        <v>-220</v>
      </c>
      <c r="K307" s="230">
        <v>220</v>
      </c>
      <c r="L307" s="229" t="s">
        <v>2244</v>
      </c>
      <c r="M307" s="229" t="s">
        <v>1871</v>
      </c>
      <c r="N307" s="229" t="s">
        <v>648</v>
      </c>
      <c r="O307" s="229" t="s">
        <v>261</v>
      </c>
      <c r="P307" s="231"/>
    </row>
    <row r="308" spans="1:16" x14ac:dyDescent="0.25">
      <c r="A308" s="227" t="s">
        <v>4641</v>
      </c>
      <c r="B308" s="228" t="s">
        <v>4642</v>
      </c>
      <c r="C308" s="228" t="s">
        <v>644</v>
      </c>
      <c r="D308" s="228" t="s">
        <v>2243</v>
      </c>
      <c r="E308" s="229"/>
      <c r="F308" s="229" t="s">
        <v>141</v>
      </c>
      <c r="G308" s="229" t="s">
        <v>82</v>
      </c>
      <c r="H308" s="229"/>
      <c r="I308" s="229">
        <v>0</v>
      </c>
      <c r="J308" s="229">
        <v>0</v>
      </c>
      <c r="K308" s="230">
        <v>1</v>
      </c>
      <c r="L308" s="229" t="s">
        <v>2244</v>
      </c>
      <c r="M308" s="229" t="s">
        <v>1871</v>
      </c>
      <c r="N308" s="229" t="s">
        <v>1353</v>
      </c>
      <c r="O308" s="229" t="s">
        <v>261</v>
      </c>
      <c r="P308" s="231"/>
    </row>
    <row r="309" spans="1:16" x14ac:dyDescent="0.25">
      <c r="A309" s="227" t="s">
        <v>4643</v>
      </c>
      <c r="B309" s="228" t="s">
        <v>4644</v>
      </c>
      <c r="C309" s="228" t="s">
        <v>644</v>
      </c>
      <c r="D309" s="228" t="s">
        <v>2243</v>
      </c>
      <c r="E309" s="229"/>
      <c r="F309" s="229" t="s">
        <v>141</v>
      </c>
      <c r="G309" s="229" t="s">
        <v>82</v>
      </c>
      <c r="H309" s="229"/>
      <c r="I309" s="229">
        <v>0</v>
      </c>
      <c r="J309" s="229">
        <v>-1</v>
      </c>
      <c r="K309" s="230">
        <v>1</v>
      </c>
      <c r="L309" s="229" t="s">
        <v>2244</v>
      </c>
      <c r="M309" s="229" t="s">
        <v>1871</v>
      </c>
      <c r="N309" s="229" t="s">
        <v>260</v>
      </c>
      <c r="O309" s="229" t="s">
        <v>261</v>
      </c>
      <c r="P309" s="231"/>
    </row>
    <row r="310" spans="1:16" x14ac:dyDescent="0.25">
      <c r="A310" s="227" t="s">
        <v>4645</v>
      </c>
      <c r="B310" s="228" t="s">
        <v>4646</v>
      </c>
      <c r="C310" s="228" t="s">
        <v>644</v>
      </c>
      <c r="D310" s="228" t="s">
        <v>2243</v>
      </c>
      <c r="E310" s="229"/>
      <c r="F310" s="229" t="s">
        <v>141</v>
      </c>
      <c r="G310" s="229" t="s">
        <v>82</v>
      </c>
      <c r="H310" s="229"/>
      <c r="I310" s="229">
        <v>0</v>
      </c>
      <c r="J310" s="229">
        <v>-1</v>
      </c>
      <c r="K310" s="230">
        <v>1</v>
      </c>
      <c r="L310" s="229" t="s">
        <v>2244</v>
      </c>
      <c r="M310" s="229" t="s">
        <v>1871</v>
      </c>
      <c r="N310" s="229" t="s">
        <v>260</v>
      </c>
      <c r="O310" s="229" t="s">
        <v>261</v>
      </c>
      <c r="P310" s="231"/>
    </row>
    <row r="311" spans="1:16" x14ac:dyDescent="0.25">
      <c r="A311" s="227" t="s">
        <v>4647</v>
      </c>
      <c r="B311" s="228" t="s">
        <v>4648</v>
      </c>
      <c r="C311" s="228" t="s">
        <v>644</v>
      </c>
      <c r="D311" s="228" t="s">
        <v>2243</v>
      </c>
      <c r="E311" s="229"/>
      <c r="F311" s="229" t="s">
        <v>141</v>
      </c>
      <c r="G311" s="229" t="s">
        <v>82</v>
      </c>
      <c r="H311" s="229"/>
      <c r="I311" s="229">
        <v>0</v>
      </c>
      <c r="J311" s="229">
        <v>-220</v>
      </c>
      <c r="K311" s="230">
        <v>220</v>
      </c>
      <c r="L311" s="229" t="s">
        <v>2244</v>
      </c>
      <c r="M311" s="229" t="s">
        <v>1871</v>
      </c>
      <c r="N311" s="229" t="s">
        <v>648</v>
      </c>
      <c r="O311" s="229" t="s">
        <v>261</v>
      </c>
      <c r="P311" s="231"/>
    </row>
    <row r="312" spans="1:16" x14ac:dyDescent="0.25">
      <c r="A312" s="227" t="s">
        <v>4649</v>
      </c>
      <c r="B312" s="228" t="s">
        <v>4650</v>
      </c>
      <c r="C312" s="228" t="s">
        <v>644</v>
      </c>
      <c r="D312" s="228" t="s">
        <v>2243</v>
      </c>
      <c r="E312" s="229"/>
      <c r="F312" s="229" t="s">
        <v>141</v>
      </c>
      <c r="G312" s="229" t="s">
        <v>82</v>
      </c>
      <c r="H312" s="229"/>
      <c r="I312" s="229">
        <v>0</v>
      </c>
      <c r="J312" s="229">
        <v>-220</v>
      </c>
      <c r="K312" s="230">
        <v>220</v>
      </c>
      <c r="L312" s="229" t="s">
        <v>2244</v>
      </c>
      <c r="M312" s="229" t="s">
        <v>1871</v>
      </c>
      <c r="N312" s="229" t="s">
        <v>648</v>
      </c>
      <c r="O312" s="229" t="s">
        <v>261</v>
      </c>
      <c r="P312" s="231"/>
    </row>
    <row r="313" spans="1:16" x14ac:dyDescent="0.25">
      <c r="A313" s="227" t="s">
        <v>4235</v>
      </c>
      <c r="B313" s="228" t="s">
        <v>4236</v>
      </c>
      <c r="C313" s="228" t="s">
        <v>644</v>
      </c>
      <c r="D313" s="228" t="s">
        <v>2243</v>
      </c>
      <c r="E313" s="229"/>
      <c r="F313" s="229" t="s">
        <v>138</v>
      </c>
      <c r="G313" s="229" t="s">
        <v>82</v>
      </c>
      <c r="H313" s="229"/>
      <c r="I313" s="229">
        <v>0</v>
      </c>
      <c r="J313" s="229">
        <v>0</v>
      </c>
      <c r="K313" s="230">
        <v>1</v>
      </c>
      <c r="L313" s="229">
        <v>1</v>
      </c>
      <c r="M313" s="229" t="s">
        <v>1871</v>
      </c>
      <c r="N313" s="229" t="s">
        <v>1668</v>
      </c>
      <c r="O313" s="229" t="s">
        <v>929</v>
      </c>
      <c r="P313" s="231"/>
    </row>
    <row r="314" spans="1:16" x14ac:dyDescent="0.25">
      <c r="A314" s="227" t="s">
        <v>4651</v>
      </c>
      <c r="B314" s="228" t="s">
        <v>4652</v>
      </c>
      <c r="C314" s="228" t="s">
        <v>644</v>
      </c>
      <c r="D314" s="228" t="s">
        <v>2243</v>
      </c>
      <c r="E314" s="229"/>
      <c r="F314" s="229" t="s">
        <v>138</v>
      </c>
      <c r="G314" s="229" t="s">
        <v>82</v>
      </c>
      <c r="H314" s="229"/>
      <c r="I314" s="229">
        <v>0</v>
      </c>
      <c r="J314" s="229">
        <v>0</v>
      </c>
      <c r="K314" s="230">
        <v>8000</v>
      </c>
      <c r="L314" s="229">
        <v>1</v>
      </c>
      <c r="M314" s="229">
        <v>1</v>
      </c>
      <c r="N314" s="229" t="s">
        <v>1668</v>
      </c>
      <c r="O314" s="229" t="s">
        <v>267</v>
      </c>
      <c r="P314" s="231"/>
    </row>
    <row r="315" spans="1:16" x14ac:dyDescent="0.25">
      <c r="A315" s="227" t="s">
        <v>4653</v>
      </c>
      <c r="B315" s="228" t="s">
        <v>4236</v>
      </c>
      <c r="C315" s="228" t="s">
        <v>644</v>
      </c>
      <c r="D315" s="228" t="s">
        <v>2243</v>
      </c>
      <c r="E315" s="229"/>
      <c r="F315" s="229" t="s">
        <v>139</v>
      </c>
      <c r="G315" s="229" t="s">
        <v>82</v>
      </c>
      <c r="H315" s="229"/>
      <c r="I315" s="229">
        <v>0</v>
      </c>
      <c r="J315" s="229">
        <v>0</v>
      </c>
      <c r="K315" s="230">
        <v>1</v>
      </c>
      <c r="L315" s="229">
        <v>1</v>
      </c>
      <c r="M315" s="229" t="s">
        <v>1871</v>
      </c>
      <c r="N315" s="229" t="s">
        <v>1668</v>
      </c>
      <c r="O315" s="229" t="s">
        <v>929</v>
      </c>
      <c r="P315" s="231"/>
    </row>
    <row r="316" spans="1:16" x14ac:dyDescent="0.25">
      <c r="A316" s="227" t="s">
        <v>4654</v>
      </c>
      <c r="B316" s="228" t="s">
        <v>1871</v>
      </c>
      <c r="C316" s="228" t="s">
        <v>644</v>
      </c>
      <c r="D316" s="228" t="s">
        <v>2243</v>
      </c>
      <c r="E316" s="229"/>
      <c r="F316" s="229" t="s">
        <v>139</v>
      </c>
      <c r="G316" s="229" t="s">
        <v>82</v>
      </c>
      <c r="H316" s="229"/>
      <c r="I316" s="229" t="s">
        <v>1871</v>
      </c>
      <c r="J316" s="229" t="s">
        <v>1871</v>
      </c>
      <c r="K316" s="230" t="s">
        <v>1871</v>
      </c>
      <c r="L316" s="229" t="s">
        <v>1871</v>
      </c>
      <c r="M316" s="229" t="s">
        <v>1871</v>
      </c>
      <c r="N316" s="229" t="s">
        <v>1871</v>
      </c>
      <c r="O316" s="229" t="s">
        <v>1960</v>
      </c>
      <c r="P316" s="231"/>
    </row>
    <row r="317" spans="1:16" x14ac:dyDescent="0.25">
      <c r="A317" s="227" t="s">
        <v>4237</v>
      </c>
      <c r="B317" s="228" t="s">
        <v>4650</v>
      </c>
      <c r="C317" s="228" t="s">
        <v>644</v>
      </c>
      <c r="D317" s="228" t="s">
        <v>2243</v>
      </c>
      <c r="E317" s="229"/>
      <c r="F317" s="229" t="s">
        <v>139</v>
      </c>
      <c r="G317" s="229" t="s">
        <v>82</v>
      </c>
      <c r="H317" s="229"/>
      <c r="I317" s="229">
        <v>0</v>
      </c>
      <c r="J317" s="229">
        <v>-220</v>
      </c>
      <c r="K317" s="230">
        <v>220</v>
      </c>
      <c r="L317" s="229" t="s">
        <v>2244</v>
      </c>
      <c r="M317" s="229">
        <v>1E-3</v>
      </c>
      <c r="N317" s="229" t="s">
        <v>648</v>
      </c>
      <c r="O317" s="229" t="s">
        <v>261</v>
      </c>
      <c r="P317" s="231"/>
    </row>
    <row r="318" spans="1:16" ht="26.4" x14ac:dyDescent="0.25">
      <c r="A318" s="227" t="s">
        <v>4238</v>
      </c>
      <c r="B318" s="228" t="s">
        <v>1871</v>
      </c>
      <c r="C318" s="228" t="s">
        <v>644</v>
      </c>
      <c r="D318" s="228" t="s">
        <v>2243</v>
      </c>
      <c r="E318" s="229"/>
      <c r="F318" s="229" t="s">
        <v>139</v>
      </c>
      <c r="G318" s="229" t="s">
        <v>82</v>
      </c>
      <c r="H318" s="229"/>
      <c r="I318" s="229">
        <v>0</v>
      </c>
      <c r="J318" s="229">
        <v>0</v>
      </c>
      <c r="K318" s="230">
        <v>0.99998474000000004</v>
      </c>
      <c r="L318" s="229" t="s">
        <v>2244</v>
      </c>
      <c r="M318" s="229" t="s">
        <v>4239</v>
      </c>
      <c r="N318" s="229" t="s">
        <v>260</v>
      </c>
      <c r="O318" s="229" t="s">
        <v>261</v>
      </c>
      <c r="P318" s="231"/>
    </row>
    <row r="319" spans="1:16" x14ac:dyDescent="0.25">
      <c r="A319" s="227" t="s">
        <v>4655</v>
      </c>
      <c r="B319" s="228" t="s">
        <v>1874</v>
      </c>
      <c r="C319" s="228" t="s">
        <v>644</v>
      </c>
      <c r="D319" s="228" t="s">
        <v>2243</v>
      </c>
      <c r="E319" s="229"/>
      <c r="F319" s="229" t="s">
        <v>136</v>
      </c>
      <c r="G319" s="229" t="s">
        <v>82</v>
      </c>
      <c r="H319" s="229"/>
      <c r="I319" s="229">
        <v>0</v>
      </c>
      <c r="J319" s="229">
        <v>0</v>
      </c>
      <c r="K319" s="230">
        <v>1</v>
      </c>
      <c r="L319" s="229">
        <v>1</v>
      </c>
      <c r="M319" s="229"/>
      <c r="N319" s="229" t="s">
        <v>1668</v>
      </c>
      <c r="O319" s="229" t="s">
        <v>929</v>
      </c>
      <c r="P319" s="231"/>
    </row>
    <row r="320" spans="1:16" x14ac:dyDescent="0.25">
      <c r="A320" s="227" t="s">
        <v>2290</v>
      </c>
      <c r="B320" s="228" t="s">
        <v>2218</v>
      </c>
      <c r="C320" s="228" t="s">
        <v>644</v>
      </c>
      <c r="D320" s="228" t="s">
        <v>2243</v>
      </c>
      <c r="E320" s="229"/>
      <c r="F320" s="229" t="s">
        <v>136</v>
      </c>
      <c r="G320" s="229" t="s">
        <v>82</v>
      </c>
      <c r="H320" s="229"/>
      <c r="I320" s="229">
        <v>0</v>
      </c>
      <c r="J320" s="229">
        <v>5</v>
      </c>
      <c r="K320" s="230">
        <v>31</v>
      </c>
      <c r="L320" s="229">
        <v>4.0000000000000001E-3</v>
      </c>
      <c r="M320" s="229"/>
      <c r="N320" s="229" t="s">
        <v>654</v>
      </c>
      <c r="O320" s="229" t="s">
        <v>261</v>
      </c>
      <c r="P320" s="231"/>
    </row>
    <row r="321" spans="1:16" x14ac:dyDescent="0.25">
      <c r="A321" s="227" t="s">
        <v>4656</v>
      </c>
      <c r="B321" s="228" t="s">
        <v>4657</v>
      </c>
      <c r="C321" s="228" t="s">
        <v>644</v>
      </c>
      <c r="D321" s="228" t="s">
        <v>2243</v>
      </c>
      <c r="E321" s="229"/>
      <c r="F321" s="229" t="s">
        <v>136</v>
      </c>
      <c r="G321" s="229" t="s">
        <v>82</v>
      </c>
      <c r="H321" s="229"/>
      <c r="I321" s="229">
        <v>0</v>
      </c>
      <c r="J321" s="229">
        <v>-2.5999999999999999E-2</v>
      </c>
      <c r="K321" s="230">
        <v>2.5999999999999999E-2</v>
      </c>
      <c r="L321" s="229">
        <v>4.8828125E-4</v>
      </c>
      <c r="M321" s="229"/>
      <c r="N321" s="229" t="s">
        <v>654</v>
      </c>
      <c r="O321" s="229" t="s">
        <v>261</v>
      </c>
      <c r="P321" s="231"/>
    </row>
    <row r="322" spans="1:16" x14ac:dyDescent="0.25">
      <c r="A322" s="227" t="s">
        <v>4658</v>
      </c>
      <c r="B322" s="228" t="s">
        <v>4657</v>
      </c>
      <c r="C322" s="228" t="s">
        <v>644</v>
      </c>
      <c r="D322" s="228" t="s">
        <v>2243</v>
      </c>
      <c r="E322" s="229"/>
      <c r="F322" s="229" t="s">
        <v>136</v>
      </c>
      <c r="G322" s="229" t="s">
        <v>82</v>
      </c>
      <c r="H322" s="229"/>
      <c r="I322" s="229">
        <v>0</v>
      </c>
      <c r="J322" s="229">
        <v>-2.5999999999999999E-2</v>
      </c>
      <c r="K322" s="230">
        <v>2.5999999999999999E-2</v>
      </c>
      <c r="L322" s="229">
        <v>4.8828125E-4</v>
      </c>
      <c r="M322" s="229"/>
      <c r="N322" s="229" t="s">
        <v>654</v>
      </c>
      <c r="O322" s="229" t="s">
        <v>261</v>
      </c>
      <c r="P322" s="231"/>
    </row>
    <row r="323" spans="1:16" x14ac:dyDescent="0.25">
      <c r="A323" s="227" t="s">
        <v>4659</v>
      </c>
      <c r="B323" s="228" t="s">
        <v>1871</v>
      </c>
      <c r="C323" s="228" t="s">
        <v>644</v>
      </c>
      <c r="D323" s="228" t="s">
        <v>2243</v>
      </c>
      <c r="E323" s="229"/>
      <c r="F323" s="229" t="s">
        <v>136</v>
      </c>
      <c r="G323" s="229" t="s">
        <v>82</v>
      </c>
      <c r="H323" s="229"/>
      <c r="I323" s="229">
        <v>0</v>
      </c>
      <c r="J323" s="229">
        <v>0</v>
      </c>
      <c r="K323" s="230">
        <v>4095</v>
      </c>
      <c r="L323" s="229">
        <v>1</v>
      </c>
      <c r="M323" s="229"/>
      <c r="N323" s="229" t="s">
        <v>1668</v>
      </c>
      <c r="O323" s="229" t="s">
        <v>4660</v>
      </c>
      <c r="P323" s="231"/>
    </row>
    <row r="324" spans="1:16" x14ac:dyDescent="0.25">
      <c r="A324" s="227" t="s">
        <v>4661</v>
      </c>
      <c r="B324" s="228" t="s">
        <v>1871</v>
      </c>
      <c r="C324" s="228" t="s">
        <v>644</v>
      </c>
      <c r="D324" s="228" t="s">
        <v>2243</v>
      </c>
      <c r="E324" s="229"/>
      <c r="F324" s="229" t="s">
        <v>136</v>
      </c>
      <c r="G324" s="229" t="s">
        <v>82</v>
      </c>
      <c r="H324" s="229"/>
      <c r="I324" s="229">
        <v>0</v>
      </c>
      <c r="J324" s="229">
        <v>0</v>
      </c>
      <c r="K324" s="230">
        <v>4095</v>
      </c>
      <c r="L324" s="229">
        <v>1</v>
      </c>
      <c r="M324" s="229"/>
      <c r="N324" s="229" t="s">
        <v>1668</v>
      </c>
      <c r="O324" s="229" t="s">
        <v>4660</v>
      </c>
      <c r="P324" s="231"/>
    </row>
    <row r="325" spans="1:16" x14ac:dyDescent="0.25">
      <c r="A325" s="227" t="s">
        <v>4662</v>
      </c>
      <c r="B325" s="228" t="s">
        <v>4663</v>
      </c>
      <c r="C325" s="228" t="s">
        <v>644</v>
      </c>
      <c r="D325" s="228" t="s">
        <v>2243</v>
      </c>
      <c r="E325" s="229"/>
      <c r="F325" s="229" t="s">
        <v>136</v>
      </c>
      <c r="G325" s="229" t="s">
        <v>82</v>
      </c>
      <c r="H325" s="229"/>
      <c r="I325" s="229">
        <v>0</v>
      </c>
      <c r="J325" s="229">
        <v>-1</v>
      </c>
      <c r="K325" s="230">
        <v>1</v>
      </c>
      <c r="L325" s="229">
        <v>1</v>
      </c>
      <c r="M325" s="229"/>
      <c r="N325" s="229" t="s">
        <v>1668</v>
      </c>
      <c r="O325" s="229" t="s">
        <v>4100</v>
      </c>
      <c r="P325" s="231"/>
    </row>
    <row r="326" spans="1:16" x14ac:dyDescent="0.25">
      <c r="A326" s="227" t="s">
        <v>4664</v>
      </c>
      <c r="B326" s="228" t="s">
        <v>4665</v>
      </c>
      <c r="C326" s="228" t="s">
        <v>644</v>
      </c>
      <c r="D326" s="228" t="s">
        <v>2243</v>
      </c>
      <c r="E326" s="229"/>
      <c r="F326" s="229" t="s">
        <v>136</v>
      </c>
      <c r="G326" s="229" t="s">
        <v>82</v>
      </c>
      <c r="H326" s="229"/>
      <c r="I326" s="229">
        <v>0</v>
      </c>
      <c r="J326" s="229">
        <v>0</v>
      </c>
      <c r="K326" s="230">
        <v>7150</v>
      </c>
      <c r="L326" s="229">
        <v>1</v>
      </c>
      <c r="M326" s="229"/>
      <c r="N326" s="229" t="s">
        <v>1668</v>
      </c>
      <c r="O326" s="229" t="s">
        <v>4660</v>
      </c>
      <c r="P326" s="231"/>
    </row>
    <row r="327" spans="1:16" x14ac:dyDescent="0.25">
      <c r="A327" s="227" t="s">
        <v>4666</v>
      </c>
      <c r="B327" s="228" t="s">
        <v>4667</v>
      </c>
      <c r="C327" s="228" t="s">
        <v>644</v>
      </c>
      <c r="D327" s="228" t="s">
        <v>2243</v>
      </c>
      <c r="E327" s="229"/>
      <c r="F327" s="229" t="s">
        <v>136</v>
      </c>
      <c r="G327" s="229" t="s">
        <v>82</v>
      </c>
      <c r="H327" s="229"/>
      <c r="I327" s="229">
        <v>0</v>
      </c>
      <c r="J327" s="229">
        <v>0</v>
      </c>
      <c r="K327" s="230">
        <v>7150</v>
      </c>
      <c r="L327" s="229">
        <v>1</v>
      </c>
      <c r="M327" s="229"/>
      <c r="N327" s="229" t="s">
        <v>1668</v>
      </c>
      <c r="O327" s="229" t="s">
        <v>4660</v>
      </c>
      <c r="P327" s="231"/>
    </row>
    <row r="328" spans="1:16" x14ac:dyDescent="0.25">
      <c r="A328" s="227" t="s">
        <v>4666</v>
      </c>
      <c r="B328" s="228" t="s">
        <v>4665</v>
      </c>
      <c r="C328" s="228" t="s">
        <v>644</v>
      </c>
      <c r="D328" s="228" t="s">
        <v>2243</v>
      </c>
      <c r="E328" s="229"/>
      <c r="F328" s="229" t="s">
        <v>136</v>
      </c>
      <c r="G328" s="229" t="s">
        <v>82</v>
      </c>
      <c r="H328" s="229"/>
      <c r="I328" s="229">
        <v>0</v>
      </c>
      <c r="J328" s="229">
        <v>0</v>
      </c>
      <c r="K328" s="230">
        <v>7150</v>
      </c>
      <c r="L328" s="229">
        <v>1</v>
      </c>
      <c r="M328" s="229"/>
      <c r="N328" s="229" t="s">
        <v>1668</v>
      </c>
      <c r="O328" s="229" t="s">
        <v>4660</v>
      </c>
      <c r="P328" s="231"/>
    </row>
    <row r="329" spans="1:16" x14ac:dyDescent="0.25">
      <c r="A329" s="227" t="s">
        <v>4664</v>
      </c>
      <c r="B329" s="228" t="s">
        <v>4667</v>
      </c>
      <c r="C329" s="228" t="s">
        <v>644</v>
      </c>
      <c r="D329" s="228" t="s">
        <v>2243</v>
      </c>
      <c r="E329" s="229"/>
      <c r="F329" s="229" t="s">
        <v>136</v>
      </c>
      <c r="G329" s="229" t="s">
        <v>82</v>
      </c>
      <c r="H329" s="229"/>
      <c r="I329" s="229">
        <v>0</v>
      </c>
      <c r="J329" s="229">
        <v>0</v>
      </c>
      <c r="K329" s="230">
        <v>7150</v>
      </c>
      <c r="L329" s="229">
        <v>1</v>
      </c>
      <c r="M329" s="229"/>
      <c r="N329" s="229" t="s">
        <v>1668</v>
      </c>
      <c r="O329" s="229" t="s">
        <v>4660</v>
      </c>
      <c r="P329" s="231"/>
    </row>
    <row r="330" spans="1:16" x14ac:dyDescent="0.25">
      <c r="A330" s="227" t="s">
        <v>4668</v>
      </c>
      <c r="B330" s="228" t="s">
        <v>4665</v>
      </c>
      <c r="C330" s="228" t="s">
        <v>644</v>
      </c>
      <c r="D330" s="228" t="s">
        <v>2243</v>
      </c>
      <c r="E330" s="229"/>
      <c r="F330" s="229" t="s">
        <v>136</v>
      </c>
      <c r="G330" s="229" t="s">
        <v>82</v>
      </c>
      <c r="H330" s="229"/>
      <c r="I330" s="229">
        <v>0</v>
      </c>
      <c r="J330" s="229">
        <v>0</v>
      </c>
      <c r="K330" s="230">
        <v>7150</v>
      </c>
      <c r="L330" s="229">
        <v>1</v>
      </c>
      <c r="M330" s="229"/>
      <c r="N330" s="229" t="s">
        <v>1668</v>
      </c>
      <c r="O330" s="229" t="s">
        <v>4660</v>
      </c>
      <c r="P330" s="231"/>
    </row>
    <row r="331" spans="1:16" x14ac:dyDescent="0.25">
      <c r="A331" s="227" t="s">
        <v>4664</v>
      </c>
      <c r="B331" s="228" t="s">
        <v>4667</v>
      </c>
      <c r="C331" s="228" t="s">
        <v>644</v>
      </c>
      <c r="D331" s="228" t="s">
        <v>2243</v>
      </c>
      <c r="E331" s="229"/>
      <c r="F331" s="229" t="s">
        <v>136</v>
      </c>
      <c r="G331" s="229" t="s">
        <v>82</v>
      </c>
      <c r="H331" s="229"/>
      <c r="I331" s="229">
        <v>0</v>
      </c>
      <c r="J331" s="229">
        <v>0</v>
      </c>
      <c r="K331" s="230">
        <v>7150</v>
      </c>
      <c r="L331" s="229">
        <v>1</v>
      </c>
      <c r="M331" s="229"/>
      <c r="N331" s="229" t="s">
        <v>1668</v>
      </c>
      <c r="O331" s="229" t="s">
        <v>4660</v>
      </c>
      <c r="P331" s="231"/>
    </row>
    <row r="332" spans="1:16" x14ac:dyDescent="0.25">
      <c r="A332" s="227" t="s">
        <v>4664</v>
      </c>
      <c r="B332" s="228" t="s">
        <v>4665</v>
      </c>
      <c r="C332" s="228" t="s">
        <v>644</v>
      </c>
      <c r="D332" s="228" t="s">
        <v>2243</v>
      </c>
      <c r="E332" s="229"/>
      <c r="F332" s="229" t="s">
        <v>136</v>
      </c>
      <c r="G332" s="229" t="s">
        <v>82</v>
      </c>
      <c r="H332" s="229"/>
      <c r="I332" s="229">
        <v>0</v>
      </c>
      <c r="J332" s="229">
        <v>0</v>
      </c>
      <c r="K332" s="230">
        <v>7150</v>
      </c>
      <c r="L332" s="229">
        <v>1</v>
      </c>
      <c r="M332" s="229"/>
      <c r="N332" s="229" t="s">
        <v>1668</v>
      </c>
      <c r="O332" s="229" t="s">
        <v>4660</v>
      </c>
      <c r="P332" s="231"/>
    </row>
    <row r="333" spans="1:16" x14ac:dyDescent="0.25">
      <c r="A333" s="227" t="s">
        <v>4668</v>
      </c>
      <c r="B333" s="228" t="s">
        <v>4667</v>
      </c>
      <c r="C333" s="228" t="s">
        <v>644</v>
      </c>
      <c r="D333" s="228" t="s">
        <v>2243</v>
      </c>
      <c r="E333" s="229"/>
      <c r="F333" s="229" t="s">
        <v>136</v>
      </c>
      <c r="G333" s="229" t="s">
        <v>82</v>
      </c>
      <c r="H333" s="229"/>
      <c r="I333" s="229">
        <v>0</v>
      </c>
      <c r="J333" s="229">
        <v>0</v>
      </c>
      <c r="K333" s="230">
        <v>7150</v>
      </c>
      <c r="L333" s="229">
        <v>1</v>
      </c>
      <c r="M333" s="229"/>
      <c r="N333" s="229" t="s">
        <v>1668</v>
      </c>
      <c r="O333" s="229" t="s">
        <v>4660</v>
      </c>
      <c r="P333" s="231"/>
    </row>
    <row r="334" spans="1:16" x14ac:dyDescent="0.25">
      <c r="A334" s="227" t="s">
        <v>4668</v>
      </c>
      <c r="B334" s="228" t="s">
        <v>4665</v>
      </c>
      <c r="C334" s="228" t="s">
        <v>644</v>
      </c>
      <c r="D334" s="228" t="s">
        <v>2243</v>
      </c>
      <c r="E334" s="229"/>
      <c r="F334" s="229" t="s">
        <v>136</v>
      </c>
      <c r="G334" s="229" t="s">
        <v>82</v>
      </c>
      <c r="H334" s="229"/>
      <c r="I334" s="229">
        <v>0</v>
      </c>
      <c r="J334" s="229">
        <v>0</v>
      </c>
      <c r="K334" s="230">
        <v>7150</v>
      </c>
      <c r="L334" s="229">
        <v>1</v>
      </c>
      <c r="M334" s="229"/>
      <c r="N334" s="229" t="s">
        <v>1668</v>
      </c>
      <c r="O334" s="229" t="s">
        <v>4660</v>
      </c>
      <c r="P334" s="231"/>
    </row>
    <row r="335" spans="1:16" x14ac:dyDescent="0.25">
      <c r="A335" s="227" t="s">
        <v>4666</v>
      </c>
      <c r="B335" s="228" t="s">
        <v>4667</v>
      </c>
      <c r="C335" s="228" t="s">
        <v>644</v>
      </c>
      <c r="D335" s="228" t="s">
        <v>2243</v>
      </c>
      <c r="E335" s="229"/>
      <c r="F335" s="229" t="s">
        <v>136</v>
      </c>
      <c r="G335" s="229" t="s">
        <v>82</v>
      </c>
      <c r="H335" s="229"/>
      <c r="I335" s="229">
        <v>0</v>
      </c>
      <c r="J335" s="229">
        <v>0</v>
      </c>
      <c r="K335" s="230">
        <v>7150</v>
      </c>
      <c r="L335" s="229">
        <v>1</v>
      </c>
      <c r="M335" s="229"/>
      <c r="N335" s="229" t="s">
        <v>1668</v>
      </c>
      <c r="O335" s="229" t="s">
        <v>4660</v>
      </c>
      <c r="P335" s="231"/>
    </row>
    <row r="336" spans="1:16" x14ac:dyDescent="0.25">
      <c r="A336" s="227" t="s">
        <v>4666</v>
      </c>
      <c r="B336" s="228" t="s">
        <v>4665</v>
      </c>
      <c r="C336" s="228" t="s">
        <v>644</v>
      </c>
      <c r="D336" s="228" t="s">
        <v>2243</v>
      </c>
      <c r="E336" s="229"/>
      <c r="F336" s="229" t="s">
        <v>136</v>
      </c>
      <c r="G336" s="229" t="s">
        <v>82</v>
      </c>
      <c r="H336" s="229"/>
      <c r="I336" s="229">
        <v>0</v>
      </c>
      <c r="J336" s="229">
        <v>0</v>
      </c>
      <c r="K336" s="230">
        <v>7150</v>
      </c>
      <c r="L336" s="229">
        <v>1</v>
      </c>
      <c r="M336" s="229"/>
      <c r="N336" s="229" t="s">
        <v>1668</v>
      </c>
      <c r="O336" s="229" t="s">
        <v>4660</v>
      </c>
      <c r="P336" s="231"/>
    </row>
    <row r="337" spans="1:16" x14ac:dyDescent="0.25">
      <c r="A337" s="227" t="s">
        <v>4668</v>
      </c>
      <c r="B337" s="228" t="s">
        <v>4667</v>
      </c>
      <c r="C337" s="228" t="s">
        <v>644</v>
      </c>
      <c r="D337" s="228" t="s">
        <v>2243</v>
      </c>
      <c r="E337" s="229"/>
      <c r="F337" s="229" t="s">
        <v>136</v>
      </c>
      <c r="G337" s="229" t="s">
        <v>82</v>
      </c>
      <c r="H337" s="229"/>
      <c r="I337" s="229">
        <v>0</v>
      </c>
      <c r="J337" s="229">
        <v>0</v>
      </c>
      <c r="K337" s="230">
        <v>7150</v>
      </c>
      <c r="L337" s="229">
        <v>1</v>
      </c>
      <c r="M337" s="229"/>
      <c r="N337" s="229" t="s">
        <v>1668</v>
      </c>
      <c r="O337" s="229" t="s">
        <v>4660</v>
      </c>
      <c r="P337" s="231"/>
    </row>
    <row r="338" spans="1:16" x14ac:dyDescent="0.25">
      <c r="A338" s="227" t="s">
        <v>2767</v>
      </c>
      <c r="B338" s="228" t="s">
        <v>4669</v>
      </c>
      <c r="C338" s="228" t="s">
        <v>644</v>
      </c>
      <c r="D338" s="228" t="s">
        <v>2243</v>
      </c>
      <c r="E338" s="229"/>
      <c r="F338" s="229" t="s">
        <v>138</v>
      </c>
      <c r="G338" s="229" t="s">
        <v>82</v>
      </c>
      <c r="H338" s="229"/>
      <c r="I338" s="229">
        <v>0</v>
      </c>
      <c r="J338" s="229">
        <v>-0.67079999999999995</v>
      </c>
      <c r="K338" s="230">
        <v>0.67079999999999995</v>
      </c>
      <c r="L338" s="229" t="s">
        <v>2244</v>
      </c>
      <c r="M338" s="229">
        <v>1.52587890625E-5</v>
      </c>
      <c r="N338" s="229" t="s">
        <v>1330</v>
      </c>
      <c r="O338" s="229" t="s">
        <v>261</v>
      </c>
      <c r="P338" s="231"/>
    </row>
    <row r="339" spans="1:16" x14ac:dyDescent="0.25">
      <c r="A339" s="227" t="s">
        <v>4670</v>
      </c>
      <c r="B339" s="228" t="s">
        <v>4671</v>
      </c>
      <c r="C339" s="228" t="s">
        <v>644</v>
      </c>
      <c r="D339" s="228" t="s">
        <v>2243</v>
      </c>
      <c r="E339" s="229"/>
      <c r="F339" s="229" t="s">
        <v>138</v>
      </c>
      <c r="G339" s="229" t="s">
        <v>82</v>
      </c>
      <c r="H339" s="229"/>
      <c r="I339" s="229">
        <v>0</v>
      </c>
      <c r="J339" s="229">
        <v>0</v>
      </c>
      <c r="K339" s="230">
        <v>0.9999847412109375</v>
      </c>
      <c r="L339" s="229" t="s">
        <v>2244</v>
      </c>
      <c r="M339" s="229">
        <v>1.52587890625E-5</v>
      </c>
      <c r="N339" s="229" t="s">
        <v>1353</v>
      </c>
      <c r="O339" s="229" t="s">
        <v>261</v>
      </c>
      <c r="P339" s="231"/>
    </row>
    <row r="340" spans="1:16" x14ac:dyDescent="0.25">
      <c r="A340" s="227" t="s">
        <v>4672</v>
      </c>
      <c r="B340" s="228" t="s">
        <v>4671</v>
      </c>
      <c r="C340" s="228" t="s">
        <v>644</v>
      </c>
      <c r="D340" s="228" t="s">
        <v>2243</v>
      </c>
      <c r="E340" s="229"/>
      <c r="F340" s="229" t="s">
        <v>138</v>
      </c>
      <c r="G340" s="229" t="s">
        <v>82</v>
      </c>
      <c r="H340" s="229"/>
      <c r="I340" s="229">
        <v>0</v>
      </c>
      <c r="J340" s="229">
        <v>-220</v>
      </c>
      <c r="K340" s="230">
        <v>220</v>
      </c>
      <c r="L340" s="229" t="s">
        <v>2244</v>
      </c>
      <c r="M340" s="229">
        <v>32</v>
      </c>
      <c r="N340" s="229" t="s">
        <v>2733</v>
      </c>
      <c r="O340" s="229" t="s">
        <v>261</v>
      </c>
      <c r="P340" s="231"/>
    </row>
    <row r="341" spans="1:16" x14ac:dyDescent="0.25">
      <c r="A341" s="227" t="s">
        <v>4673</v>
      </c>
      <c r="B341" s="228" t="s">
        <v>4671</v>
      </c>
      <c r="C341" s="228" t="s">
        <v>644</v>
      </c>
      <c r="D341" s="228" t="s">
        <v>2243</v>
      </c>
      <c r="E341" s="229"/>
      <c r="F341" s="229" t="s">
        <v>138</v>
      </c>
      <c r="G341" s="229" t="s">
        <v>82</v>
      </c>
      <c r="H341" s="229"/>
      <c r="I341" s="229">
        <v>0</v>
      </c>
      <c r="J341" s="229">
        <v>-220</v>
      </c>
      <c r="K341" s="230">
        <v>220</v>
      </c>
      <c r="L341" s="229" t="s">
        <v>2244</v>
      </c>
      <c r="M341" s="229">
        <v>32</v>
      </c>
      <c r="N341" s="229" t="s">
        <v>2733</v>
      </c>
      <c r="O341" s="229" t="s">
        <v>261</v>
      </c>
      <c r="P341" s="231"/>
    </row>
    <row r="342" spans="1:16" x14ac:dyDescent="0.25">
      <c r="A342" s="227" t="s">
        <v>4674</v>
      </c>
      <c r="B342" s="228" t="s">
        <v>4675</v>
      </c>
      <c r="C342" s="228" t="s">
        <v>644</v>
      </c>
      <c r="D342" s="228" t="s">
        <v>2243</v>
      </c>
      <c r="E342" s="229"/>
      <c r="F342" s="229" t="s">
        <v>138</v>
      </c>
      <c r="G342" s="229" t="s">
        <v>82</v>
      </c>
      <c r="H342" s="229"/>
      <c r="I342" s="229">
        <v>0</v>
      </c>
      <c r="J342" s="229">
        <v>0</v>
      </c>
      <c r="K342" s="230">
        <v>5</v>
      </c>
      <c r="L342" s="229" t="s">
        <v>2244</v>
      </c>
      <c r="M342" s="229">
        <v>32</v>
      </c>
      <c r="N342" s="229" t="s">
        <v>654</v>
      </c>
      <c r="O342" s="229" t="s">
        <v>261</v>
      </c>
      <c r="P342" s="231"/>
    </row>
    <row r="343" spans="1:16" x14ac:dyDescent="0.25">
      <c r="A343" s="227" t="s">
        <v>4676</v>
      </c>
      <c r="B343" s="228" t="s">
        <v>4677</v>
      </c>
      <c r="C343" s="228" t="s">
        <v>644</v>
      </c>
      <c r="D343" s="228" t="s">
        <v>2243</v>
      </c>
      <c r="E343" s="229"/>
      <c r="F343" s="229" t="s">
        <v>138</v>
      </c>
      <c r="G343" s="229" t="s">
        <v>82</v>
      </c>
      <c r="H343" s="229"/>
      <c r="I343" s="229">
        <v>0</v>
      </c>
      <c r="J343" s="229">
        <v>0</v>
      </c>
      <c r="K343" s="230">
        <v>5</v>
      </c>
      <c r="L343" s="229" t="s">
        <v>2244</v>
      </c>
      <c r="M343" s="229">
        <v>32</v>
      </c>
      <c r="N343" s="229" t="s">
        <v>654</v>
      </c>
      <c r="O343" s="229" t="s">
        <v>261</v>
      </c>
      <c r="P343" s="231"/>
    </row>
    <row r="344" spans="1:16" ht="20.399999999999999" x14ac:dyDescent="0.25">
      <c r="A344" s="227" t="s">
        <v>4678</v>
      </c>
      <c r="B344" s="228" t="s">
        <v>1871</v>
      </c>
      <c r="C344" s="228" t="s">
        <v>644</v>
      </c>
      <c r="D344" s="228" t="s">
        <v>2243</v>
      </c>
      <c r="E344" s="229"/>
      <c r="F344" s="229" t="s">
        <v>139</v>
      </c>
      <c r="G344" s="229" t="s">
        <v>82</v>
      </c>
      <c r="H344" s="229"/>
      <c r="I344" s="229">
        <v>0</v>
      </c>
      <c r="J344" s="229">
        <v>0</v>
      </c>
      <c r="K344" s="230">
        <v>5</v>
      </c>
      <c r="L344" s="229">
        <v>1</v>
      </c>
      <c r="M344" s="229">
        <v>1.862645149230957E-9</v>
      </c>
      <c r="N344" s="229" t="s">
        <v>654</v>
      </c>
      <c r="O344" s="229" t="s">
        <v>321</v>
      </c>
      <c r="P344" s="231"/>
    </row>
    <row r="345" spans="1:16" ht="20.399999999999999" x14ac:dyDescent="0.25">
      <c r="A345" s="227" t="s">
        <v>4679</v>
      </c>
      <c r="B345" s="228" t="s">
        <v>1871</v>
      </c>
      <c r="C345" s="228" t="s">
        <v>644</v>
      </c>
      <c r="D345" s="228" t="s">
        <v>2243</v>
      </c>
      <c r="E345" s="229"/>
      <c r="F345" s="229" t="s">
        <v>139</v>
      </c>
      <c r="G345" s="229" t="s">
        <v>82</v>
      </c>
      <c r="H345" s="229"/>
      <c r="I345" s="229">
        <v>0</v>
      </c>
      <c r="J345" s="229">
        <v>0</v>
      </c>
      <c r="K345" s="230">
        <v>5</v>
      </c>
      <c r="L345" s="229">
        <v>1</v>
      </c>
      <c r="M345" s="229">
        <v>1.862645149230957E-9</v>
      </c>
      <c r="N345" s="229" t="s">
        <v>654</v>
      </c>
      <c r="O345" s="229" t="s">
        <v>321</v>
      </c>
      <c r="P345" s="231"/>
    </row>
    <row r="346" spans="1:16" x14ac:dyDescent="0.25">
      <c r="A346" s="227" t="s">
        <v>4680</v>
      </c>
      <c r="B346" s="228" t="s">
        <v>4681</v>
      </c>
      <c r="C346" s="228" t="s">
        <v>644</v>
      </c>
      <c r="D346" s="228" t="s">
        <v>2243</v>
      </c>
      <c r="E346" s="229"/>
      <c r="F346" s="229" t="s">
        <v>139</v>
      </c>
      <c r="G346" s="229" t="s">
        <v>82</v>
      </c>
      <c r="H346" s="229"/>
      <c r="I346" s="229">
        <v>0</v>
      </c>
      <c r="J346" s="229">
        <v>0</v>
      </c>
      <c r="K346" s="230">
        <v>5</v>
      </c>
      <c r="L346" s="229" t="s">
        <v>2244</v>
      </c>
      <c r="M346" s="229">
        <v>32</v>
      </c>
      <c r="N346" s="229" t="s">
        <v>654</v>
      </c>
      <c r="O346" s="229" t="s">
        <v>261</v>
      </c>
      <c r="P346" s="231"/>
    </row>
    <row r="347" spans="1:16" x14ac:dyDescent="0.25">
      <c r="A347" s="227" t="s">
        <v>4682</v>
      </c>
      <c r="B347" s="228" t="s">
        <v>4683</v>
      </c>
      <c r="C347" s="228" t="s">
        <v>644</v>
      </c>
      <c r="D347" s="228" t="s">
        <v>2243</v>
      </c>
      <c r="E347" s="229"/>
      <c r="F347" s="229" t="s">
        <v>139</v>
      </c>
      <c r="G347" s="229" t="s">
        <v>82</v>
      </c>
      <c r="H347" s="229"/>
      <c r="I347" s="229">
        <v>0</v>
      </c>
      <c r="J347" s="229">
        <v>0</v>
      </c>
      <c r="K347" s="230">
        <v>5</v>
      </c>
      <c r="L347" s="229" t="s">
        <v>2244</v>
      </c>
      <c r="M347" s="229">
        <v>32</v>
      </c>
      <c r="N347" s="229" t="s">
        <v>654</v>
      </c>
      <c r="O347" s="229" t="s">
        <v>261</v>
      </c>
      <c r="P347" s="231"/>
    </row>
    <row r="348" spans="1:16" x14ac:dyDescent="0.25">
      <c r="A348" s="227" t="s">
        <v>4684</v>
      </c>
      <c r="B348" s="228" t="s">
        <v>1871</v>
      </c>
      <c r="C348" s="228" t="s">
        <v>644</v>
      </c>
      <c r="D348" s="228" t="s">
        <v>2243</v>
      </c>
      <c r="E348" s="229"/>
      <c r="F348" s="229" t="s">
        <v>139</v>
      </c>
      <c r="G348" s="229" t="s">
        <v>82</v>
      </c>
      <c r="H348" s="229"/>
      <c r="I348" s="229">
        <v>0</v>
      </c>
      <c r="J348" s="229">
        <v>0</v>
      </c>
      <c r="K348" s="230">
        <v>50000</v>
      </c>
      <c r="L348" s="229" t="s">
        <v>2244</v>
      </c>
      <c r="M348" s="229">
        <v>2.9999999999999997E-4</v>
      </c>
      <c r="N348" s="229" t="s">
        <v>654</v>
      </c>
      <c r="O348" s="229" t="s">
        <v>261</v>
      </c>
      <c r="P348" s="231"/>
    </row>
    <row r="349" spans="1:16" x14ac:dyDescent="0.25">
      <c r="A349" s="227" t="s">
        <v>4685</v>
      </c>
      <c r="B349" s="228" t="s">
        <v>1871</v>
      </c>
      <c r="C349" s="228" t="s">
        <v>644</v>
      </c>
      <c r="D349" s="228" t="s">
        <v>2243</v>
      </c>
      <c r="E349" s="229"/>
      <c r="F349" s="229" t="s">
        <v>139</v>
      </c>
      <c r="G349" s="229" t="s">
        <v>82</v>
      </c>
      <c r="H349" s="229"/>
      <c r="I349" s="229">
        <v>0</v>
      </c>
      <c r="J349" s="229">
        <v>0</v>
      </c>
      <c r="K349" s="230">
        <v>50000</v>
      </c>
      <c r="L349" s="229" t="s">
        <v>2244</v>
      </c>
      <c r="M349" s="229">
        <v>2.9999999999999997E-4</v>
      </c>
      <c r="N349" s="229" t="s">
        <v>654</v>
      </c>
      <c r="O349" s="229" t="s">
        <v>261</v>
      </c>
      <c r="P349" s="231"/>
    </row>
    <row r="350" spans="1:16" x14ac:dyDescent="0.25">
      <c r="A350" s="227" t="s">
        <v>4686</v>
      </c>
      <c r="B350" s="228" t="s">
        <v>1871</v>
      </c>
      <c r="C350" s="228" t="s">
        <v>644</v>
      </c>
      <c r="D350" s="228" t="s">
        <v>2243</v>
      </c>
      <c r="E350" s="229"/>
      <c r="F350" s="229" t="s">
        <v>139</v>
      </c>
      <c r="G350" s="229" t="s">
        <v>82</v>
      </c>
      <c r="H350" s="229"/>
      <c r="I350" s="229">
        <v>0</v>
      </c>
      <c r="J350" s="229">
        <v>0</v>
      </c>
      <c r="K350" s="230">
        <v>50000</v>
      </c>
      <c r="L350" s="229" t="s">
        <v>2244</v>
      </c>
      <c r="M350" s="229">
        <v>2.9999999999999997E-4</v>
      </c>
      <c r="N350" s="229" t="s">
        <v>654</v>
      </c>
      <c r="O350" s="229" t="s">
        <v>261</v>
      </c>
      <c r="P350" s="231"/>
    </row>
    <row r="351" spans="1:16" x14ac:dyDescent="0.25">
      <c r="A351" s="227" t="s">
        <v>4687</v>
      </c>
      <c r="B351" s="228" t="s">
        <v>1871</v>
      </c>
      <c r="C351" s="228" t="s">
        <v>644</v>
      </c>
      <c r="D351" s="228" t="s">
        <v>2243</v>
      </c>
      <c r="E351" s="229"/>
      <c r="F351" s="229" t="s">
        <v>139</v>
      </c>
      <c r="G351" s="229" t="s">
        <v>82</v>
      </c>
      <c r="H351" s="229"/>
      <c r="I351" s="229">
        <v>0</v>
      </c>
      <c r="J351" s="229">
        <v>0</v>
      </c>
      <c r="K351" s="230">
        <v>50000</v>
      </c>
      <c r="L351" s="229" t="s">
        <v>2244</v>
      </c>
      <c r="M351" s="229">
        <v>2.9999999999999997E-4</v>
      </c>
      <c r="N351" s="229" t="s">
        <v>654</v>
      </c>
      <c r="O351" s="229" t="s">
        <v>261</v>
      </c>
      <c r="P351" s="231"/>
    </row>
    <row r="352" spans="1:16" x14ac:dyDescent="0.25">
      <c r="A352" s="227" t="s">
        <v>4688</v>
      </c>
      <c r="B352" s="228" t="s">
        <v>1871</v>
      </c>
      <c r="C352" s="228" t="s">
        <v>644</v>
      </c>
      <c r="D352" s="228" t="s">
        <v>2243</v>
      </c>
      <c r="E352" s="229"/>
      <c r="F352" s="229" t="s">
        <v>139</v>
      </c>
      <c r="G352" s="229" t="s">
        <v>82</v>
      </c>
      <c r="H352" s="229"/>
      <c r="I352" s="229">
        <v>0</v>
      </c>
      <c r="J352" s="229">
        <v>0</v>
      </c>
      <c r="K352" s="230">
        <v>50000</v>
      </c>
      <c r="L352" s="229" t="s">
        <v>2244</v>
      </c>
      <c r="M352" s="229">
        <v>2.9999999999999997E-4</v>
      </c>
      <c r="N352" s="229" t="s">
        <v>654</v>
      </c>
      <c r="O352" s="229" t="s">
        <v>261</v>
      </c>
      <c r="P352" s="231"/>
    </row>
    <row r="353" spans="1:16" x14ac:dyDescent="0.25">
      <c r="A353" s="227" t="s">
        <v>4689</v>
      </c>
      <c r="B353" s="228" t="s">
        <v>1871</v>
      </c>
      <c r="C353" s="228" t="s">
        <v>644</v>
      </c>
      <c r="D353" s="228" t="s">
        <v>2243</v>
      </c>
      <c r="E353" s="229"/>
      <c r="F353" s="229" t="s">
        <v>139</v>
      </c>
      <c r="G353" s="229" t="s">
        <v>82</v>
      </c>
      <c r="H353" s="229"/>
      <c r="I353" s="229">
        <v>0</v>
      </c>
      <c r="J353" s="229">
        <v>0</v>
      </c>
      <c r="K353" s="230">
        <v>50000</v>
      </c>
      <c r="L353" s="229" t="s">
        <v>2244</v>
      </c>
      <c r="M353" s="229">
        <v>2.9999999999999997E-4</v>
      </c>
      <c r="N353" s="229" t="s">
        <v>654</v>
      </c>
      <c r="O353" s="229" t="s">
        <v>261</v>
      </c>
      <c r="P353" s="231"/>
    </row>
    <row r="354" spans="1:16" x14ac:dyDescent="0.25">
      <c r="A354" s="227" t="s">
        <v>4690</v>
      </c>
      <c r="B354" s="228" t="s">
        <v>1871</v>
      </c>
      <c r="C354" s="228" t="s">
        <v>644</v>
      </c>
      <c r="D354" s="228" t="s">
        <v>2243</v>
      </c>
      <c r="E354" s="229"/>
      <c r="F354" s="229" t="s">
        <v>139</v>
      </c>
      <c r="G354" s="229" t="s">
        <v>82</v>
      </c>
      <c r="H354" s="229"/>
      <c r="I354" s="229">
        <v>0</v>
      </c>
      <c r="J354" s="229">
        <v>0</v>
      </c>
      <c r="K354" s="230">
        <v>1984</v>
      </c>
      <c r="L354" s="229" t="s">
        <v>2244</v>
      </c>
      <c r="M354" s="229">
        <v>9.765625E-4</v>
      </c>
      <c r="N354" s="229" t="s">
        <v>654</v>
      </c>
      <c r="O354" s="229" t="s">
        <v>261</v>
      </c>
      <c r="P354" s="231"/>
    </row>
    <row r="355" spans="1:16" x14ac:dyDescent="0.25">
      <c r="A355" s="227" t="s">
        <v>4691</v>
      </c>
      <c r="B355" s="228" t="s">
        <v>4692</v>
      </c>
      <c r="C355" s="228" t="s">
        <v>644</v>
      </c>
      <c r="D355" s="228" t="s">
        <v>2243</v>
      </c>
      <c r="E355" s="229"/>
      <c r="F355" s="229" t="s">
        <v>139</v>
      </c>
      <c r="G355" s="229" t="s">
        <v>82</v>
      </c>
      <c r="H355" s="229"/>
      <c r="I355" s="229">
        <v>0</v>
      </c>
      <c r="J355" s="229">
        <v>0</v>
      </c>
      <c r="K355" s="230">
        <v>5</v>
      </c>
      <c r="L355" s="229" t="s">
        <v>2244</v>
      </c>
      <c r="M355" s="229">
        <v>2.9999999999999997E-4</v>
      </c>
      <c r="N355" s="229" t="s">
        <v>654</v>
      </c>
      <c r="O355" s="229" t="s">
        <v>261</v>
      </c>
      <c r="P355" s="231"/>
    </row>
    <row r="356" spans="1:16" x14ac:dyDescent="0.25">
      <c r="A356" s="227" t="s">
        <v>4693</v>
      </c>
      <c r="B356" s="228" t="s">
        <v>4694</v>
      </c>
      <c r="C356" s="228" t="s">
        <v>644</v>
      </c>
      <c r="D356" s="228" t="s">
        <v>2243</v>
      </c>
      <c r="E356" s="229"/>
      <c r="F356" s="229" t="s">
        <v>139</v>
      </c>
      <c r="G356" s="229" t="s">
        <v>82</v>
      </c>
      <c r="H356" s="229"/>
      <c r="I356" s="229">
        <v>0</v>
      </c>
      <c r="J356" s="229">
        <v>0</v>
      </c>
      <c r="K356" s="230">
        <v>5</v>
      </c>
      <c r="L356" s="229" t="s">
        <v>2244</v>
      </c>
      <c r="M356" s="229">
        <v>2.9999999999999997E-4</v>
      </c>
      <c r="N356" s="229" t="s">
        <v>654</v>
      </c>
      <c r="O356" s="229" t="s">
        <v>261</v>
      </c>
      <c r="P356" s="231"/>
    </row>
    <row r="357" spans="1:16" x14ac:dyDescent="0.25">
      <c r="A357" s="227" t="s">
        <v>4695</v>
      </c>
      <c r="B357" s="228" t="s">
        <v>1871</v>
      </c>
      <c r="C357" s="228" t="s">
        <v>644</v>
      </c>
      <c r="D357" s="228" t="s">
        <v>2243</v>
      </c>
      <c r="E357" s="229"/>
      <c r="F357" s="229" t="s">
        <v>139</v>
      </c>
      <c r="G357" s="229" t="s">
        <v>82</v>
      </c>
      <c r="H357" s="229"/>
      <c r="I357" s="229">
        <v>0</v>
      </c>
      <c r="J357" s="229">
        <v>0</v>
      </c>
      <c r="K357" s="230">
        <v>5</v>
      </c>
      <c r="L357" s="229" t="s">
        <v>2244</v>
      </c>
      <c r="M357" s="229">
        <v>2.9999999999999997E-4</v>
      </c>
      <c r="N357" s="229" t="s">
        <v>654</v>
      </c>
      <c r="O357" s="229" t="s">
        <v>261</v>
      </c>
      <c r="P357" s="231"/>
    </row>
    <row r="358" spans="1:16" x14ac:dyDescent="0.25">
      <c r="A358" s="227" t="s">
        <v>4696</v>
      </c>
      <c r="B358" s="228" t="s">
        <v>1871</v>
      </c>
      <c r="C358" s="228" t="s">
        <v>644</v>
      </c>
      <c r="D358" s="228" t="s">
        <v>2243</v>
      </c>
      <c r="E358" s="229"/>
      <c r="F358" s="229" t="s">
        <v>139</v>
      </c>
      <c r="G358" s="229" t="s">
        <v>82</v>
      </c>
      <c r="H358" s="229"/>
      <c r="I358" s="229">
        <v>0</v>
      </c>
      <c r="J358" s="229">
        <v>0</v>
      </c>
      <c r="K358" s="230">
        <v>5</v>
      </c>
      <c r="L358" s="229" t="s">
        <v>2244</v>
      </c>
      <c r="M358" s="229">
        <v>2.9999999999999997E-4</v>
      </c>
      <c r="N358" s="229" t="s">
        <v>654</v>
      </c>
      <c r="O358" s="229" t="s">
        <v>261</v>
      </c>
      <c r="P358" s="231"/>
    </row>
    <row r="359" spans="1:16" ht="20.399999999999999" x14ac:dyDescent="0.25">
      <c r="A359" s="227" t="s">
        <v>4697</v>
      </c>
      <c r="B359" s="228" t="s">
        <v>4698</v>
      </c>
      <c r="C359" s="228" t="s">
        <v>644</v>
      </c>
      <c r="D359" s="228" t="s">
        <v>2243</v>
      </c>
      <c r="E359" s="229"/>
      <c r="F359" s="229" t="s">
        <v>139</v>
      </c>
      <c r="G359" s="229" t="s">
        <v>82</v>
      </c>
      <c r="H359" s="229"/>
      <c r="I359" s="229">
        <v>0</v>
      </c>
      <c r="J359" s="229">
        <v>0</v>
      </c>
      <c r="K359" s="230">
        <v>5</v>
      </c>
      <c r="L359" s="229" t="s">
        <v>2244</v>
      </c>
      <c r="M359" s="229">
        <v>2.9999999999999997E-4</v>
      </c>
      <c r="N359" s="229" t="s">
        <v>654</v>
      </c>
      <c r="O359" s="229" t="s">
        <v>261</v>
      </c>
      <c r="P359" s="231"/>
    </row>
    <row r="360" spans="1:16" ht="20.399999999999999" x14ac:dyDescent="0.25">
      <c r="A360" s="227" t="s">
        <v>4699</v>
      </c>
      <c r="B360" s="228" t="s">
        <v>4698</v>
      </c>
      <c r="C360" s="228" t="s">
        <v>644</v>
      </c>
      <c r="D360" s="228" t="s">
        <v>2243</v>
      </c>
      <c r="E360" s="229"/>
      <c r="F360" s="229" t="s">
        <v>139</v>
      </c>
      <c r="G360" s="229" t="s">
        <v>82</v>
      </c>
      <c r="H360" s="229"/>
      <c r="I360" s="229">
        <v>0</v>
      </c>
      <c r="J360" s="229">
        <v>0</v>
      </c>
      <c r="K360" s="230">
        <v>5</v>
      </c>
      <c r="L360" s="229" t="s">
        <v>2244</v>
      </c>
      <c r="M360" s="229">
        <v>2.9999999999999997E-4</v>
      </c>
      <c r="N360" s="229" t="s">
        <v>654</v>
      </c>
      <c r="O360" s="229" t="s">
        <v>261</v>
      </c>
      <c r="P360" s="231"/>
    </row>
    <row r="361" spans="1:16" ht="20.399999999999999" x14ac:dyDescent="0.25">
      <c r="A361" s="227" t="s">
        <v>4700</v>
      </c>
      <c r="B361" s="228" t="s">
        <v>1871</v>
      </c>
      <c r="C361" s="228" t="s">
        <v>644</v>
      </c>
      <c r="D361" s="228" t="s">
        <v>2243</v>
      </c>
      <c r="E361" s="229"/>
      <c r="F361" s="229" t="s">
        <v>139</v>
      </c>
      <c r="G361" s="229" t="s">
        <v>82</v>
      </c>
      <c r="H361" s="229"/>
      <c r="I361" s="229">
        <v>0</v>
      </c>
      <c r="J361" s="229">
        <v>0</v>
      </c>
      <c r="K361" s="230">
        <v>80000</v>
      </c>
      <c r="L361" s="229" t="s">
        <v>2244</v>
      </c>
      <c r="M361" s="229">
        <v>1E-3</v>
      </c>
      <c r="N361" s="229" t="s">
        <v>4701</v>
      </c>
      <c r="O361" s="229" t="s">
        <v>261</v>
      </c>
      <c r="P361" s="231"/>
    </row>
    <row r="362" spans="1:16" ht="20.399999999999999" x14ac:dyDescent="0.25">
      <c r="A362" s="227" t="s">
        <v>4702</v>
      </c>
      <c r="B362" s="228" t="s">
        <v>1871</v>
      </c>
      <c r="C362" s="228" t="s">
        <v>644</v>
      </c>
      <c r="D362" s="228" t="s">
        <v>2243</v>
      </c>
      <c r="E362" s="229"/>
      <c r="F362" s="229" t="s">
        <v>139</v>
      </c>
      <c r="G362" s="229" t="s">
        <v>82</v>
      </c>
      <c r="H362" s="229"/>
      <c r="I362" s="229">
        <v>0</v>
      </c>
      <c r="J362" s="229">
        <v>0</v>
      </c>
      <c r="K362" s="230">
        <v>1.7142857142857143E-4</v>
      </c>
      <c r="L362" s="229" t="s">
        <v>2244</v>
      </c>
      <c r="M362" s="229">
        <v>1.0000000000000001E-5</v>
      </c>
      <c r="N362" s="229" t="s">
        <v>4703</v>
      </c>
      <c r="O362" s="229" t="s">
        <v>261</v>
      </c>
      <c r="P362" s="231"/>
    </row>
    <row r="363" spans="1:16" ht="20.399999999999999" x14ac:dyDescent="0.25">
      <c r="A363" s="227" t="s">
        <v>4704</v>
      </c>
      <c r="B363" s="228" t="s">
        <v>1871</v>
      </c>
      <c r="C363" s="228" t="s">
        <v>644</v>
      </c>
      <c r="D363" s="228" t="s">
        <v>2243</v>
      </c>
      <c r="E363" s="229"/>
      <c r="F363" s="229" t="s">
        <v>139</v>
      </c>
      <c r="G363" s="229" t="s">
        <v>82</v>
      </c>
      <c r="H363" s="229"/>
      <c r="I363" s="229">
        <v>0</v>
      </c>
      <c r="J363" s="229">
        <v>0</v>
      </c>
      <c r="K363" s="230">
        <v>1.7142857142857143E-4</v>
      </c>
      <c r="L363" s="229" t="s">
        <v>2244</v>
      </c>
      <c r="M363" s="229">
        <v>1.0000000000000001E-5</v>
      </c>
      <c r="N363" s="229" t="s">
        <v>4703</v>
      </c>
      <c r="O363" s="229" t="s">
        <v>261</v>
      </c>
      <c r="P363" s="231"/>
    </row>
    <row r="364" spans="1:16" ht="20.399999999999999" x14ac:dyDescent="0.25">
      <c r="A364" s="227" t="s">
        <v>4705</v>
      </c>
      <c r="B364" s="228" t="s">
        <v>1871</v>
      </c>
      <c r="C364" s="228" t="s">
        <v>644</v>
      </c>
      <c r="D364" s="228" t="s">
        <v>2243</v>
      </c>
      <c r="E364" s="229"/>
      <c r="F364" s="229" t="s">
        <v>139</v>
      </c>
      <c r="G364" s="229" t="s">
        <v>82</v>
      </c>
      <c r="H364" s="229"/>
      <c r="I364" s="229">
        <v>0</v>
      </c>
      <c r="J364" s="229">
        <v>0</v>
      </c>
      <c r="K364" s="230">
        <v>10000</v>
      </c>
      <c r="L364" s="229">
        <v>1</v>
      </c>
      <c r="M364" s="229">
        <v>1</v>
      </c>
      <c r="N364" s="229" t="s">
        <v>271</v>
      </c>
      <c r="O364" s="229" t="s">
        <v>267</v>
      </c>
      <c r="P364" s="231"/>
    </row>
    <row r="365" spans="1:16" x14ac:dyDescent="0.25">
      <c r="A365" s="227" t="s">
        <v>4706</v>
      </c>
      <c r="B365" s="228" t="s">
        <v>1871</v>
      </c>
      <c r="C365" s="228" t="s">
        <v>644</v>
      </c>
      <c r="D365" s="228" t="s">
        <v>2243</v>
      </c>
      <c r="E365" s="229"/>
      <c r="F365" s="229" t="s">
        <v>139</v>
      </c>
      <c r="G365" s="229" t="s">
        <v>82</v>
      </c>
      <c r="H365" s="229"/>
      <c r="I365" s="229">
        <v>0</v>
      </c>
      <c r="J365" s="229">
        <v>0</v>
      </c>
      <c r="K365" s="230" t="s">
        <v>1871</v>
      </c>
      <c r="L365" s="229" t="s">
        <v>1871</v>
      </c>
      <c r="M365" s="229" t="s">
        <v>1871</v>
      </c>
      <c r="N365" s="229" t="s">
        <v>260</v>
      </c>
      <c r="O365" s="229" t="s">
        <v>4707</v>
      </c>
      <c r="P365" s="231"/>
    </row>
    <row r="366" spans="1:16" ht="26.4" x14ac:dyDescent="0.25">
      <c r="A366" s="227" t="s">
        <v>4708</v>
      </c>
      <c r="B366" s="228" t="s">
        <v>1871</v>
      </c>
      <c r="C366" s="228" t="s">
        <v>644</v>
      </c>
      <c r="D366" s="228" t="s">
        <v>2243</v>
      </c>
      <c r="E366" s="229"/>
      <c r="F366" s="229" t="s">
        <v>139</v>
      </c>
      <c r="G366" s="229" t="s">
        <v>82</v>
      </c>
      <c r="H366" s="229"/>
      <c r="I366" s="229">
        <v>0</v>
      </c>
      <c r="J366" s="229">
        <v>0</v>
      </c>
      <c r="K366" s="230" t="s">
        <v>1871</v>
      </c>
      <c r="L366" s="229">
        <v>1</v>
      </c>
      <c r="M366" s="229" t="s">
        <v>1871</v>
      </c>
      <c r="N366" s="229" t="s">
        <v>271</v>
      </c>
      <c r="O366" s="229" t="s">
        <v>4709</v>
      </c>
      <c r="P366" s="231"/>
    </row>
    <row r="367" spans="1:16" x14ac:dyDescent="0.25">
      <c r="A367" s="227" t="s">
        <v>4710</v>
      </c>
      <c r="B367" s="228" t="s">
        <v>1871</v>
      </c>
      <c r="C367" s="228" t="s">
        <v>644</v>
      </c>
      <c r="D367" s="228" t="s">
        <v>2243</v>
      </c>
      <c r="E367" s="229"/>
      <c r="F367" s="229" t="s">
        <v>139</v>
      </c>
      <c r="G367" s="229" t="s">
        <v>82</v>
      </c>
      <c r="H367" s="229"/>
      <c r="I367" s="229" t="b">
        <v>0</v>
      </c>
      <c r="J367" s="229" t="b">
        <v>0</v>
      </c>
      <c r="K367" s="230" t="b">
        <v>1</v>
      </c>
      <c r="L367" s="229" t="s">
        <v>1871</v>
      </c>
      <c r="M367" s="229" t="s">
        <v>1871</v>
      </c>
      <c r="N367" s="229" t="s">
        <v>271</v>
      </c>
      <c r="O367" s="229" t="s">
        <v>929</v>
      </c>
      <c r="P367" s="231"/>
    </row>
    <row r="368" spans="1:16" x14ac:dyDescent="0.25">
      <c r="A368" s="227" t="s">
        <v>4711</v>
      </c>
      <c r="B368" s="228" t="s">
        <v>4712</v>
      </c>
      <c r="C368" s="228" t="s">
        <v>644</v>
      </c>
      <c r="D368" s="228" t="s">
        <v>2243</v>
      </c>
      <c r="E368" s="229"/>
      <c r="F368" s="229" t="s">
        <v>141</v>
      </c>
      <c r="G368" s="229" t="s">
        <v>82</v>
      </c>
      <c r="H368" s="229"/>
      <c r="I368" s="229">
        <v>0</v>
      </c>
      <c r="J368" s="229" t="s">
        <v>4713</v>
      </c>
      <c r="K368" s="230" t="s">
        <v>4713</v>
      </c>
      <c r="L368" s="229" t="s">
        <v>2244</v>
      </c>
      <c r="M368" s="229" t="s">
        <v>1871</v>
      </c>
      <c r="N368" s="229" t="s">
        <v>654</v>
      </c>
      <c r="O368" s="229" t="s">
        <v>261</v>
      </c>
      <c r="P368" s="231"/>
    </row>
    <row r="369" spans="1:16" x14ac:dyDescent="0.25">
      <c r="A369" s="227" t="s">
        <v>4714</v>
      </c>
      <c r="B369" s="228" t="s">
        <v>4715</v>
      </c>
      <c r="C369" s="228" t="s">
        <v>644</v>
      </c>
      <c r="D369" s="228" t="s">
        <v>2243</v>
      </c>
      <c r="E369" s="229"/>
      <c r="F369" s="229" t="s">
        <v>141</v>
      </c>
      <c r="G369" s="229" t="s">
        <v>82</v>
      </c>
      <c r="H369" s="229"/>
      <c r="I369" s="229">
        <v>0</v>
      </c>
      <c r="J369" s="229" t="s">
        <v>4713</v>
      </c>
      <c r="K369" s="230" t="s">
        <v>4713</v>
      </c>
      <c r="L369" s="229" t="s">
        <v>2244</v>
      </c>
      <c r="M369" s="229" t="s">
        <v>1871</v>
      </c>
      <c r="N369" s="229" t="s">
        <v>654</v>
      </c>
      <c r="O369" s="229" t="s">
        <v>261</v>
      </c>
      <c r="P369" s="231"/>
    </row>
    <row r="370" spans="1:16" ht="20.399999999999999" x14ac:dyDescent="0.25">
      <c r="A370" s="227" t="s">
        <v>4716</v>
      </c>
      <c r="B370" s="228" t="s">
        <v>4717</v>
      </c>
      <c r="C370" s="228" t="s">
        <v>644</v>
      </c>
      <c r="D370" s="228" t="s">
        <v>2243</v>
      </c>
      <c r="E370" s="229"/>
      <c r="F370" s="229" t="s">
        <v>82</v>
      </c>
      <c r="G370" s="229" t="s">
        <v>82</v>
      </c>
      <c r="H370" s="229"/>
      <c r="I370" s="229">
        <v>0</v>
      </c>
      <c r="J370" s="229">
        <v>0</v>
      </c>
      <c r="K370" s="230">
        <v>0</v>
      </c>
      <c r="L370" s="229">
        <v>80000</v>
      </c>
      <c r="M370" s="229">
        <v>4.0000000000000001E-3</v>
      </c>
      <c r="N370" s="229" t="s">
        <v>4718</v>
      </c>
      <c r="O370" s="229" t="s">
        <v>261</v>
      </c>
      <c r="P370" s="231"/>
    </row>
    <row r="371" spans="1:16" ht="20.399999999999999" x14ac:dyDescent="0.25">
      <c r="A371" s="227" t="s">
        <v>4719</v>
      </c>
      <c r="B371" s="228" t="s">
        <v>4720</v>
      </c>
      <c r="C371" s="228" t="s">
        <v>644</v>
      </c>
      <c r="D371" s="228" t="s">
        <v>2243</v>
      </c>
      <c r="E371" s="229"/>
      <c r="F371" s="229" t="s">
        <v>82</v>
      </c>
      <c r="G371" s="229" t="s">
        <v>82</v>
      </c>
      <c r="H371" s="229"/>
      <c r="I371" s="229">
        <v>0</v>
      </c>
      <c r="J371" s="229">
        <v>0</v>
      </c>
      <c r="K371" s="230">
        <v>1</v>
      </c>
      <c r="L371" s="229">
        <v>3</v>
      </c>
      <c r="M371" s="229">
        <v>2.9999999999999997E-4</v>
      </c>
      <c r="N371" s="229" t="s">
        <v>599</v>
      </c>
      <c r="O371" s="229" t="s">
        <v>261</v>
      </c>
      <c r="P371" s="231"/>
    </row>
    <row r="372" spans="1:16" ht="20.399999999999999" x14ac:dyDescent="0.25">
      <c r="A372" s="227" t="s">
        <v>4721</v>
      </c>
      <c r="B372" s="228" t="s">
        <v>4722</v>
      </c>
      <c r="C372" s="228" t="s">
        <v>644</v>
      </c>
      <c r="D372" s="228" t="s">
        <v>2243</v>
      </c>
      <c r="E372" s="229"/>
      <c r="F372" s="229" t="s">
        <v>82</v>
      </c>
      <c r="G372" s="229" t="s">
        <v>82</v>
      </c>
      <c r="H372" s="229"/>
      <c r="I372" s="229">
        <v>0</v>
      </c>
      <c r="J372" s="229">
        <v>0</v>
      </c>
      <c r="K372" s="230">
        <v>1</v>
      </c>
      <c r="L372" s="229">
        <v>3</v>
      </c>
      <c r="M372" s="229">
        <v>2.9999999999999997E-4</v>
      </c>
      <c r="N372" s="229" t="s">
        <v>599</v>
      </c>
      <c r="O372" s="229" t="s">
        <v>261</v>
      </c>
      <c r="P372" s="231"/>
    </row>
    <row r="373" spans="1:16" ht="20.399999999999999" x14ac:dyDescent="0.25">
      <c r="A373" s="227" t="s">
        <v>4723</v>
      </c>
      <c r="B373" s="228" t="s">
        <v>4724</v>
      </c>
      <c r="C373" s="228" t="s">
        <v>644</v>
      </c>
      <c r="D373" s="228" t="s">
        <v>2243</v>
      </c>
      <c r="E373" s="229"/>
      <c r="F373" s="229" t="s">
        <v>82</v>
      </c>
      <c r="G373" s="229" t="s">
        <v>82</v>
      </c>
      <c r="H373" s="229"/>
      <c r="I373" s="229">
        <v>0</v>
      </c>
      <c r="J373" s="229">
        <v>0</v>
      </c>
      <c r="K373" s="230">
        <v>1</v>
      </c>
      <c r="L373" s="229">
        <v>3</v>
      </c>
      <c r="M373" s="229">
        <v>2.9999999999999997E-4</v>
      </c>
      <c r="N373" s="229" t="s">
        <v>599</v>
      </c>
      <c r="O373" s="229" t="s">
        <v>261</v>
      </c>
      <c r="P373" s="231"/>
    </row>
    <row r="374" spans="1:16" ht="20.399999999999999" x14ac:dyDescent="0.25">
      <c r="A374" s="227" t="s">
        <v>4725</v>
      </c>
      <c r="B374" s="228" t="s">
        <v>4726</v>
      </c>
      <c r="C374" s="228" t="s">
        <v>644</v>
      </c>
      <c r="D374" s="228" t="s">
        <v>2243</v>
      </c>
      <c r="E374" s="229"/>
      <c r="F374" s="229" t="s">
        <v>82</v>
      </c>
      <c r="G374" s="229" t="s">
        <v>82</v>
      </c>
      <c r="H374" s="229"/>
      <c r="I374" s="229">
        <v>0</v>
      </c>
      <c r="J374" s="229">
        <v>0</v>
      </c>
      <c r="K374" s="230">
        <v>1</v>
      </c>
      <c r="L374" s="229">
        <v>3</v>
      </c>
      <c r="M374" s="229">
        <v>2.9999999999999997E-4</v>
      </c>
      <c r="N374" s="229" t="s">
        <v>599</v>
      </c>
      <c r="O374" s="229" t="s">
        <v>261</v>
      </c>
      <c r="P374" s="231"/>
    </row>
    <row r="375" spans="1:16" ht="20.399999999999999" x14ac:dyDescent="0.25">
      <c r="A375" s="227" t="s">
        <v>4727</v>
      </c>
      <c r="B375" s="228" t="s">
        <v>4728</v>
      </c>
      <c r="C375" s="228" t="s">
        <v>644</v>
      </c>
      <c r="D375" s="228" t="s">
        <v>2243</v>
      </c>
      <c r="E375" s="229"/>
      <c r="F375" s="229" t="s">
        <v>82</v>
      </c>
      <c r="G375" s="229" t="s">
        <v>82</v>
      </c>
      <c r="H375" s="229"/>
      <c r="I375" s="229">
        <v>0</v>
      </c>
      <c r="J375" s="229">
        <v>0</v>
      </c>
      <c r="K375" s="230">
        <v>20</v>
      </c>
      <c r="L375" s="229">
        <v>125</v>
      </c>
      <c r="M375" s="229">
        <v>2E-3</v>
      </c>
      <c r="N375" s="229" t="s">
        <v>659</v>
      </c>
      <c r="O375" s="229" t="s">
        <v>261</v>
      </c>
      <c r="P375" s="231"/>
    </row>
    <row r="376" spans="1:16" ht="20.399999999999999" x14ac:dyDescent="0.25">
      <c r="A376" s="227" t="s">
        <v>4729</v>
      </c>
      <c r="B376" s="228" t="s">
        <v>4730</v>
      </c>
      <c r="C376" s="228" t="s">
        <v>644</v>
      </c>
      <c r="D376" s="228" t="s">
        <v>2243</v>
      </c>
      <c r="E376" s="229"/>
      <c r="F376" s="229" t="s">
        <v>82</v>
      </c>
      <c r="G376" s="229" t="s">
        <v>82</v>
      </c>
      <c r="H376" s="229"/>
      <c r="I376" s="229">
        <v>0</v>
      </c>
      <c r="J376" s="229">
        <v>0</v>
      </c>
      <c r="K376" s="230">
        <v>20</v>
      </c>
      <c r="L376" s="229">
        <v>125</v>
      </c>
      <c r="M376" s="229">
        <v>2E-3</v>
      </c>
      <c r="N376" s="229" t="s">
        <v>659</v>
      </c>
      <c r="O376" s="229" t="s">
        <v>261</v>
      </c>
      <c r="P376" s="231"/>
    </row>
    <row r="377" spans="1:16" ht="20.399999999999999" x14ac:dyDescent="0.25">
      <c r="A377" s="227" t="s">
        <v>4731</v>
      </c>
      <c r="B377" s="228" t="s">
        <v>4732</v>
      </c>
      <c r="C377" s="228" t="s">
        <v>644</v>
      </c>
      <c r="D377" s="228" t="s">
        <v>2243</v>
      </c>
      <c r="E377" s="229"/>
      <c r="F377" s="229" t="s">
        <v>82</v>
      </c>
      <c r="G377" s="229" t="s">
        <v>82</v>
      </c>
      <c r="H377" s="229"/>
      <c r="I377" s="229">
        <v>0</v>
      </c>
      <c r="J377" s="229">
        <v>0</v>
      </c>
      <c r="K377" s="230">
        <v>-50</v>
      </c>
      <c r="L377" s="229">
        <v>150</v>
      </c>
      <c r="M377" s="229" t="s">
        <v>1871</v>
      </c>
      <c r="N377" s="229" t="s">
        <v>558</v>
      </c>
      <c r="O377" s="229" t="s">
        <v>816</v>
      </c>
      <c r="P377" s="231"/>
    </row>
    <row r="378" spans="1:16" ht="20.399999999999999" x14ac:dyDescent="0.25">
      <c r="A378" s="227" t="s">
        <v>4733</v>
      </c>
      <c r="B378" s="228" t="s">
        <v>4734</v>
      </c>
      <c r="C378" s="228" t="s">
        <v>644</v>
      </c>
      <c r="D378" s="228" t="s">
        <v>2243</v>
      </c>
      <c r="E378" s="229"/>
      <c r="F378" s="229" t="s">
        <v>82</v>
      </c>
      <c r="G378" s="229" t="s">
        <v>82</v>
      </c>
      <c r="H378" s="229"/>
      <c r="I378" s="229">
        <v>0</v>
      </c>
      <c r="J378" s="229">
        <v>0</v>
      </c>
      <c r="K378" s="230">
        <v>-0.26</v>
      </c>
      <c r="L378" s="229">
        <v>0.26</v>
      </c>
      <c r="M378" s="229" t="s">
        <v>1871</v>
      </c>
      <c r="N378" s="229" t="s">
        <v>599</v>
      </c>
      <c r="O378" s="229" t="s">
        <v>398</v>
      </c>
      <c r="P378" s="231"/>
    </row>
    <row r="379" spans="1:16" ht="20.399999999999999" x14ac:dyDescent="0.25">
      <c r="A379" s="227" t="s">
        <v>4735</v>
      </c>
      <c r="B379" s="228" t="s">
        <v>4736</v>
      </c>
      <c r="C379" s="228" t="s">
        <v>644</v>
      </c>
      <c r="D379" s="228" t="s">
        <v>2243</v>
      </c>
      <c r="E379" s="229"/>
      <c r="F379" s="229" t="s">
        <v>82</v>
      </c>
      <c r="G379" s="229" t="s">
        <v>82</v>
      </c>
      <c r="H379" s="229"/>
      <c r="I379" s="229">
        <v>0</v>
      </c>
      <c r="J379" s="229">
        <v>0</v>
      </c>
      <c r="K379" s="230">
        <v>-0.26</v>
      </c>
      <c r="L379" s="229">
        <v>0.26</v>
      </c>
      <c r="M379" s="229" t="s">
        <v>1871</v>
      </c>
      <c r="N379" s="229" t="s">
        <v>599</v>
      </c>
      <c r="O379" s="229" t="s">
        <v>398</v>
      </c>
      <c r="P379" s="231"/>
    </row>
    <row r="380" spans="1:16" x14ac:dyDescent="0.25">
      <c r="A380" s="227" t="s">
        <v>5010</v>
      </c>
      <c r="B380" s="228" t="s">
        <v>1871</v>
      </c>
      <c r="C380" s="228" t="s">
        <v>644</v>
      </c>
      <c r="D380" s="228" t="s">
        <v>2243</v>
      </c>
      <c r="E380" s="229"/>
      <c r="F380" s="229" t="s">
        <v>82</v>
      </c>
      <c r="G380" s="229" t="s">
        <v>82</v>
      </c>
      <c r="H380" s="229"/>
      <c r="I380" s="229">
        <v>0</v>
      </c>
      <c r="J380" s="229">
        <v>0</v>
      </c>
      <c r="K380" s="230">
        <v>255</v>
      </c>
      <c r="L380" s="229">
        <v>1</v>
      </c>
      <c r="M380" s="229">
        <v>1</v>
      </c>
      <c r="N380" s="229" t="s">
        <v>607</v>
      </c>
      <c r="O380" s="229" t="s">
        <v>257</v>
      </c>
      <c r="P380" s="231"/>
    </row>
    <row r="381" spans="1:16" x14ac:dyDescent="0.25">
      <c r="A381" s="227" t="s">
        <v>3996</v>
      </c>
      <c r="B381" s="228" t="s">
        <v>1867</v>
      </c>
      <c r="C381" s="228" t="s">
        <v>3999</v>
      </c>
      <c r="D381" s="228" t="s">
        <v>4006</v>
      </c>
      <c r="E381" s="229"/>
      <c r="F381" s="229" t="s">
        <v>136</v>
      </c>
      <c r="G381" s="229" t="s">
        <v>82</v>
      </c>
      <c r="H381" s="229"/>
      <c r="I381" s="229">
        <v>0</v>
      </c>
      <c r="J381" s="229">
        <v>-8.8000000000000007</v>
      </c>
      <c r="K381" s="230">
        <v>8.8000000000000007</v>
      </c>
      <c r="L381" s="229" t="s">
        <v>1865</v>
      </c>
      <c r="M381" s="229"/>
      <c r="N381" s="229" t="s">
        <v>256</v>
      </c>
      <c r="O381" s="229" t="s">
        <v>261</v>
      </c>
      <c r="P381" s="231"/>
    </row>
    <row r="382" spans="1:16" x14ac:dyDescent="0.25">
      <c r="A382" s="227" t="s">
        <v>4007</v>
      </c>
      <c r="B382" s="228" t="s">
        <v>1881</v>
      </c>
      <c r="C382" s="228" t="s">
        <v>3999</v>
      </c>
      <c r="D382" s="228" t="s">
        <v>4006</v>
      </c>
      <c r="E382" s="229"/>
      <c r="F382" s="229" t="s">
        <v>138</v>
      </c>
      <c r="G382" s="229" t="s">
        <v>82</v>
      </c>
      <c r="H382" s="229"/>
      <c r="I382" s="229">
        <v>0</v>
      </c>
      <c r="J382" s="229">
        <v>-1126.4000000000001</v>
      </c>
      <c r="K382" s="230">
        <v>1126.4000000000001</v>
      </c>
      <c r="L382" s="229" t="s">
        <v>1865</v>
      </c>
      <c r="M382" s="229"/>
      <c r="N382" s="229" t="s">
        <v>256</v>
      </c>
      <c r="O382" s="229" t="s">
        <v>261</v>
      </c>
      <c r="P382" s="231"/>
    </row>
    <row r="383" spans="1:16" ht="105.6" x14ac:dyDescent="0.25">
      <c r="A383" s="227" t="s">
        <v>2258</v>
      </c>
      <c r="B383" s="228" t="s">
        <v>2259</v>
      </c>
      <c r="C383" s="228" t="s">
        <v>676</v>
      </c>
      <c r="D383" s="228"/>
      <c r="E383" s="229" t="s">
        <v>2260</v>
      </c>
      <c r="F383" s="229" t="s">
        <v>136</v>
      </c>
      <c r="G383" s="229"/>
      <c r="H383" s="229"/>
      <c r="I383" s="229">
        <v>0</v>
      </c>
      <c r="J383" s="229">
        <v>-8.8000000000000007</v>
      </c>
      <c r="K383" s="230">
        <v>8.8000000000000007</v>
      </c>
      <c r="L383" s="229" t="s">
        <v>1865</v>
      </c>
      <c r="M383" s="229"/>
      <c r="N383" s="229" t="s">
        <v>256</v>
      </c>
      <c r="O383" s="229" t="s">
        <v>261</v>
      </c>
      <c r="P383" s="231"/>
    </row>
    <row r="384" spans="1:16" ht="39.6" x14ac:dyDescent="0.25">
      <c r="A384" s="227" t="s">
        <v>1868</v>
      </c>
      <c r="B384" s="228" t="s">
        <v>1869</v>
      </c>
      <c r="C384" s="228" t="s">
        <v>676</v>
      </c>
      <c r="D384" s="228"/>
      <c r="E384" s="229" t="s">
        <v>2261</v>
      </c>
      <c r="F384" s="229" t="s">
        <v>136</v>
      </c>
      <c r="G384" s="229"/>
      <c r="H384" s="229"/>
      <c r="I384" s="229">
        <v>0</v>
      </c>
      <c r="J384" s="229">
        <v>-1100</v>
      </c>
      <c r="K384" s="230">
        <v>1100</v>
      </c>
      <c r="L384" s="229" t="s">
        <v>1865</v>
      </c>
      <c r="M384" s="229"/>
      <c r="N384" s="229" t="s">
        <v>263</v>
      </c>
      <c r="O384" s="229" t="s">
        <v>261</v>
      </c>
      <c r="P384" s="231"/>
    </row>
    <row r="385" spans="1:16" x14ac:dyDescent="0.25">
      <c r="A385" s="227" t="s">
        <v>2262</v>
      </c>
      <c r="B385" s="228" t="s">
        <v>2263</v>
      </c>
      <c r="C385" s="228" t="s">
        <v>676</v>
      </c>
      <c r="D385" s="228"/>
      <c r="E385" s="229"/>
      <c r="F385" s="229" t="s">
        <v>136</v>
      </c>
      <c r="G385" s="229"/>
      <c r="H385" s="229"/>
      <c r="I385" s="229" t="b">
        <v>0</v>
      </c>
      <c r="J385" s="229" t="b">
        <v>0</v>
      </c>
      <c r="K385" s="230" t="b">
        <v>1</v>
      </c>
      <c r="L385" s="229" t="s">
        <v>1871</v>
      </c>
      <c r="M385" s="229"/>
      <c r="N385" s="229" t="s">
        <v>424</v>
      </c>
      <c r="O385" s="229" t="s">
        <v>501</v>
      </c>
      <c r="P385" s="231"/>
    </row>
    <row r="386" spans="1:16" x14ac:dyDescent="0.25">
      <c r="A386" s="227" t="s">
        <v>2264</v>
      </c>
      <c r="B386" s="228"/>
      <c r="C386" s="228" t="s">
        <v>676</v>
      </c>
      <c r="D386" s="228"/>
      <c r="E386" s="229"/>
      <c r="F386" s="229" t="s">
        <v>136</v>
      </c>
      <c r="G386" s="229"/>
      <c r="H386" s="229"/>
      <c r="I386" s="229">
        <v>0</v>
      </c>
      <c r="J386" s="229">
        <v>-1</v>
      </c>
      <c r="K386" s="230">
        <v>1</v>
      </c>
      <c r="L386" s="229">
        <v>1</v>
      </c>
      <c r="M386" s="229"/>
      <c r="N386" s="229" t="s">
        <v>424</v>
      </c>
      <c r="O386" s="229" t="s">
        <v>2265</v>
      </c>
      <c r="P386" s="231"/>
    </row>
    <row r="387" spans="1:16" x14ac:dyDescent="0.25">
      <c r="A387" s="227" t="s">
        <v>2266</v>
      </c>
      <c r="B387" s="228" t="s">
        <v>1867</v>
      </c>
      <c r="C387" s="228" t="s">
        <v>676</v>
      </c>
      <c r="D387" s="228" t="s">
        <v>215</v>
      </c>
      <c r="E387" s="229"/>
      <c r="F387" s="229" t="s">
        <v>138</v>
      </c>
      <c r="G387" s="229"/>
      <c r="H387" s="229"/>
      <c r="I387" s="229">
        <v>0</v>
      </c>
      <c r="J387" s="229">
        <v>-8.8000000000000007</v>
      </c>
      <c r="K387" s="230">
        <v>8.8000000000000007</v>
      </c>
      <c r="L387" s="229" t="s">
        <v>1865</v>
      </c>
      <c r="M387" s="229"/>
      <c r="N387" s="229" t="s">
        <v>256</v>
      </c>
      <c r="O387" s="229" t="s">
        <v>261</v>
      </c>
      <c r="P387" s="231"/>
    </row>
    <row r="388" spans="1:16" x14ac:dyDescent="0.25">
      <c r="A388" s="227" t="s">
        <v>2267</v>
      </c>
      <c r="B388" s="228" t="s">
        <v>2268</v>
      </c>
      <c r="C388" s="228" t="s">
        <v>676</v>
      </c>
      <c r="D388" s="228" t="s">
        <v>215</v>
      </c>
      <c r="E388" s="229"/>
      <c r="F388" s="229" t="s">
        <v>138</v>
      </c>
      <c r="G388" s="229"/>
      <c r="H388" s="229"/>
      <c r="I388" s="229">
        <v>0</v>
      </c>
      <c r="J388" s="229">
        <v>-8.8000000000000007</v>
      </c>
      <c r="K388" s="230">
        <v>8.8000000000000007</v>
      </c>
      <c r="L388" s="229" t="s">
        <v>1865</v>
      </c>
      <c r="M388" s="229"/>
      <c r="N388" s="229" t="s">
        <v>256</v>
      </c>
      <c r="O388" s="229" t="s">
        <v>261</v>
      </c>
      <c r="P388" s="231"/>
    </row>
    <row r="389" spans="1:16" x14ac:dyDescent="0.25">
      <c r="A389" s="227" t="s">
        <v>2269</v>
      </c>
      <c r="B389" s="228" t="s">
        <v>2270</v>
      </c>
      <c r="C389" s="228" t="s">
        <v>676</v>
      </c>
      <c r="D389" s="228" t="s">
        <v>215</v>
      </c>
      <c r="E389" s="229"/>
      <c r="F389" s="229" t="s">
        <v>138</v>
      </c>
      <c r="G389" s="229"/>
      <c r="H389" s="229"/>
      <c r="I389" s="229" t="b">
        <v>0</v>
      </c>
      <c r="J389" s="229" t="b">
        <v>0</v>
      </c>
      <c r="K389" s="230" t="b">
        <v>1</v>
      </c>
      <c r="L389" s="229" t="s">
        <v>1871</v>
      </c>
      <c r="M389" s="229"/>
      <c r="N389" s="229" t="s">
        <v>424</v>
      </c>
      <c r="O389" s="229" t="s">
        <v>501</v>
      </c>
      <c r="P389" s="231"/>
    </row>
    <row r="390" spans="1:16" x14ac:dyDescent="0.25">
      <c r="A390" s="227" t="s">
        <v>2271</v>
      </c>
      <c r="B390" s="228" t="s">
        <v>2272</v>
      </c>
      <c r="C390" s="228" t="s">
        <v>676</v>
      </c>
      <c r="D390" s="228" t="s">
        <v>215</v>
      </c>
      <c r="E390" s="229"/>
      <c r="F390" s="229" t="s">
        <v>141</v>
      </c>
      <c r="G390" s="229"/>
      <c r="H390" s="229"/>
      <c r="I390" s="229">
        <v>0</v>
      </c>
      <c r="J390" s="229">
        <v>-2200</v>
      </c>
      <c r="K390" s="230">
        <v>2200</v>
      </c>
      <c r="L390" s="229" t="s">
        <v>1865</v>
      </c>
      <c r="M390" s="229"/>
      <c r="N390" s="229" t="s">
        <v>256</v>
      </c>
      <c r="O390" s="229" t="s">
        <v>261</v>
      </c>
      <c r="P390" s="231"/>
    </row>
    <row r="391" spans="1:16" x14ac:dyDescent="0.25">
      <c r="A391" s="227" t="s">
        <v>2273</v>
      </c>
      <c r="B391" s="228" t="s">
        <v>2274</v>
      </c>
      <c r="C391" s="228" t="s">
        <v>676</v>
      </c>
      <c r="D391" s="228" t="s">
        <v>215</v>
      </c>
      <c r="E391" s="229"/>
      <c r="F391" s="229" t="s">
        <v>141</v>
      </c>
      <c r="G391" s="229"/>
      <c r="H391" s="229"/>
      <c r="I391" s="229">
        <v>0</v>
      </c>
      <c r="J391" s="229" t="s">
        <v>909</v>
      </c>
      <c r="K391" s="230" t="s">
        <v>909</v>
      </c>
      <c r="L391" s="229">
        <v>1</v>
      </c>
      <c r="M391" s="229"/>
      <c r="N391" s="229" t="s">
        <v>273</v>
      </c>
      <c r="O391" s="229" t="s">
        <v>267</v>
      </c>
      <c r="P391" s="231"/>
    </row>
    <row r="392" spans="1:16" x14ac:dyDescent="0.25">
      <c r="A392" s="227" t="s">
        <v>2275</v>
      </c>
      <c r="B392" s="228"/>
      <c r="C392" s="228" t="s">
        <v>676</v>
      </c>
      <c r="D392" s="228" t="s">
        <v>215</v>
      </c>
      <c r="E392" s="229"/>
      <c r="F392" s="229" t="s">
        <v>139</v>
      </c>
      <c r="G392" s="229"/>
      <c r="H392" s="229"/>
      <c r="I392" s="229">
        <v>0</v>
      </c>
      <c r="J392" s="229">
        <v>0</v>
      </c>
      <c r="K392" s="230">
        <v>1000</v>
      </c>
      <c r="L392" s="229">
        <v>1</v>
      </c>
      <c r="M392" s="229"/>
      <c r="N392" s="229" t="s">
        <v>273</v>
      </c>
      <c r="O392" s="229" t="s">
        <v>321</v>
      </c>
      <c r="P392" s="231"/>
    </row>
    <row r="393" spans="1:16" x14ac:dyDescent="0.25">
      <c r="A393" s="227" t="s">
        <v>2276</v>
      </c>
      <c r="B393" s="228" t="s">
        <v>2277</v>
      </c>
      <c r="C393" s="228" t="s">
        <v>676</v>
      </c>
      <c r="D393" s="228" t="s">
        <v>215</v>
      </c>
      <c r="E393" s="229"/>
      <c r="F393" s="229" t="s">
        <v>141</v>
      </c>
      <c r="G393" s="229"/>
      <c r="H393" s="229"/>
      <c r="I393" s="229">
        <v>0</v>
      </c>
      <c r="J393" s="229">
        <v>-5.75</v>
      </c>
      <c r="K393" s="230">
        <v>5.75</v>
      </c>
      <c r="L393" s="229" t="s">
        <v>1865</v>
      </c>
      <c r="M393" s="229"/>
      <c r="N393" s="229" t="s">
        <v>256</v>
      </c>
      <c r="O393" s="229" t="s">
        <v>261</v>
      </c>
      <c r="P393" s="231"/>
    </row>
    <row r="394" spans="1:16" x14ac:dyDescent="0.25">
      <c r="A394" s="227" t="s">
        <v>2278</v>
      </c>
      <c r="B394" s="228" t="s">
        <v>2279</v>
      </c>
      <c r="C394" s="228" t="s">
        <v>676</v>
      </c>
      <c r="D394" s="228" t="s">
        <v>215</v>
      </c>
      <c r="E394" s="229"/>
      <c r="F394" s="229" t="s">
        <v>138</v>
      </c>
      <c r="G394" s="229"/>
      <c r="H394" s="229"/>
      <c r="I394" s="229">
        <v>0</v>
      </c>
      <c r="J394" s="229">
        <v>-8.8000000000000007</v>
      </c>
      <c r="K394" s="230">
        <v>8.8000000000000007</v>
      </c>
      <c r="L394" s="229" t="s">
        <v>1865</v>
      </c>
      <c r="M394" s="229"/>
      <c r="N394" s="229" t="s">
        <v>256</v>
      </c>
      <c r="O394" s="229" t="s">
        <v>261</v>
      </c>
      <c r="P394" s="231"/>
    </row>
    <row r="395" spans="1:16" x14ac:dyDescent="0.25">
      <c r="A395" s="227" t="s">
        <v>2280</v>
      </c>
      <c r="B395" s="228"/>
      <c r="C395" s="228" t="s">
        <v>676</v>
      </c>
      <c r="D395" s="228" t="s">
        <v>215</v>
      </c>
      <c r="E395" s="229"/>
      <c r="F395" s="229" t="s">
        <v>138</v>
      </c>
      <c r="G395" s="229"/>
      <c r="H395" s="229"/>
      <c r="I395" s="229">
        <v>0</v>
      </c>
      <c r="J395" s="229">
        <v>-8.8000000000000007</v>
      </c>
      <c r="K395" s="230">
        <v>8.8000000000000007</v>
      </c>
      <c r="L395" s="229" t="s">
        <v>1865</v>
      </c>
      <c r="M395" s="229"/>
      <c r="N395" s="229" t="s">
        <v>256</v>
      </c>
      <c r="O395" s="229" t="s">
        <v>261</v>
      </c>
      <c r="P395" s="231"/>
    </row>
    <row r="396" spans="1:16" ht="26.4" x14ac:dyDescent="0.25">
      <c r="A396" s="227" t="s">
        <v>2281</v>
      </c>
      <c r="B396" s="228" t="s">
        <v>2282</v>
      </c>
      <c r="C396" s="228" t="s">
        <v>694</v>
      </c>
      <c r="D396" s="228" t="s">
        <v>198</v>
      </c>
      <c r="E396" s="229"/>
      <c r="F396" s="229" t="s">
        <v>136</v>
      </c>
      <c r="G396" s="229" t="s">
        <v>82</v>
      </c>
      <c r="H396" s="229"/>
      <c r="I396" s="229">
        <v>0</v>
      </c>
      <c r="J396" s="229">
        <v>0</v>
      </c>
      <c r="K396" s="230">
        <v>5</v>
      </c>
      <c r="L396" s="229" t="s">
        <v>2283</v>
      </c>
      <c r="M396" s="229"/>
      <c r="N396" s="229" t="s">
        <v>599</v>
      </c>
      <c r="O396" s="229" t="s">
        <v>261</v>
      </c>
      <c r="P396" s="231"/>
    </row>
    <row r="397" spans="1:16" x14ac:dyDescent="0.25">
      <c r="A397" s="227" t="s">
        <v>2284</v>
      </c>
      <c r="B397" s="228" t="s">
        <v>2285</v>
      </c>
      <c r="C397" s="228" t="s">
        <v>694</v>
      </c>
      <c r="D397" s="228" t="s">
        <v>198</v>
      </c>
      <c r="E397" s="229"/>
      <c r="F397" s="229" t="s">
        <v>136</v>
      </c>
      <c r="G397" s="229" t="s">
        <v>82</v>
      </c>
      <c r="H397" s="229"/>
      <c r="I397" s="229" t="b">
        <v>0</v>
      </c>
      <c r="J397" s="229" t="b">
        <v>0</v>
      </c>
      <c r="K397" s="230" t="b">
        <v>1</v>
      </c>
      <c r="L397" s="229" t="s">
        <v>1871</v>
      </c>
      <c r="M397" s="229"/>
      <c r="N397" s="229" t="s">
        <v>424</v>
      </c>
      <c r="O397" s="229" t="s">
        <v>501</v>
      </c>
      <c r="P397" s="231"/>
    </row>
    <row r="398" spans="1:16" ht="132" x14ac:dyDescent="0.25">
      <c r="A398" s="227" t="s">
        <v>2924</v>
      </c>
      <c r="B398" s="228" t="s">
        <v>2925</v>
      </c>
      <c r="C398" s="228" t="s">
        <v>694</v>
      </c>
      <c r="D398" s="228" t="s">
        <v>198</v>
      </c>
      <c r="E398" s="229" t="s">
        <v>4240</v>
      </c>
      <c r="F398" s="229" t="s">
        <v>136</v>
      </c>
      <c r="G398" s="229" t="s">
        <v>82</v>
      </c>
      <c r="H398" s="229"/>
      <c r="I398" s="229">
        <v>0</v>
      </c>
      <c r="J398" s="229">
        <v>-151</v>
      </c>
      <c r="K398" s="230">
        <v>151</v>
      </c>
      <c r="L398" s="229" t="s">
        <v>2283</v>
      </c>
      <c r="M398" s="229"/>
      <c r="N398" s="229" t="s">
        <v>558</v>
      </c>
      <c r="O398" s="229" t="s">
        <v>261</v>
      </c>
      <c r="P398" s="231"/>
    </row>
    <row r="399" spans="1:16" ht="26.4" x14ac:dyDescent="0.25">
      <c r="A399" s="227" t="s">
        <v>2286</v>
      </c>
      <c r="B399" s="228" t="s">
        <v>2287</v>
      </c>
      <c r="C399" s="228" t="s">
        <v>694</v>
      </c>
      <c r="D399" s="228" t="s">
        <v>198</v>
      </c>
      <c r="E399" s="229"/>
      <c r="F399" s="229" t="s">
        <v>138</v>
      </c>
      <c r="G399" s="229" t="s">
        <v>82</v>
      </c>
      <c r="H399" s="229"/>
      <c r="I399" s="229">
        <v>0</v>
      </c>
      <c r="J399" s="229">
        <v>-50</v>
      </c>
      <c r="K399" s="230">
        <v>150</v>
      </c>
      <c r="L399" s="229" t="s">
        <v>2283</v>
      </c>
      <c r="M399" s="229">
        <v>3.125E-2</v>
      </c>
      <c r="N399" s="229" t="s">
        <v>558</v>
      </c>
      <c r="O399" s="229" t="s">
        <v>261</v>
      </c>
      <c r="P399" s="231"/>
    </row>
    <row r="400" spans="1:16" ht="26.4" x14ac:dyDescent="0.25">
      <c r="A400" s="227" t="s">
        <v>4241</v>
      </c>
      <c r="B400" s="228"/>
      <c r="C400" s="228" t="s">
        <v>694</v>
      </c>
      <c r="D400" s="228" t="s">
        <v>198</v>
      </c>
      <c r="E400" s="229"/>
      <c r="F400" s="229" t="s">
        <v>139</v>
      </c>
      <c r="G400" s="229" t="s">
        <v>82</v>
      </c>
      <c r="H400" s="229"/>
      <c r="I400" s="229">
        <v>0</v>
      </c>
      <c r="J400" s="229">
        <v>1.2565581079082566E-4</v>
      </c>
      <c r="K400" s="230">
        <v>0.22223232082821098</v>
      </c>
      <c r="L400" s="229" t="s">
        <v>2283</v>
      </c>
      <c r="M400" s="229">
        <v>1.2566291657800654E-5</v>
      </c>
      <c r="N400" s="229" t="s">
        <v>260</v>
      </c>
      <c r="O400" s="229" t="s">
        <v>1960</v>
      </c>
      <c r="P400" s="231"/>
    </row>
    <row r="401" spans="1:16" ht="26.4" x14ac:dyDescent="0.25">
      <c r="A401" s="227" t="s">
        <v>4242</v>
      </c>
      <c r="B401" s="228"/>
      <c r="C401" s="228" t="s">
        <v>694</v>
      </c>
      <c r="D401" s="228" t="s">
        <v>198</v>
      </c>
      <c r="E401" s="229"/>
      <c r="F401" s="229" t="s">
        <v>139</v>
      </c>
      <c r="G401" s="229" t="s">
        <v>82</v>
      </c>
      <c r="H401" s="229"/>
      <c r="I401" s="229">
        <v>0</v>
      </c>
      <c r="J401" s="229">
        <v>-200</v>
      </c>
      <c r="K401" s="230">
        <v>1000</v>
      </c>
      <c r="L401" s="229" t="s">
        <v>2283</v>
      </c>
      <c r="M401" s="229" t="s">
        <v>3682</v>
      </c>
      <c r="N401" s="229" t="s">
        <v>558</v>
      </c>
      <c r="O401" s="229" t="s">
        <v>1960</v>
      </c>
      <c r="P401" s="231"/>
    </row>
    <row r="402" spans="1:16" ht="26.4" x14ac:dyDescent="0.25">
      <c r="A402" s="227" t="s">
        <v>4243</v>
      </c>
      <c r="B402" s="228"/>
      <c r="C402" s="228" t="s">
        <v>694</v>
      </c>
      <c r="D402" s="228" t="s">
        <v>198</v>
      </c>
      <c r="E402" s="229"/>
      <c r="F402" s="229" t="s">
        <v>139</v>
      </c>
      <c r="G402" s="229" t="s">
        <v>82</v>
      </c>
      <c r="H402" s="229"/>
      <c r="I402" s="229">
        <v>0</v>
      </c>
      <c r="J402" s="229">
        <v>-200</v>
      </c>
      <c r="K402" s="230">
        <v>1000</v>
      </c>
      <c r="L402" s="229" t="s">
        <v>2283</v>
      </c>
      <c r="M402" s="229">
        <v>3.125E-2</v>
      </c>
      <c r="N402" s="229" t="s">
        <v>558</v>
      </c>
      <c r="O402" s="229" t="s">
        <v>261</v>
      </c>
      <c r="P402" s="231"/>
    </row>
    <row r="403" spans="1:16" x14ac:dyDescent="0.25">
      <c r="A403" s="227" t="s">
        <v>4244</v>
      </c>
      <c r="B403" s="228"/>
      <c r="C403" s="228" t="s">
        <v>694</v>
      </c>
      <c r="D403" s="228" t="s">
        <v>198</v>
      </c>
      <c r="E403" s="229"/>
      <c r="F403" s="229" t="s">
        <v>139</v>
      </c>
      <c r="G403" s="229" t="s">
        <v>82</v>
      </c>
      <c r="H403" s="229"/>
      <c r="I403" s="229">
        <v>0</v>
      </c>
      <c r="J403" s="229" t="s">
        <v>2288</v>
      </c>
      <c r="K403" s="230" t="s">
        <v>2288</v>
      </c>
      <c r="L403" s="229" t="s">
        <v>267</v>
      </c>
      <c r="M403" s="229">
        <v>0</v>
      </c>
      <c r="N403" s="229" t="s">
        <v>424</v>
      </c>
      <c r="O403" s="229" t="s">
        <v>267</v>
      </c>
      <c r="P403" s="231"/>
    </row>
    <row r="404" spans="1:16" ht="26.4" x14ac:dyDescent="0.25">
      <c r="A404" s="227" t="s">
        <v>4245</v>
      </c>
      <c r="B404" s="228" t="s">
        <v>2289</v>
      </c>
      <c r="C404" s="228" t="s">
        <v>694</v>
      </c>
      <c r="D404" s="228" t="s">
        <v>198</v>
      </c>
      <c r="E404" s="229"/>
      <c r="F404" s="229" t="s">
        <v>141</v>
      </c>
      <c r="G404" s="229" t="s">
        <v>82</v>
      </c>
      <c r="H404" s="229"/>
      <c r="I404" s="229">
        <v>0</v>
      </c>
      <c r="J404" s="229">
        <v>-200</v>
      </c>
      <c r="K404" s="230">
        <v>1000</v>
      </c>
      <c r="L404" s="229" t="s">
        <v>2283</v>
      </c>
      <c r="M404" s="229">
        <v>3.125E-2</v>
      </c>
      <c r="N404" s="229" t="s">
        <v>558</v>
      </c>
      <c r="O404" s="229" t="s">
        <v>261</v>
      </c>
      <c r="P404" s="231"/>
    </row>
    <row r="405" spans="1:16" x14ac:dyDescent="0.25">
      <c r="A405" s="227" t="s">
        <v>1875</v>
      </c>
      <c r="B405" s="228" t="s">
        <v>1876</v>
      </c>
      <c r="C405" s="228" t="s">
        <v>709</v>
      </c>
      <c r="D405" s="228"/>
      <c r="E405" s="229"/>
      <c r="F405" s="229" t="s">
        <v>136</v>
      </c>
      <c r="G405" s="229" t="s">
        <v>82</v>
      </c>
      <c r="H405" s="229"/>
      <c r="I405" s="229">
        <v>0</v>
      </c>
      <c r="J405" s="229">
        <v>0</v>
      </c>
      <c r="K405" s="230">
        <v>512</v>
      </c>
      <c r="L405" s="229" t="s">
        <v>1865</v>
      </c>
      <c r="M405" s="229"/>
      <c r="N405" s="229" t="s">
        <v>311</v>
      </c>
      <c r="O405" s="229" t="s">
        <v>261</v>
      </c>
      <c r="P405" s="231"/>
    </row>
    <row r="406" spans="1:16" ht="26.4" x14ac:dyDescent="0.25">
      <c r="A406" s="227" t="s">
        <v>2294</v>
      </c>
      <c r="B406" s="228" t="s">
        <v>2295</v>
      </c>
      <c r="C406" s="228" t="s">
        <v>709</v>
      </c>
      <c r="D406" s="228"/>
      <c r="E406" s="229"/>
      <c r="F406" s="229" t="s">
        <v>136</v>
      </c>
      <c r="G406" s="229" t="s">
        <v>82</v>
      </c>
      <c r="H406" s="229" t="s">
        <v>2296</v>
      </c>
      <c r="I406" s="229">
        <v>0</v>
      </c>
      <c r="J406" s="229">
        <v>-50</v>
      </c>
      <c r="K406" s="230">
        <v>150</v>
      </c>
      <c r="L406" s="229" t="s">
        <v>1865</v>
      </c>
      <c r="M406" s="229"/>
      <c r="N406" s="229" t="s">
        <v>558</v>
      </c>
      <c r="O406" s="229" t="s">
        <v>261</v>
      </c>
      <c r="P406" s="231"/>
    </row>
    <row r="407" spans="1:16" x14ac:dyDescent="0.25">
      <c r="A407" s="227" t="s">
        <v>2297</v>
      </c>
      <c r="B407" s="228" t="s">
        <v>1869</v>
      </c>
      <c r="C407" s="228" t="s">
        <v>709</v>
      </c>
      <c r="D407" s="228"/>
      <c r="E407" s="229"/>
      <c r="F407" s="229" t="s">
        <v>136</v>
      </c>
      <c r="G407" s="229" t="s">
        <v>82</v>
      </c>
      <c r="H407" s="229"/>
      <c r="I407" s="229">
        <v>0</v>
      </c>
      <c r="J407" s="229">
        <v>-1118</v>
      </c>
      <c r="K407" s="230">
        <v>1118</v>
      </c>
      <c r="L407" s="229" t="s">
        <v>1865</v>
      </c>
      <c r="M407" s="229"/>
      <c r="N407" s="229" t="s">
        <v>263</v>
      </c>
      <c r="O407" s="229" t="s">
        <v>261</v>
      </c>
      <c r="P407" s="231"/>
    </row>
    <row r="408" spans="1:16" x14ac:dyDescent="0.25">
      <c r="A408" s="227" t="s">
        <v>1884</v>
      </c>
      <c r="B408" s="228" t="s">
        <v>1885</v>
      </c>
      <c r="C408" s="228" t="s">
        <v>709</v>
      </c>
      <c r="D408" s="228"/>
      <c r="E408" s="229"/>
      <c r="F408" s="229" t="s">
        <v>136</v>
      </c>
      <c r="G408" s="229" t="s">
        <v>82</v>
      </c>
      <c r="H408" s="229"/>
      <c r="I408" s="229">
        <v>0</v>
      </c>
      <c r="J408" s="229">
        <v>-10</v>
      </c>
      <c r="K408" s="230">
        <v>10</v>
      </c>
      <c r="L408" s="229" t="s">
        <v>1865</v>
      </c>
      <c r="M408" s="229"/>
      <c r="N408" s="229" t="s">
        <v>265</v>
      </c>
      <c r="O408" s="229" t="s">
        <v>261</v>
      </c>
      <c r="P408" s="231"/>
    </row>
    <row r="409" spans="1:16" x14ac:dyDescent="0.25">
      <c r="A409" s="227" t="s">
        <v>2298</v>
      </c>
      <c r="B409" s="228" t="s">
        <v>2299</v>
      </c>
      <c r="C409" s="228" t="s">
        <v>709</v>
      </c>
      <c r="D409" s="228"/>
      <c r="E409" s="229"/>
      <c r="F409" s="229" t="s">
        <v>136</v>
      </c>
      <c r="G409" s="229" t="s">
        <v>82</v>
      </c>
      <c r="H409" s="229"/>
      <c r="I409" s="229">
        <v>1</v>
      </c>
      <c r="J409" s="229">
        <v>7.8125E-3</v>
      </c>
      <c r="K409" s="230">
        <v>1</v>
      </c>
      <c r="L409" s="229" t="s">
        <v>1865</v>
      </c>
      <c r="M409" s="229"/>
      <c r="N409" s="229" t="s">
        <v>260</v>
      </c>
      <c r="O409" s="229" t="s">
        <v>261</v>
      </c>
      <c r="P409" s="231"/>
    </row>
    <row r="410" spans="1:16" x14ac:dyDescent="0.25">
      <c r="A410" s="227" t="s">
        <v>2072</v>
      </c>
      <c r="B410" s="228" t="s">
        <v>2073</v>
      </c>
      <c r="C410" s="228" t="s">
        <v>709</v>
      </c>
      <c r="D410" s="228"/>
      <c r="E410" s="229"/>
      <c r="F410" s="229" t="s">
        <v>136</v>
      </c>
      <c r="G410" s="229" t="s">
        <v>82</v>
      </c>
      <c r="H410" s="229"/>
      <c r="I410" s="229">
        <v>0</v>
      </c>
      <c r="J410" s="229">
        <v>-8.8000000000000007</v>
      </c>
      <c r="K410" s="230">
        <v>8.8000000000000007</v>
      </c>
      <c r="L410" s="229" t="s">
        <v>1865</v>
      </c>
      <c r="M410" s="229"/>
      <c r="N410" s="229" t="s">
        <v>256</v>
      </c>
      <c r="O410" s="229" t="s">
        <v>261</v>
      </c>
      <c r="P410" s="231"/>
    </row>
    <row r="411" spans="1:16" x14ac:dyDescent="0.25">
      <c r="A411" s="227" t="s">
        <v>2300</v>
      </c>
      <c r="B411" s="228" t="s">
        <v>2301</v>
      </c>
      <c r="C411" s="228" t="s">
        <v>709</v>
      </c>
      <c r="D411" s="228"/>
      <c r="E411" s="229"/>
      <c r="F411" s="229" t="s">
        <v>136</v>
      </c>
      <c r="G411" s="229" t="s">
        <v>82</v>
      </c>
      <c r="H411" s="229"/>
      <c r="I411" s="229" t="b">
        <v>0</v>
      </c>
      <c r="J411" s="229" t="b">
        <v>0</v>
      </c>
      <c r="K411" s="230" t="b">
        <v>1</v>
      </c>
      <c r="L411" s="229" t="s">
        <v>1883</v>
      </c>
      <c r="M411" s="229"/>
      <c r="N411" s="229" t="s">
        <v>424</v>
      </c>
      <c r="O411" s="229" t="s">
        <v>501</v>
      </c>
      <c r="P411" s="231"/>
    </row>
    <row r="412" spans="1:16" x14ac:dyDescent="0.25">
      <c r="A412" s="227" t="s">
        <v>2302</v>
      </c>
      <c r="B412" s="228" t="s">
        <v>2303</v>
      </c>
      <c r="C412" s="228" t="s">
        <v>709</v>
      </c>
      <c r="D412" s="228" t="s">
        <v>193</v>
      </c>
      <c r="E412" s="229"/>
      <c r="F412" s="229" t="s">
        <v>138</v>
      </c>
      <c r="G412" s="229" t="s">
        <v>82</v>
      </c>
      <c r="H412" s="229"/>
      <c r="I412" s="229">
        <v>0</v>
      </c>
      <c r="J412" s="229">
        <v>-8.8000000000000007</v>
      </c>
      <c r="K412" s="230">
        <v>8.8000000000000007</v>
      </c>
      <c r="L412" s="229" t="s">
        <v>1865</v>
      </c>
      <c r="M412" s="229">
        <v>4.8899999999999996E-4</v>
      </c>
      <c r="N412" s="229" t="s">
        <v>256</v>
      </c>
      <c r="O412" s="229" t="s">
        <v>261</v>
      </c>
      <c r="P412" s="231"/>
    </row>
    <row r="413" spans="1:16" x14ac:dyDescent="0.25">
      <c r="A413" s="227" t="s">
        <v>2304</v>
      </c>
      <c r="B413" s="228" t="s">
        <v>1871</v>
      </c>
      <c r="C413" s="228" t="s">
        <v>709</v>
      </c>
      <c r="D413" s="228" t="s">
        <v>193</v>
      </c>
      <c r="E413" s="229"/>
      <c r="F413" s="229" t="s">
        <v>139</v>
      </c>
      <c r="G413" s="229" t="s">
        <v>82</v>
      </c>
      <c r="H413" s="229"/>
      <c r="I413" s="229" t="s">
        <v>1440</v>
      </c>
      <c r="J413" s="229"/>
      <c r="K413" s="230"/>
      <c r="L413" s="229"/>
      <c r="M413" s="229"/>
      <c r="N413" s="229"/>
      <c r="O413" s="229" t="s">
        <v>1960</v>
      </c>
      <c r="P413" s="231"/>
    </row>
    <row r="414" spans="1:16" ht="20.399999999999999" x14ac:dyDescent="0.25">
      <c r="A414" s="227" t="s">
        <v>2305</v>
      </c>
      <c r="B414" s="228" t="s">
        <v>1871</v>
      </c>
      <c r="C414" s="228" t="s">
        <v>709</v>
      </c>
      <c r="D414" s="228" t="s">
        <v>193</v>
      </c>
      <c r="E414" s="229"/>
      <c r="F414" s="229" t="s">
        <v>139</v>
      </c>
      <c r="G414" s="229" t="s">
        <v>82</v>
      </c>
      <c r="H414" s="229"/>
      <c r="I414" s="229">
        <v>0</v>
      </c>
      <c r="J414" s="229">
        <v>-10</v>
      </c>
      <c r="K414" s="230">
        <v>10</v>
      </c>
      <c r="L414" s="229" t="s">
        <v>1865</v>
      </c>
      <c r="M414" s="229">
        <v>4.8828125E-4</v>
      </c>
      <c r="N414" s="229" t="s">
        <v>260</v>
      </c>
      <c r="O414" s="229" t="s">
        <v>261</v>
      </c>
      <c r="P414" s="231"/>
    </row>
    <row r="415" spans="1:16" ht="20.399999999999999" x14ac:dyDescent="0.25">
      <c r="A415" s="227" t="s">
        <v>2306</v>
      </c>
      <c r="B415" s="228" t="s">
        <v>1871</v>
      </c>
      <c r="C415" s="228" t="s">
        <v>709</v>
      </c>
      <c r="D415" s="228" t="s">
        <v>193</v>
      </c>
      <c r="E415" s="229"/>
      <c r="F415" s="229" t="s">
        <v>139</v>
      </c>
      <c r="G415" s="229" t="s">
        <v>82</v>
      </c>
      <c r="H415" s="229"/>
      <c r="I415" s="229">
        <v>0</v>
      </c>
      <c r="J415" s="229">
        <v>0</v>
      </c>
      <c r="K415" s="230">
        <v>1</v>
      </c>
      <c r="L415" s="229" t="s">
        <v>1865</v>
      </c>
      <c r="M415" s="229">
        <v>3.0517578125E-5</v>
      </c>
      <c r="N415" s="229" t="s">
        <v>260</v>
      </c>
      <c r="O415" s="229" t="s">
        <v>261</v>
      </c>
      <c r="P415" s="231"/>
    </row>
    <row r="416" spans="1:16" x14ac:dyDescent="0.25">
      <c r="A416" s="227" t="s">
        <v>2307</v>
      </c>
      <c r="B416" s="228" t="s">
        <v>1871</v>
      </c>
      <c r="C416" s="228" t="s">
        <v>709</v>
      </c>
      <c r="D416" s="228" t="s">
        <v>193</v>
      </c>
      <c r="E416" s="229"/>
      <c r="F416" s="229" t="s">
        <v>139</v>
      </c>
      <c r="G416" s="229" t="s">
        <v>82</v>
      </c>
      <c r="H416" s="229"/>
      <c r="I416" s="229" t="s">
        <v>1440</v>
      </c>
      <c r="J416" s="229"/>
      <c r="K416" s="230"/>
      <c r="L416" s="229"/>
      <c r="M416" s="229"/>
      <c r="N416" s="229"/>
      <c r="O416" s="229" t="s">
        <v>1960</v>
      </c>
      <c r="P416" s="231"/>
    </row>
    <row r="417" spans="1:16" ht="20.399999999999999" x14ac:dyDescent="0.25">
      <c r="A417" s="227" t="s">
        <v>2308</v>
      </c>
      <c r="B417" s="228" t="s">
        <v>1871</v>
      </c>
      <c r="C417" s="228" t="s">
        <v>709</v>
      </c>
      <c r="D417" s="228" t="s">
        <v>193</v>
      </c>
      <c r="E417" s="229"/>
      <c r="F417" s="229" t="s">
        <v>139</v>
      </c>
      <c r="G417" s="229" t="s">
        <v>82</v>
      </c>
      <c r="H417" s="229"/>
      <c r="I417" s="229">
        <v>0</v>
      </c>
      <c r="J417" s="229">
        <v>-1118</v>
      </c>
      <c r="K417" s="230">
        <v>1118</v>
      </c>
      <c r="L417" s="229" t="s">
        <v>1865</v>
      </c>
      <c r="M417" s="229">
        <v>6.25E-2</v>
      </c>
      <c r="N417" s="229" t="s">
        <v>260</v>
      </c>
      <c r="O417" s="229" t="s">
        <v>261</v>
      </c>
      <c r="P417" s="231"/>
    </row>
    <row r="418" spans="1:16" x14ac:dyDescent="0.25">
      <c r="A418" s="227" t="s">
        <v>2309</v>
      </c>
      <c r="B418" s="228" t="s">
        <v>1871</v>
      </c>
      <c r="C418" s="228" t="s">
        <v>709</v>
      </c>
      <c r="D418" s="228" t="s">
        <v>193</v>
      </c>
      <c r="E418" s="229"/>
      <c r="F418" s="229" t="s">
        <v>139</v>
      </c>
      <c r="G418" s="229" t="s">
        <v>82</v>
      </c>
      <c r="H418" s="229"/>
      <c r="I418" s="229">
        <v>0</v>
      </c>
      <c r="J418" s="229">
        <v>0</v>
      </c>
      <c r="K418" s="230">
        <v>1</v>
      </c>
      <c r="L418" s="229" t="s">
        <v>1865</v>
      </c>
      <c r="M418" s="229">
        <v>3.0517578125E-5</v>
      </c>
      <c r="N418" s="229" t="s">
        <v>260</v>
      </c>
      <c r="O418" s="229" t="s">
        <v>261</v>
      </c>
      <c r="P418" s="231"/>
    </row>
    <row r="419" spans="1:16" x14ac:dyDescent="0.25">
      <c r="A419" s="227" t="s">
        <v>2310</v>
      </c>
      <c r="B419" s="228" t="s">
        <v>1871</v>
      </c>
      <c r="C419" s="228" t="s">
        <v>709</v>
      </c>
      <c r="D419" s="228" t="s">
        <v>193</v>
      </c>
      <c r="E419" s="229"/>
      <c r="F419" s="229" t="s">
        <v>139</v>
      </c>
      <c r="G419" s="229" t="s">
        <v>82</v>
      </c>
      <c r="H419" s="229"/>
      <c r="I419" s="229" t="s">
        <v>1440</v>
      </c>
      <c r="J419" s="229"/>
      <c r="K419" s="230"/>
      <c r="L419" s="229"/>
      <c r="M419" s="229"/>
      <c r="N419" s="229"/>
      <c r="O419" s="229" t="s">
        <v>1960</v>
      </c>
      <c r="P419" s="231"/>
    </row>
    <row r="420" spans="1:16" x14ac:dyDescent="0.25">
      <c r="A420" s="227" t="s">
        <v>2311</v>
      </c>
      <c r="B420" s="228" t="s">
        <v>1871</v>
      </c>
      <c r="C420" s="228" t="s">
        <v>709</v>
      </c>
      <c r="D420" s="228" t="s">
        <v>193</v>
      </c>
      <c r="E420" s="229"/>
      <c r="F420" s="229" t="s">
        <v>139</v>
      </c>
      <c r="G420" s="229" t="s">
        <v>82</v>
      </c>
      <c r="H420" s="229"/>
      <c r="I420" s="229">
        <v>0</v>
      </c>
      <c r="J420" s="229">
        <v>0</v>
      </c>
      <c r="K420" s="230">
        <v>2</v>
      </c>
      <c r="L420" s="229" t="s">
        <v>1865</v>
      </c>
      <c r="M420" s="229">
        <v>6.103515625E-5</v>
      </c>
      <c r="N420" s="229" t="s">
        <v>260</v>
      </c>
      <c r="O420" s="229" t="s">
        <v>261</v>
      </c>
      <c r="P420" s="231"/>
    </row>
    <row r="421" spans="1:16" x14ac:dyDescent="0.25">
      <c r="A421" s="227" t="s">
        <v>2312</v>
      </c>
      <c r="B421" s="228" t="s">
        <v>1871</v>
      </c>
      <c r="C421" s="228" t="s">
        <v>709</v>
      </c>
      <c r="D421" s="228" t="s">
        <v>193</v>
      </c>
      <c r="E421" s="229"/>
      <c r="F421" s="229" t="s">
        <v>139</v>
      </c>
      <c r="G421" s="229" t="s">
        <v>82</v>
      </c>
      <c r="H421" s="229"/>
      <c r="I421" s="229">
        <v>0</v>
      </c>
      <c r="J421" s="229">
        <v>0</v>
      </c>
      <c r="K421" s="230">
        <v>1</v>
      </c>
      <c r="L421" s="229" t="s">
        <v>1865</v>
      </c>
      <c r="M421" s="229">
        <v>3.0517578125E-5</v>
      </c>
      <c r="N421" s="229" t="s">
        <v>260</v>
      </c>
      <c r="O421" s="229" t="s">
        <v>261</v>
      </c>
      <c r="P421" s="231"/>
    </row>
    <row r="422" spans="1:16" x14ac:dyDescent="0.25">
      <c r="A422" s="227" t="s">
        <v>2313</v>
      </c>
      <c r="B422" s="228" t="s">
        <v>1871</v>
      </c>
      <c r="C422" s="228" t="s">
        <v>709</v>
      </c>
      <c r="D422" s="228" t="s">
        <v>193</v>
      </c>
      <c r="E422" s="229"/>
      <c r="F422" s="229" t="s">
        <v>139</v>
      </c>
      <c r="G422" s="229" t="s">
        <v>82</v>
      </c>
      <c r="H422" s="229"/>
      <c r="I422" s="229" t="s">
        <v>1440</v>
      </c>
      <c r="J422" s="229"/>
      <c r="K422" s="230"/>
      <c r="L422" s="229"/>
      <c r="M422" s="229"/>
      <c r="N422" s="229"/>
      <c r="O422" s="229" t="s">
        <v>1960</v>
      </c>
      <c r="P422" s="231"/>
    </row>
    <row r="423" spans="1:16" x14ac:dyDescent="0.25">
      <c r="A423" s="227" t="s">
        <v>2314</v>
      </c>
      <c r="B423" s="228" t="s">
        <v>1871</v>
      </c>
      <c r="C423" s="228" t="s">
        <v>709</v>
      </c>
      <c r="D423" s="228" t="s">
        <v>193</v>
      </c>
      <c r="E423" s="229"/>
      <c r="F423" s="229" t="s">
        <v>139</v>
      </c>
      <c r="G423" s="229" t="s">
        <v>82</v>
      </c>
      <c r="H423" s="229"/>
      <c r="I423" s="229">
        <v>0</v>
      </c>
      <c r="J423" s="229">
        <v>-1118</v>
      </c>
      <c r="K423" s="230">
        <v>1118</v>
      </c>
      <c r="L423" s="229" t="s">
        <v>1865</v>
      </c>
      <c r="M423" s="229">
        <v>6.25E-2</v>
      </c>
      <c r="N423" s="229" t="s">
        <v>260</v>
      </c>
      <c r="O423" s="229" t="s">
        <v>261</v>
      </c>
      <c r="P423" s="231"/>
    </row>
    <row r="424" spans="1:16" x14ac:dyDescent="0.25">
      <c r="A424" s="227" t="s">
        <v>2315</v>
      </c>
      <c r="B424" s="228" t="s">
        <v>1871</v>
      </c>
      <c r="C424" s="228" t="s">
        <v>709</v>
      </c>
      <c r="D424" s="228" t="s">
        <v>193</v>
      </c>
      <c r="E424" s="229"/>
      <c r="F424" s="229" t="s">
        <v>139</v>
      </c>
      <c r="G424" s="229" t="s">
        <v>82</v>
      </c>
      <c r="H424" s="229"/>
      <c r="I424" s="229">
        <v>0</v>
      </c>
      <c r="J424" s="229">
        <v>0</v>
      </c>
      <c r="K424" s="230">
        <v>1</v>
      </c>
      <c r="L424" s="229" t="s">
        <v>1865</v>
      </c>
      <c r="M424" s="229">
        <v>3.0517578125E-5</v>
      </c>
      <c r="N424" s="229" t="s">
        <v>260</v>
      </c>
      <c r="O424" s="229" t="s">
        <v>261</v>
      </c>
      <c r="P424" s="231"/>
    </row>
    <row r="425" spans="1:16" x14ac:dyDescent="0.25">
      <c r="A425" s="227" t="s">
        <v>2316</v>
      </c>
      <c r="B425" s="228" t="s">
        <v>2317</v>
      </c>
      <c r="C425" s="228" t="s">
        <v>709</v>
      </c>
      <c r="D425" s="228" t="s">
        <v>193</v>
      </c>
      <c r="E425" s="229"/>
      <c r="F425" s="229" t="s">
        <v>139</v>
      </c>
      <c r="G425" s="229" t="s">
        <v>82</v>
      </c>
      <c r="H425" s="229"/>
      <c r="I425" s="229">
        <v>0</v>
      </c>
      <c r="J425" s="229">
        <v>-10</v>
      </c>
      <c r="K425" s="230">
        <v>10</v>
      </c>
      <c r="L425" s="229" t="s">
        <v>1865</v>
      </c>
      <c r="M425" s="229">
        <v>4.8828125E-4</v>
      </c>
      <c r="N425" s="229" t="s">
        <v>265</v>
      </c>
      <c r="O425" s="229" t="s">
        <v>261</v>
      </c>
      <c r="P425" s="231"/>
    </row>
    <row r="426" spans="1:16" x14ac:dyDescent="0.25">
      <c r="A426" s="227" t="s">
        <v>2318</v>
      </c>
      <c r="B426" s="228" t="s">
        <v>2319</v>
      </c>
      <c r="C426" s="228" t="s">
        <v>709</v>
      </c>
      <c r="D426" s="228" t="s">
        <v>193</v>
      </c>
      <c r="E426" s="229"/>
      <c r="F426" s="229" t="s">
        <v>139</v>
      </c>
      <c r="G426" s="229" t="s">
        <v>82</v>
      </c>
      <c r="H426" s="229"/>
      <c r="I426" s="229">
        <v>0</v>
      </c>
      <c r="J426" s="229">
        <v>-1118</v>
      </c>
      <c r="K426" s="230">
        <v>1118</v>
      </c>
      <c r="L426" s="229" t="s">
        <v>1865</v>
      </c>
      <c r="M426" s="229">
        <v>6.25E-2</v>
      </c>
      <c r="N426" s="229" t="s">
        <v>263</v>
      </c>
      <c r="O426" s="229" t="s">
        <v>261</v>
      </c>
      <c r="P426" s="231"/>
    </row>
    <row r="427" spans="1:16" x14ac:dyDescent="0.25">
      <c r="A427" s="227" t="s">
        <v>2320</v>
      </c>
      <c r="B427" s="228" t="s">
        <v>2321</v>
      </c>
      <c r="C427" s="228" t="s">
        <v>709</v>
      </c>
      <c r="D427" s="228" t="s">
        <v>193</v>
      </c>
      <c r="E427" s="229"/>
      <c r="F427" s="229" t="s">
        <v>141</v>
      </c>
      <c r="G427" s="229" t="s">
        <v>82</v>
      </c>
      <c r="H427" s="229"/>
      <c r="I427" s="229">
        <v>0</v>
      </c>
      <c r="J427" s="229">
        <v>0</v>
      </c>
      <c r="K427" s="230">
        <v>2</v>
      </c>
      <c r="L427" s="229" t="s">
        <v>1865</v>
      </c>
      <c r="M427" s="229" t="s">
        <v>1883</v>
      </c>
      <c r="N427" s="229" t="s">
        <v>260</v>
      </c>
      <c r="O427" s="229" t="s">
        <v>261</v>
      </c>
      <c r="P427" s="231"/>
    </row>
    <row r="428" spans="1:16" x14ac:dyDescent="0.25">
      <c r="A428" s="227" t="s">
        <v>2322</v>
      </c>
      <c r="B428" s="228" t="s">
        <v>2323</v>
      </c>
      <c r="C428" s="228" t="s">
        <v>709</v>
      </c>
      <c r="D428" s="228" t="s">
        <v>193</v>
      </c>
      <c r="E428" s="229"/>
      <c r="F428" s="229" t="s">
        <v>141</v>
      </c>
      <c r="G428" s="229" t="s">
        <v>82</v>
      </c>
      <c r="H428" s="229"/>
      <c r="I428" s="229">
        <v>0</v>
      </c>
      <c r="J428" s="229" t="s">
        <v>909</v>
      </c>
      <c r="K428" s="230" t="s">
        <v>909</v>
      </c>
      <c r="L428" s="229" t="s">
        <v>1865</v>
      </c>
      <c r="M428" s="229" t="s">
        <v>1883</v>
      </c>
      <c r="N428" s="229" t="s">
        <v>260</v>
      </c>
      <c r="O428" s="229" t="s">
        <v>724</v>
      </c>
      <c r="P428" s="231"/>
    </row>
    <row r="429" spans="1:16" ht="26.4" x14ac:dyDescent="0.25">
      <c r="A429" s="227" t="s">
        <v>2324</v>
      </c>
      <c r="B429" s="228" t="s">
        <v>2325</v>
      </c>
      <c r="C429" s="228" t="s">
        <v>709</v>
      </c>
      <c r="D429" s="228" t="s">
        <v>193</v>
      </c>
      <c r="E429" s="229"/>
      <c r="F429" s="229" t="s">
        <v>141</v>
      </c>
      <c r="G429" s="229" t="s">
        <v>82</v>
      </c>
      <c r="H429" s="229" t="s">
        <v>2326</v>
      </c>
      <c r="I429" s="229">
        <v>0</v>
      </c>
      <c r="J429" s="229" t="s">
        <v>909</v>
      </c>
      <c r="K429" s="230" t="s">
        <v>909</v>
      </c>
      <c r="L429" s="229" t="s">
        <v>2327</v>
      </c>
      <c r="M429" s="229" t="s">
        <v>1883</v>
      </c>
      <c r="N429" s="229" t="s">
        <v>260</v>
      </c>
      <c r="O429" s="229" t="s">
        <v>733</v>
      </c>
      <c r="P429" s="231"/>
    </row>
    <row r="430" spans="1:16" x14ac:dyDescent="0.25">
      <c r="A430" s="227" t="s">
        <v>2328</v>
      </c>
      <c r="B430" s="228" t="s">
        <v>2329</v>
      </c>
      <c r="C430" s="228" t="s">
        <v>709</v>
      </c>
      <c r="D430" s="228" t="s">
        <v>193</v>
      </c>
      <c r="E430" s="229"/>
      <c r="F430" s="229" t="s">
        <v>141</v>
      </c>
      <c r="G430" s="229" t="s">
        <v>82</v>
      </c>
      <c r="H430" s="229"/>
      <c r="I430" s="229">
        <v>0</v>
      </c>
      <c r="J430" s="229" t="s">
        <v>909</v>
      </c>
      <c r="K430" s="230" t="s">
        <v>909</v>
      </c>
      <c r="L430" s="229" t="s">
        <v>2330</v>
      </c>
      <c r="M430" s="229" t="s">
        <v>1883</v>
      </c>
      <c r="N430" s="229" t="s">
        <v>256</v>
      </c>
      <c r="O430" s="229" t="s">
        <v>261</v>
      </c>
      <c r="P430" s="231"/>
    </row>
    <row r="431" spans="1:16" x14ac:dyDescent="0.25">
      <c r="A431" s="227" t="s">
        <v>2331</v>
      </c>
      <c r="B431" s="228" t="s">
        <v>2332</v>
      </c>
      <c r="C431" s="228" t="s">
        <v>709</v>
      </c>
      <c r="D431" s="228" t="s">
        <v>193</v>
      </c>
      <c r="E431" s="229"/>
      <c r="F431" s="229" t="s">
        <v>141</v>
      </c>
      <c r="G431" s="229" t="s">
        <v>82</v>
      </c>
      <c r="H431" s="229"/>
      <c r="I431" s="229">
        <v>0</v>
      </c>
      <c r="J431" s="229" t="s">
        <v>909</v>
      </c>
      <c r="K431" s="230" t="s">
        <v>909</v>
      </c>
      <c r="L431" s="229" t="s">
        <v>1865</v>
      </c>
      <c r="M431" s="229" t="s">
        <v>1883</v>
      </c>
      <c r="N431" s="229" t="s">
        <v>256</v>
      </c>
      <c r="O431" s="229" t="s">
        <v>261</v>
      </c>
      <c r="P431" s="231"/>
    </row>
    <row r="432" spans="1:16" x14ac:dyDescent="0.25">
      <c r="A432" s="227" t="s">
        <v>2333</v>
      </c>
      <c r="B432" s="228" t="s">
        <v>2334</v>
      </c>
      <c r="C432" s="228" t="s">
        <v>709</v>
      </c>
      <c r="D432" s="228" t="s">
        <v>193</v>
      </c>
      <c r="E432" s="229"/>
      <c r="F432" s="229" t="s">
        <v>141</v>
      </c>
      <c r="G432" s="229" t="s">
        <v>82</v>
      </c>
      <c r="H432" s="229"/>
      <c r="I432" s="229">
        <v>0</v>
      </c>
      <c r="J432" s="229" t="s">
        <v>909</v>
      </c>
      <c r="K432" s="230" t="s">
        <v>909</v>
      </c>
      <c r="L432" s="229" t="s">
        <v>1865</v>
      </c>
      <c r="M432" s="229" t="s">
        <v>1883</v>
      </c>
      <c r="N432" s="229" t="s">
        <v>260</v>
      </c>
      <c r="O432" s="229" t="s">
        <v>261</v>
      </c>
      <c r="P432" s="231"/>
    </row>
    <row r="433" spans="1:16" x14ac:dyDescent="0.25">
      <c r="A433" s="227" t="s">
        <v>2335</v>
      </c>
      <c r="B433" s="228" t="s">
        <v>2336</v>
      </c>
      <c r="C433" s="228" t="s">
        <v>709</v>
      </c>
      <c r="D433" s="228" t="s">
        <v>193</v>
      </c>
      <c r="E433" s="229"/>
      <c r="F433" s="229" t="s">
        <v>141</v>
      </c>
      <c r="G433" s="229" t="s">
        <v>82</v>
      </c>
      <c r="H433" s="229"/>
      <c r="I433" s="229">
        <v>0</v>
      </c>
      <c r="J433" s="229" t="s">
        <v>909</v>
      </c>
      <c r="K433" s="230" t="s">
        <v>909</v>
      </c>
      <c r="L433" s="229" t="s">
        <v>1865</v>
      </c>
      <c r="M433" s="229" t="s">
        <v>1883</v>
      </c>
      <c r="N433" s="229" t="s">
        <v>260</v>
      </c>
      <c r="O433" s="229" t="s">
        <v>261</v>
      </c>
      <c r="P433" s="231"/>
    </row>
    <row r="434" spans="1:16" x14ac:dyDescent="0.25">
      <c r="A434" s="227" t="s">
        <v>2337</v>
      </c>
      <c r="B434" s="228" t="s">
        <v>2338</v>
      </c>
      <c r="C434" s="228" t="s">
        <v>709</v>
      </c>
      <c r="D434" s="228" t="s">
        <v>193</v>
      </c>
      <c r="E434" s="229"/>
      <c r="F434" s="229" t="s">
        <v>141</v>
      </c>
      <c r="G434" s="229" t="s">
        <v>82</v>
      </c>
      <c r="H434" s="229"/>
      <c r="I434" s="229">
        <v>0</v>
      </c>
      <c r="J434" s="229" t="s">
        <v>909</v>
      </c>
      <c r="K434" s="230" t="s">
        <v>909</v>
      </c>
      <c r="L434" s="229" t="s">
        <v>1865</v>
      </c>
      <c r="M434" s="229" t="s">
        <v>1883</v>
      </c>
      <c r="N434" s="229" t="s">
        <v>260</v>
      </c>
      <c r="O434" s="229" t="s">
        <v>261</v>
      </c>
      <c r="P434" s="231"/>
    </row>
    <row r="435" spans="1:16" x14ac:dyDescent="0.25">
      <c r="A435" s="227" t="s">
        <v>2339</v>
      </c>
      <c r="B435" s="228" t="s">
        <v>2340</v>
      </c>
      <c r="C435" s="228" t="s">
        <v>709</v>
      </c>
      <c r="D435" s="228" t="s">
        <v>193</v>
      </c>
      <c r="E435" s="229"/>
      <c r="F435" s="229" t="s">
        <v>141</v>
      </c>
      <c r="G435" s="229" t="s">
        <v>82</v>
      </c>
      <c r="H435" s="229"/>
      <c r="I435" s="229">
        <v>0</v>
      </c>
      <c r="J435" s="229" t="s">
        <v>909</v>
      </c>
      <c r="K435" s="230" t="s">
        <v>909</v>
      </c>
      <c r="L435" s="229" t="s">
        <v>1865</v>
      </c>
      <c r="M435" s="229" t="s">
        <v>1883</v>
      </c>
      <c r="N435" s="229" t="s">
        <v>260</v>
      </c>
      <c r="O435" s="229" t="s">
        <v>261</v>
      </c>
      <c r="P435" s="231"/>
    </row>
    <row r="436" spans="1:16" x14ac:dyDescent="0.25">
      <c r="A436" s="227" t="s">
        <v>4246</v>
      </c>
      <c r="B436" s="228" t="s">
        <v>4247</v>
      </c>
      <c r="C436" s="228" t="s">
        <v>709</v>
      </c>
      <c r="D436" s="228" t="s">
        <v>193</v>
      </c>
      <c r="E436" s="229"/>
      <c r="F436" s="229" t="s">
        <v>136</v>
      </c>
      <c r="G436" s="229" t="s">
        <v>82</v>
      </c>
      <c r="H436" s="229"/>
      <c r="I436" s="229">
        <v>0</v>
      </c>
      <c r="J436" s="229">
        <v>-8.8000000000000007</v>
      </c>
      <c r="K436" s="230">
        <v>8.8000000000000007</v>
      </c>
      <c r="L436" s="229" t="s">
        <v>1865</v>
      </c>
      <c r="M436" s="229"/>
      <c r="N436" s="229" t="s">
        <v>265</v>
      </c>
      <c r="O436" s="229" t="s">
        <v>261</v>
      </c>
      <c r="P436" s="231"/>
    </row>
    <row r="437" spans="1:16" x14ac:dyDescent="0.25">
      <c r="A437" s="227" t="s">
        <v>2341</v>
      </c>
      <c r="B437" s="228" t="s">
        <v>2342</v>
      </c>
      <c r="C437" s="228" t="s">
        <v>789</v>
      </c>
      <c r="D437" s="228" t="s">
        <v>248</v>
      </c>
      <c r="E437" s="229"/>
      <c r="F437" s="229" t="s">
        <v>141</v>
      </c>
      <c r="G437" s="229" t="s">
        <v>82</v>
      </c>
      <c r="H437" s="229"/>
      <c r="I437" s="229">
        <v>0</v>
      </c>
      <c r="J437" s="229">
        <v>-8.8000000000000007</v>
      </c>
      <c r="K437" s="230">
        <v>8.8000000000000007</v>
      </c>
      <c r="L437" s="229" t="s">
        <v>1865</v>
      </c>
      <c r="M437" s="229" t="s">
        <v>1871</v>
      </c>
      <c r="N437" s="229" t="s">
        <v>256</v>
      </c>
      <c r="O437" s="229" t="s">
        <v>261</v>
      </c>
      <c r="P437" s="231"/>
    </row>
    <row r="438" spans="1:16" x14ac:dyDescent="0.25">
      <c r="A438" s="227" t="s">
        <v>2343</v>
      </c>
      <c r="B438" s="228" t="s">
        <v>2344</v>
      </c>
      <c r="C438" s="228" t="s">
        <v>789</v>
      </c>
      <c r="D438" s="228" t="s">
        <v>248</v>
      </c>
      <c r="E438" s="229"/>
      <c r="F438" s="229" t="s">
        <v>141</v>
      </c>
      <c r="G438" s="229" t="s">
        <v>82</v>
      </c>
      <c r="H438" s="229"/>
      <c r="I438" s="229">
        <v>0</v>
      </c>
      <c r="J438" s="229">
        <v>0</v>
      </c>
      <c r="K438" s="230">
        <v>8.8000000000000007</v>
      </c>
      <c r="L438" s="229" t="s">
        <v>1865</v>
      </c>
      <c r="M438" s="229" t="s">
        <v>1871</v>
      </c>
      <c r="N438" s="229" t="s">
        <v>256</v>
      </c>
      <c r="O438" s="229" t="s">
        <v>261</v>
      </c>
      <c r="P438" s="231"/>
    </row>
    <row r="439" spans="1:16" x14ac:dyDescent="0.25">
      <c r="A439" s="227" t="s">
        <v>2345</v>
      </c>
      <c r="B439" s="228" t="s">
        <v>2346</v>
      </c>
      <c r="C439" s="228" t="s">
        <v>789</v>
      </c>
      <c r="D439" s="228" t="s">
        <v>248</v>
      </c>
      <c r="E439" s="229"/>
      <c r="F439" s="229" t="s">
        <v>141</v>
      </c>
      <c r="G439" s="229" t="s">
        <v>82</v>
      </c>
      <c r="H439" s="229"/>
      <c r="I439" s="229">
        <v>0</v>
      </c>
      <c r="J439" s="229">
        <v>0</v>
      </c>
      <c r="K439" s="230">
        <v>8.8000000000000007</v>
      </c>
      <c r="L439" s="229" t="s">
        <v>1865</v>
      </c>
      <c r="M439" s="229" t="s">
        <v>1871</v>
      </c>
      <c r="N439" s="229" t="s">
        <v>256</v>
      </c>
      <c r="O439" s="229" t="s">
        <v>261</v>
      </c>
      <c r="P439" s="231"/>
    </row>
    <row r="440" spans="1:16" x14ac:dyDescent="0.25">
      <c r="A440" s="227" t="s">
        <v>2347</v>
      </c>
      <c r="B440" s="228" t="s">
        <v>2348</v>
      </c>
      <c r="C440" s="228" t="s">
        <v>789</v>
      </c>
      <c r="D440" s="228" t="s">
        <v>248</v>
      </c>
      <c r="E440" s="229"/>
      <c r="F440" s="229" t="s">
        <v>141</v>
      </c>
      <c r="G440" s="229" t="s">
        <v>82</v>
      </c>
      <c r="H440" s="229"/>
      <c r="I440" s="229">
        <v>0</v>
      </c>
      <c r="J440" s="229">
        <v>-16</v>
      </c>
      <c r="K440" s="230">
        <v>16</v>
      </c>
      <c r="L440" s="229" t="s">
        <v>1865</v>
      </c>
      <c r="M440" s="229" t="s">
        <v>1871</v>
      </c>
      <c r="N440" s="229" t="s">
        <v>256</v>
      </c>
      <c r="O440" s="229" t="s">
        <v>261</v>
      </c>
      <c r="P440" s="231"/>
    </row>
    <row r="441" spans="1:16" x14ac:dyDescent="0.25">
      <c r="A441" s="227" t="s">
        <v>2349</v>
      </c>
      <c r="B441" s="228" t="s">
        <v>2350</v>
      </c>
      <c r="C441" s="228" t="s">
        <v>789</v>
      </c>
      <c r="D441" s="228" t="s">
        <v>248</v>
      </c>
      <c r="E441" s="229"/>
      <c r="F441" s="229" t="s">
        <v>141</v>
      </c>
      <c r="G441" s="229" t="s">
        <v>82</v>
      </c>
      <c r="H441" s="229"/>
      <c r="I441" s="229">
        <v>0</v>
      </c>
      <c r="J441" s="229">
        <v>-8.8000000000000007</v>
      </c>
      <c r="K441" s="230">
        <v>8.8000000000000007</v>
      </c>
      <c r="L441" s="229" t="s">
        <v>1865</v>
      </c>
      <c r="M441" s="229" t="s">
        <v>1871</v>
      </c>
      <c r="N441" s="229" t="s">
        <v>256</v>
      </c>
      <c r="O441" s="229" t="s">
        <v>261</v>
      </c>
      <c r="P441" s="231"/>
    </row>
    <row r="442" spans="1:16" x14ac:dyDescent="0.25">
      <c r="A442" s="227" t="s">
        <v>2351</v>
      </c>
      <c r="B442" s="228" t="s">
        <v>2352</v>
      </c>
      <c r="C442" s="228" t="s">
        <v>789</v>
      </c>
      <c r="D442" s="228" t="s">
        <v>248</v>
      </c>
      <c r="E442" s="229"/>
      <c r="F442" s="229" t="s">
        <v>141</v>
      </c>
      <c r="G442" s="229" t="s">
        <v>82</v>
      </c>
      <c r="H442" s="229"/>
      <c r="I442" s="229">
        <v>0</v>
      </c>
      <c r="J442" s="229">
        <v>-16</v>
      </c>
      <c r="K442" s="230">
        <v>16</v>
      </c>
      <c r="L442" s="229" t="s">
        <v>1865</v>
      </c>
      <c r="M442" s="229" t="s">
        <v>1871</v>
      </c>
      <c r="N442" s="229" t="s">
        <v>256</v>
      </c>
      <c r="O442" s="229" t="s">
        <v>261</v>
      </c>
      <c r="P442" s="231"/>
    </row>
    <row r="443" spans="1:16" x14ac:dyDescent="0.25">
      <c r="A443" s="227" t="s">
        <v>4248</v>
      </c>
      <c r="B443" s="228" t="s">
        <v>2352</v>
      </c>
      <c r="C443" s="228" t="s">
        <v>789</v>
      </c>
      <c r="D443" s="228" t="s">
        <v>248</v>
      </c>
      <c r="E443" s="229"/>
      <c r="F443" s="229" t="s">
        <v>141</v>
      </c>
      <c r="G443" s="229" t="s">
        <v>82</v>
      </c>
      <c r="H443" s="229"/>
      <c r="I443" s="229">
        <v>0</v>
      </c>
      <c r="J443" s="229">
        <v>-16</v>
      </c>
      <c r="K443" s="230">
        <v>16</v>
      </c>
      <c r="L443" s="229" t="s">
        <v>1865</v>
      </c>
      <c r="M443" s="229" t="s">
        <v>1871</v>
      </c>
      <c r="N443" s="229" t="s">
        <v>256</v>
      </c>
      <c r="O443" s="229"/>
      <c r="P443" s="231"/>
    </row>
    <row r="444" spans="1:16" x14ac:dyDescent="0.25">
      <c r="A444" s="227" t="s">
        <v>4249</v>
      </c>
      <c r="B444" s="228" t="s">
        <v>2352</v>
      </c>
      <c r="C444" s="228" t="s">
        <v>789</v>
      </c>
      <c r="D444" s="228" t="s">
        <v>248</v>
      </c>
      <c r="E444" s="229"/>
      <c r="F444" s="229" t="s">
        <v>141</v>
      </c>
      <c r="G444" s="229" t="s">
        <v>82</v>
      </c>
      <c r="H444" s="229"/>
      <c r="I444" s="229">
        <v>0</v>
      </c>
      <c r="J444" s="229">
        <v>-16</v>
      </c>
      <c r="K444" s="230">
        <v>16</v>
      </c>
      <c r="L444" s="229" t="s">
        <v>1865</v>
      </c>
      <c r="M444" s="229" t="s">
        <v>1871</v>
      </c>
      <c r="N444" s="229" t="s">
        <v>256</v>
      </c>
      <c r="O444" s="229"/>
      <c r="P444" s="231"/>
    </row>
    <row r="445" spans="1:16" ht="52.8" x14ac:dyDescent="0.25">
      <c r="A445" s="227" t="s">
        <v>2016</v>
      </c>
      <c r="B445" s="228" t="s">
        <v>2353</v>
      </c>
      <c r="C445" s="228" t="s">
        <v>789</v>
      </c>
      <c r="D445" s="228" t="s">
        <v>248</v>
      </c>
      <c r="E445" s="229" t="s">
        <v>2354</v>
      </c>
      <c r="F445" s="229" t="s">
        <v>136</v>
      </c>
      <c r="G445" s="229" t="s">
        <v>82</v>
      </c>
      <c r="H445" s="229"/>
      <c r="I445" s="229">
        <v>0</v>
      </c>
      <c r="J445" s="229">
        <v>0</v>
      </c>
      <c r="K445" s="230">
        <v>1</v>
      </c>
      <c r="L445" s="229" t="s">
        <v>1865</v>
      </c>
      <c r="M445" s="229"/>
      <c r="N445" s="229" t="s">
        <v>300</v>
      </c>
      <c r="O445" s="229" t="s">
        <v>261</v>
      </c>
      <c r="P445" s="231"/>
    </row>
    <row r="446" spans="1:16" ht="39.6" x14ac:dyDescent="0.25">
      <c r="A446" s="227" t="s">
        <v>2302</v>
      </c>
      <c r="B446" s="228" t="s">
        <v>2355</v>
      </c>
      <c r="C446" s="228" t="s">
        <v>789</v>
      </c>
      <c r="D446" s="228" t="s">
        <v>248</v>
      </c>
      <c r="E446" s="229" t="s">
        <v>2356</v>
      </c>
      <c r="F446" s="229" t="s">
        <v>136</v>
      </c>
      <c r="G446" s="229" t="s">
        <v>82</v>
      </c>
      <c r="H446" s="229"/>
      <c r="I446" s="229">
        <v>0</v>
      </c>
      <c r="J446" s="229">
        <v>-8.8000000000000007</v>
      </c>
      <c r="K446" s="230">
        <v>8.8000000000000007</v>
      </c>
      <c r="L446" s="229" t="s">
        <v>1865</v>
      </c>
      <c r="M446" s="229"/>
      <c r="N446" s="229" t="s">
        <v>256</v>
      </c>
      <c r="O446" s="229" t="s">
        <v>261</v>
      </c>
      <c r="P446" s="231"/>
    </row>
    <row r="447" spans="1:16" ht="26.4" x14ac:dyDescent="0.25">
      <c r="A447" s="227" t="s">
        <v>1884</v>
      </c>
      <c r="B447" s="228" t="s">
        <v>1885</v>
      </c>
      <c r="C447" s="228" t="s">
        <v>789</v>
      </c>
      <c r="D447" s="228" t="s">
        <v>248</v>
      </c>
      <c r="E447" s="229" t="s">
        <v>1973</v>
      </c>
      <c r="F447" s="229" t="s">
        <v>136</v>
      </c>
      <c r="G447" s="229" t="s">
        <v>82</v>
      </c>
      <c r="H447" s="229"/>
      <c r="I447" s="229">
        <v>0</v>
      </c>
      <c r="J447" s="229">
        <v>-10</v>
      </c>
      <c r="K447" s="230">
        <v>10</v>
      </c>
      <c r="L447" s="229" t="s">
        <v>1865</v>
      </c>
      <c r="M447" s="229"/>
      <c r="N447" s="229" t="s">
        <v>265</v>
      </c>
      <c r="O447" s="229" t="s">
        <v>261</v>
      </c>
      <c r="P447" s="231"/>
    </row>
    <row r="448" spans="1:16" ht="52.8" x14ac:dyDescent="0.25">
      <c r="A448" s="227" t="s">
        <v>2357</v>
      </c>
      <c r="B448" s="228" t="s">
        <v>2358</v>
      </c>
      <c r="C448" s="228" t="s">
        <v>789</v>
      </c>
      <c r="D448" s="228" t="s">
        <v>248</v>
      </c>
      <c r="E448" s="229" t="s">
        <v>2359</v>
      </c>
      <c r="F448" s="229" t="s">
        <v>136</v>
      </c>
      <c r="G448" s="229" t="s">
        <v>82</v>
      </c>
      <c r="H448" s="229"/>
      <c r="I448" s="229">
        <v>0</v>
      </c>
      <c r="J448" s="229">
        <v>-8.8000000000000007</v>
      </c>
      <c r="K448" s="230">
        <v>8.8000000000000007</v>
      </c>
      <c r="L448" s="229" t="s">
        <v>1865</v>
      </c>
      <c r="M448" s="229"/>
      <c r="N448" s="229" t="s">
        <v>256</v>
      </c>
      <c r="O448" s="229" t="s">
        <v>261</v>
      </c>
      <c r="P448" s="231"/>
    </row>
    <row r="449" spans="1:16" ht="79.2" x14ac:dyDescent="0.25">
      <c r="A449" s="227" t="s">
        <v>2360</v>
      </c>
      <c r="B449" s="228" t="s">
        <v>2361</v>
      </c>
      <c r="C449" s="228" t="s">
        <v>789</v>
      </c>
      <c r="D449" s="228" t="s">
        <v>248</v>
      </c>
      <c r="E449" s="229" t="s">
        <v>2362</v>
      </c>
      <c r="F449" s="229" t="s">
        <v>136</v>
      </c>
      <c r="G449" s="229" t="s">
        <v>82</v>
      </c>
      <c r="H449" s="229" t="s">
        <v>2363</v>
      </c>
      <c r="I449" s="229">
        <v>0</v>
      </c>
      <c r="J449" s="229">
        <v>-1350</v>
      </c>
      <c r="K449" s="230">
        <v>1350</v>
      </c>
      <c r="L449" s="229" t="s">
        <v>1865</v>
      </c>
      <c r="M449" s="229"/>
      <c r="N449" s="229" t="s">
        <v>263</v>
      </c>
      <c r="O449" s="229" t="s">
        <v>261</v>
      </c>
      <c r="P449" s="231"/>
    </row>
    <row r="450" spans="1:16" ht="198" x14ac:dyDescent="0.25">
      <c r="A450" s="227" t="s">
        <v>1875</v>
      </c>
      <c r="B450" s="228" t="s">
        <v>1876</v>
      </c>
      <c r="C450" s="228" t="s">
        <v>789</v>
      </c>
      <c r="D450" s="228" t="s">
        <v>248</v>
      </c>
      <c r="E450" s="229" t="s">
        <v>1981</v>
      </c>
      <c r="F450" s="229" t="s">
        <v>136</v>
      </c>
      <c r="G450" s="229" t="s">
        <v>82</v>
      </c>
      <c r="H450" s="229" t="s">
        <v>2364</v>
      </c>
      <c r="I450" s="229">
        <v>0</v>
      </c>
      <c r="J450" s="229">
        <v>0</v>
      </c>
      <c r="K450" s="230">
        <v>511</v>
      </c>
      <c r="L450" s="229" t="s">
        <v>1865</v>
      </c>
      <c r="M450" s="229"/>
      <c r="N450" s="229" t="s">
        <v>311</v>
      </c>
      <c r="O450" s="229" t="s">
        <v>261</v>
      </c>
      <c r="P450" s="231"/>
    </row>
    <row r="451" spans="1:16" x14ac:dyDescent="0.25">
      <c r="A451" s="227" t="s">
        <v>2365</v>
      </c>
      <c r="B451" s="228" t="s">
        <v>2366</v>
      </c>
      <c r="C451" s="228" t="s">
        <v>789</v>
      </c>
      <c r="D451" s="228" t="s">
        <v>248</v>
      </c>
      <c r="E451" s="229"/>
      <c r="F451" s="229" t="s">
        <v>136</v>
      </c>
      <c r="G451" s="229" t="s">
        <v>82</v>
      </c>
      <c r="H451" s="229"/>
      <c r="I451" s="229">
        <v>0</v>
      </c>
      <c r="J451" s="229">
        <v>-50</v>
      </c>
      <c r="K451" s="230">
        <v>50</v>
      </c>
      <c r="L451" s="229" t="s">
        <v>1865</v>
      </c>
      <c r="M451" s="229"/>
      <c r="N451" s="229" t="s">
        <v>307</v>
      </c>
      <c r="O451" s="229" t="s">
        <v>261</v>
      </c>
      <c r="P451" s="231"/>
    </row>
    <row r="452" spans="1:16" x14ac:dyDescent="0.25">
      <c r="A452" s="227" t="s">
        <v>2367</v>
      </c>
      <c r="B452" s="228"/>
      <c r="C452" s="228" t="s">
        <v>789</v>
      </c>
      <c r="D452" s="228" t="s">
        <v>248</v>
      </c>
      <c r="E452" s="229"/>
      <c r="F452" s="229" t="s">
        <v>139</v>
      </c>
      <c r="G452" s="229" t="s">
        <v>82</v>
      </c>
      <c r="H452" s="229"/>
      <c r="I452" s="229" t="s">
        <v>1440</v>
      </c>
      <c r="J452" s="229"/>
      <c r="K452" s="230"/>
      <c r="L452" s="229"/>
      <c r="M452" s="229"/>
      <c r="N452" s="229"/>
      <c r="O452" s="229" t="s">
        <v>1960</v>
      </c>
      <c r="P452" s="231"/>
    </row>
    <row r="453" spans="1:16" x14ac:dyDescent="0.25">
      <c r="A453" s="227" t="s">
        <v>2368</v>
      </c>
      <c r="B453" s="228"/>
      <c r="C453" s="228" t="s">
        <v>789</v>
      </c>
      <c r="D453" s="228" t="s">
        <v>248</v>
      </c>
      <c r="E453" s="229"/>
      <c r="F453" s="229" t="s">
        <v>139</v>
      </c>
      <c r="G453" s="229" t="s">
        <v>82</v>
      </c>
      <c r="H453" s="229"/>
      <c r="I453" s="229">
        <v>0</v>
      </c>
      <c r="J453" s="229">
        <v>1.25584782371357E-3</v>
      </c>
      <c r="K453" s="230">
        <v>0.71539045666397005</v>
      </c>
      <c r="L453" s="229" t="s">
        <v>1865</v>
      </c>
      <c r="M453" s="229">
        <v>9.9999999999999995E-8</v>
      </c>
      <c r="N453" s="229" t="s">
        <v>300</v>
      </c>
      <c r="O453" s="229" t="s">
        <v>261</v>
      </c>
      <c r="P453" s="231"/>
    </row>
    <row r="454" spans="1:16" x14ac:dyDescent="0.25">
      <c r="A454" s="227" t="s">
        <v>2369</v>
      </c>
      <c r="B454" s="228"/>
      <c r="C454" s="228" t="s">
        <v>789</v>
      </c>
      <c r="D454" s="228" t="s">
        <v>248</v>
      </c>
      <c r="E454" s="229"/>
      <c r="F454" s="229" t="s">
        <v>139</v>
      </c>
      <c r="G454" s="229" t="s">
        <v>82</v>
      </c>
      <c r="H454" s="229"/>
      <c r="I454" s="229">
        <v>0</v>
      </c>
      <c r="J454" s="229">
        <v>0</v>
      </c>
      <c r="K454" s="230">
        <v>1</v>
      </c>
      <c r="L454" s="229" t="s">
        <v>1865</v>
      </c>
      <c r="M454" s="229">
        <v>4.8828125E-4</v>
      </c>
      <c r="N454" s="229" t="s">
        <v>300</v>
      </c>
      <c r="O454" s="229" t="s">
        <v>261</v>
      </c>
      <c r="P454" s="231"/>
    </row>
    <row r="455" spans="1:16" x14ac:dyDescent="0.25">
      <c r="A455" s="227" t="s">
        <v>2370</v>
      </c>
      <c r="B455" s="228"/>
      <c r="C455" s="228" t="s">
        <v>789</v>
      </c>
      <c r="D455" s="228" t="s">
        <v>248</v>
      </c>
      <c r="E455" s="229"/>
      <c r="F455" s="229" t="s">
        <v>139</v>
      </c>
      <c r="G455" s="229" t="s">
        <v>82</v>
      </c>
      <c r="H455" s="229"/>
      <c r="I455" s="229" t="s">
        <v>1440</v>
      </c>
      <c r="J455" s="229"/>
      <c r="K455" s="230"/>
      <c r="L455" s="229"/>
      <c r="M455" s="229"/>
      <c r="N455" s="229"/>
      <c r="O455" s="229" t="s">
        <v>1960</v>
      </c>
      <c r="P455" s="231"/>
    </row>
    <row r="456" spans="1:16" x14ac:dyDescent="0.25">
      <c r="A456" s="227" t="s">
        <v>2371</v>
      </c>
      <c r="B456" s="228"/>
      <c r="C456" s="228" t="s">
        <v>789</v>
      </c>
      <c r="D456" s="228" t="s">
        <v>248</v>
      </c>
      <c r="E456" s="229"/>
      <c r="F456" s="229" t="s">
        <v>139</v>
      </c>
      <c r="G456" s="229" t="s">
        <v>82</v>
      </c>
      <c r="H456" s="229"/>
      <c r="I456" s="229">
        <v>0</v>
      </c>
      <c r="J456" s="229">
        <v>1.255847823713574E-3</v>
      </c>
      <c r="K456" s="230">
        <v>0.71539045666397072</v>
      </c>
      <c r="L456" s="229" t="s">
        <v>1865</v>
      </c>
      <c r="M456" s="229">
        <v>9.9999999999999995E-8</v>
      </c>
      <c r="N456" s="229" t="s">
        <v>300</v>
      </c>
      <c r="O456" s="229" t="s">
        <v>261</v>
      </c>
      <c r="P456" s="231"/>
    </row>
    <row r="457" spans="1:16" x14ac:dyDescent="0.25">
      <c r="A457" s="227" t="s">
        <v>2372</v>
      </c>
      <c r="B457" s="228"/>
      <c r="C457" s="228" t="s">
        <v>789</v>
      </c>
      <c r="D457" s="228" t="s">
        <v>248</v>
      </c>
      <c r="E457" s="229"/>
      <c r="F457" s="229" t="s">
        <v>139</v>
      </c>
      <c r="G457" s="229" t="s">
        <v>82</v>
      </c>
      <c r="H457" s="229"/>
      <c r="I457" s="229">
        <v>0</v>
      </c>
      <c r="J457" s="229">
        <v>-20000</v>
      </c>
      <c r="K457" s="230">
        <v>20000</v>
      </c>
      <c r="L457" s="229" t="s">
        <v>1865</v>
      </c>
      <c r="M457" s="229">
        <v>1.953125E-3</v>
      </c>
      <c r="N457" s="229" t="s">
        <v>300</v>
      </c>
      <c r="O457" s="229" t="s">
        <v>261</v>
      </c>
      <c r="P457" s="231"/>
    </row>
    <row r="458" spans="1:16" ht="39.6" x14ac:dyDescent="0.25">
      <c r="A458" s="227" t="s">
        <v>2090</v>
      </c>
      <c r="B458" s="228" t="s">
        <v>2091</v>
      </c>
      <c r="C458" s="228" t="s">
        <v>789</v>
      </c>
      <c r="D458" s="228" t="s">
        <v>248</v>
      </c>
      <c r="E458" s="229" t="s">
        <v>2021</v>
      </c>
      <c r="F458" s="229" t="s">
        <v>138</v>
      </c>
      <c r="G458" s="229" t="s">
        <v>82</v>
      </c>
      <c r="H458" s="229"/>
      <c r="I458" s="229">
        <v>0</v>
      </c>
      <c r="J458" s="229">
        <v>-8.8000000000000007</v>
      </c>
      <c r="K458" s="230">
        <v>8.8000000000000007</v>
      </c>
      <c r="L458" s="229" t="s">
        <v>1865</v>
      </c>
      <c r="M458" s="229">
        <v>4.8828125E-4</v>
      </c>
      <c r="N458" s="229" t="s">
        <v>256</v>
      </c>
      <c r="O458" s="229" t="s">
        <v>261</v>
      </c>
      <c r="P458" s="231"/>
    </row>
    <row r="459" spans="1:16" ht="26.4" x14ac:dyDescent="0.25">
      <c r="A459" s="227" t="s">
        <v>2001</v>
      </c>
      <c r="B459" s="228" t="s">
        <v>2002</v>
      </c>
      <c r="C459" s="228" t="s">
        <v>789</v>
      </c>
      <c r="D459" s="228" t="s">
        <v>248</v>
      </c>
      <c r="E459" s="229"/>
      <c r="F459" s="229" t="s">
        <v>136</v>
      </c>
      <c r="G459" s="229" t="s">
        <v>82</v>
      </c>
      <c r="H459" s="229"/>
      <c r="I459" s="229">
        <v>0</v>
      </c>
      <c r="J459" s="229">
        <v>-8.8000000000000007</v>
      </c>
      <c r="K459" s="230">
        <v>8.8000000000000007</v>
      </c>
      <c r="L459" s="229" t="s">
        <v>2283</v>
      </c>
      <c r="M459" s="229" t="s">
        <v>1871</v>
      </c>
      <c r="N459" s="229" t="s">
        <v>256</v>
      </c>
      <c r="O459" s="229" t="s">
        <v>261</v>
      </c>
      <c r="P459" s="231"/>
    </row>
    <row r="460" spans="1:16" ht="26.4" x14ac:dyDescent="0.25">
      <c r="A460" s="227" t="s">
        <v>1990</v>
      </c>
      <c r="B460" s="228" t="s">
        <v>1991</v>
      </c>
      <c r="C460" s="228" t="s">
        <v>789</v>
      </c>
      <c r="D460" s="228" t="s">
        <v>248</v>
      </c>
      <c r="E460" s="229"/>
      <c r="F460" s="229" t="s">
        <v>136</v>
      </c>
      <c r="G460" s="229" t="s">
        <v>82</v>
      </c>
      <c r="H460" s="229"/>
      <c r="I460" s="229">
        <v>0</v>
      </c>
      <c r="J460" s="229">
        <v>0</v>
      </c>
      <c r="K460" s="230">
        <v>8.8000000000000007</v>
      </c>
      <c r="L460" s="229" t="s">
        <v>2283</v>
      </c>
      <c r="M460" s="229" t="s">
        <v>1871</v>
      </c>
      <c r="N460" s="229" t="s">
        <v>256</v>
      </c>
      <c r="O460" s="229" t="s">
        <v>261</v>
      </c>
      <c r="P460" s="231"/>
    </row>
    <row r="461" spans="1:16" x14ac:dyDescent="0.25">
      <c r="A461" s="227" t="s">
        <v>2373</v>
      </c>
      <c r="B461" s="228" t="s">
        <v>2374</v>
      </c>
      <c r="C461" s="228" t="s">
        <v>789</v>
      </c>
      <c r="D461" s="228" t="s">
        <v>248</v>
      </c>
      <c r="E461" s="229"/>
      <c r="F461" s="229" t="s">
        <v>136</v>
      </c>
      <c r="G461" s="229" t="s">
        <v>82</v>
      </c>
      <c r="H461" s="229"/>
      <c r="I461" s="229" t="b">
        <v>0</v>
      </c>
      <c r="J461" s="229" t="b">
        <v>0</v>
      </c>
      <c r="K461" s="230" t="b">
        <v>1</v>
      </c>
      <c r="L461" s="229" t="s">
        <v>1871</v>
      </c>
      <c r="M461" s="229" t="s">
        <v>1871</v>
      </c>
      <c r="N461" s="229" t="s">
        <v>271</v>
      </c>
      <c r="O461" s="229" t="s">
        <v>501</v>
      </c>
      <c r="P461" s="231"/>
    </row>
    <row r="462" spans="1:16" ht="26.4" x14ac:dyDescent="0.25">
      <c r="A462" s="227" t="s">
        <v>2375</v>
      </c>
      <c r="B462" s="228" t="s">
        <v>1871</v>
      </c>
      <c r="C462" s="228" t="s">
        <v>789</v>
      </c>
      <c r="D462" s="228" t="s">
        <v>248</v>
      </c>
      <c r="E462" s="229"/>
      <c r="F462" s="229" t="s">
        <v>139</v>
      </c>
      <c r="G462" s="229" t="s">
        <v>82</v>
      </c>
      <c r="H462" s="229"/>
      <c r="I462" s="229">
        <v>0</v>
      </c>
      <c r="J462" s="229">
        <v>-20</v>
      </c>
      <c r="K462" s="230">
        <v>20</v>
      </c>
      <c r="L462" s="229" t="s">
        <v>2283</v>
      </c>
      <c r="M462" s="229">
        <v>1.9530000000000001E-3</v>
      </c>
      <c r="N462" s="229" t="s">
        <v>268</v>
      </c>
      <c r="O462" s="229" t="s">
        <v>1343</v>
      </c>
      <c r="P462" s="231"/>
    </row>
    <row r="463" spans="1:16" ht="20.399999999999999" x14ac:dyDescent="0.25">
      <c r="A463" s="227" t="s">
        <v>2379</v>
      </c>
      <c r="B463" s="228" t="s">
        <v>1871</v>
      </c>
      <c r="C463" s="228" t="s">
        <v>789</v>
      </c>
      <c r="D463" s="228" t="s">
        <v>248</v>
      </c>
      <c r="E463" s="229"/>
      <c r="F463" s="229" t="s">
        <v>139</v>
      </c>
      <c r="G463" s="229" t="s">
        <v>82</v>
      </c>
      <c r="H463" s="229"/>
      <c r="I463" s="229">
        <v>0</v>
      </c>
      <c r="J463" s="229">
        <v>-10000</v>
      </c>
      <c r="K463" s="230">
        <v>10000</v>
      </c>
      <c r="L463" s="229" t="s">
        <v>994</v>
      </c>
      <c r="M463" s="229">
        <v>0.5</v>
      </c>
      <c r="N463" s="229" t="s">
        <v>2380</v>
      </c>
      <c r="O463" s="229" t="s">
        <v>1134</v>
      </c>
      <c r="P463" s="231"/>
    </row>
    <row r="464" spans="1:16" ht="20.399999999999999" x14ac:dyDescent="0.25">
      <c r="A464" s="227" t="s">
        <v>2381</v>
      </c>
      <c r="B464" s="228" t="s">
        <v>1871</v>
      </c>
      <c r="C464" s="228" t="s">
        <v>789</v>
      </c>
      <c r="D464" s="228" t="s">
        <v>248</v>
      </c>
      <c r="E464" s="229"/>
      <c r="F464" s="229" t="s">
        <v>139</v>
      </c>
      <c r="G464" s="229" t="s">
        <v>82</v>
      </c>
      <c r="H464" s="229"/>
      <c r="I464" s="229">
        <v>0</v>
      </c>
      <c r="J464" s="229">
        <v>-10000</v>
      </c>
      <c r="K464" s="230">
        <v>10000</v>
      </c>
      <c r="L464" s="229" t="s">
        <v>994</v>
      </c>
      <c r="M464" s="229">
        <v>0.5</v>
      </c>
      <c r="N464" s="229" t="s">
        <v>2380</v>
      </c>
      <c r="O464" s="229" t="s">
        <v>1134</v>
      </c>
      <c r="P464" s="231"/>
    </row>
    <row r="465" spans="1:16" ht="20.399999999999999" x14ac:dyDescent="0.25">
      <c r="A465" s="227" t="s">
        <v>4957</v>
      </c>
      <c r="B465" s="228" t="s">
        <v>1871</v>
      </c>
      <c r="C465" s="228" t="s">
        <v>789</v>
      </c>
      <c r="D465" s="228" t="s">
        <v>248</v>
      </c>
      <c r="E465" s="229"/>
      <c r="F465" s="229" t="s">
        <v>139</v>
      </c>
      <c r="G465" s="229" t="s">
        <v>82</v>
      </c>
      <c r="H465" s="229"/>
      <c r="I465" s="229">
        <v>0</v>
      </c>
      <c r="J465" s="229">
        <v>-4886.2571364169462</v>
      </c>
      <c r="K465" s="230">
        <v>4886.2571364169462</v>
      </c>
      <c r="L465" s="229" t="s">
        <v>2376</v>
      </c>
      <c r="M465" s="229">
        <v>4.8828125E-4</v>
      </c>
      <c r="N465" s="229" t="s">
        <v>256</v>
      </c>
      <c r="O465" s="229" t="s">
        <v>2382</v>
      </c>
      <c r="P465" s="231"/>
    </row>
    <row r="466" spans="1:16" ht="20.399999999999999" x14ac:dyDescent="0.25">
      <c r="A466" s="227" t="s">
        <v>4958</v>
      </c>
      <c r="B466" s="228" t="s">
        <v>1871</v>
      </c>
      <c r="C466" s="228" t="s">
        <v>789</v>
      </c>
      <c r="D466" s="228" t="s">
        <v>248</v>
      </c>
      <c r="E466" s="229"/>
      <c r="F466" s="229" t="s">
        <v>139</v>
      </c>
      <c r="G466" s="229" t="s">
        <v>82</v>
      </c>
      <c r="H466" s="229"/>
      <c r="I466" s="229">
        <v>0</v>
      </c>
      <c r="J466" s="229">
        <v>-4886.2571364169462</v>
      </c>
      <c r="K466" s="230">
        <v>4886.2571364169462</v>
      </c>
      <c r="L466" s="229" t="s">
        <v>2376</v>
      </c>
      <c r="M466" s="229">
        <v>4.8828125E-4</v>
      </c>
      <c r="N466" s="229" t="s">
        <v>256</v>
      </c>
      <c r="O466" s="229" t="s">
        <v>2382</v>
      </c>
      <c r="P466" s="231"/>
    </row>
    <row r="467" spans="1:16" x14ac:dyDescent="0.25">
      <c r="A467" s="227" t="s">
        <v>2383</v>
      </c>
      <c r="B467" s="228" t="s">
        <v>2384</v>
      </c>
      <c r="C467" s="228" t="s">
        <v>789</v>
      </c>
      <c r="D467" s="228" t="s">
        <v>248</v>
      </c>
      <c r="E467" s="229"/>
      <c r="F467" s="229" t="s">
        <v>139</v>
      </c>
      <c r="G467" s="229" t="s">
        <v>82</v>
      </c>
      <c r="H467" s="229"/>
      <c r="I467" s="229" t="b">
        <v>0</v>
      </c>
      <c r="J467" s="229" t="b">
        <v>0</v>
      </c>
      <c r="K467" s="230" t="b">
        <v>1</v>
      </c>
      <c r="L467" s="229" t="s">
        <v>1871</v>
      </c>
      <c r="M467" s="229" t="s">
        <v>1871</v>
      </c>
      <c r="N467" s="229" t="s">
        <v>271</v>
      </c>
      <c r="O467" s="229" t="s">
        <v>501</v>
      </c>
      <c r="P467" s="231"/>
    </row>
    <row r="468" spans="1:16" x14ac:dyDescent="0.25">
      <c r="A468" s="227" t="s">
        <v>2385</v>
      </c>
      <c r="B468" s="228" t="s">
        <v>2386</v>
      </c>
      <c r="C468" s="228" t="s">
        <v>789</v>
      </c>
      <c r="D468" s="228" t="s">
        <v>248</v>
      </c>
      <c r="E468" s="229"/>
      <c r="F468" s="229" t="s">
        <v>141</v>
      </c>
      <c r="G468" s="229" t="s">
        <v>82</v>
      </c>
      <c r="H468" s="229"/>
      <c r="I468" s="229" t="b">
        <v>0</v>
      </c>
      <c r="J468" s="229" t="b">
        <v>0</v>
      </c>
      <c r="K468" s="230" t="b">
        <v>1</v>
      </c>
      <c r="L468" s="229" t="s">
        <v>1871</v>
      </c>
      <c r="M468" s="229" t="s">
        <v>1871</v>
      </c>
      <c r="N468" s="229" t="s">
        <v>271</v>
      </c>
      <c r="O468" s="229" t="s">
        <v>501</v>
      </c>
      <c r="P468" s="231"/>
    </row>
    <row r="469" spans="1:16" x14ac:dyDescent="0.25">
      <c r="A469" s="227" t="s">
        <v>2387</v>
      </c>
      <c r="B469" s="228" t="s">
        <v>2388</v>
      </c>
      <c r="C469" s="228" t="s">
        <v>789</v>
      </c>
      <c r="D469" s="228" t="s">
        <v>248</v>
      </c>
      <c r="E469" s="229"/>
      <c r="F469" s="229" t="s">
        <v>141</v>
      </c>
      <c r="G469" s="229" t="s">
        <v>82</v>
      </c>
      <c r="H469" s="229"/>
      <c r="I469" s="229" t="b">
        <v>0</v>
      </c>
      <c r="J469" s="229" t="b">
        <v>0</v>
      </c>
      <c r="K469" s="230" t="b">
        <v>1</v>
      </c>
      <c r="L469" s="229" t="s">
        <v>1871</v>
      </c>
      <c r="M469" s="229" t="s">
        <v>1871</v>
      </c>
      <c r="N469" s="229" t="s">
        <v>271</v>
      </c>
      <c r="O469" s="229" t="s">
        <v>501</v>
      </c>
      <c r="P469" s="231"/>
    </row>
    <row r="470" spans="1:16" x14ac:dyDescent="0.25">
      <c r="A470" s="227" t="s">
        <v>2389</v>
      </c>
      <c r="B470" s="228" t="s">
        <v>2390</v>
      </c>
      <c r="C470" s="228" t="s">
        <v>789</v>
      </c>
      <c r="D470" s="228" t="s">
        <v>248</v>
      </c>
      <c r="E470" s="229"/>
      <c r="F470" s="229" t="s">
        <v>139</v>
      </c>
      <c r="G470" s="229" t="s">
        <v>82</v>
      </c>
      <c r="H470" s="229"/>
      <c r="I470" s="229">
        <v>0</v>
      </c>
      <c r="J470" s="229">
        <v>0</v>
      </c>
      <c r="K470" s="230">
        <v>65535</v>
      </c>
      <c r="L470" s="229">
        <v>1</v>
      </c>
      <c r="M470" s="229">
        <v>1</v>
      </c>
      <c r="N470" s="229" t="s">
        <v>424</v>
      </c>
      <c r="O470" s="229" t="s">
        <v>267</v>
      </c>
      <c r="P470" s="231"/>
    </row>
    <row r="471" spans="1:16" x14ac:dyDescent="0.25">
      <c r="A471" s="227" t="s">
        <v>2391</v>
      </c>
      <c r="B471" s="228" t="s">
        <v>2392</v>
      </c>
      <c r="C471" s="228" t="s">
        <v>789</v>
      </c>
      <c r="D471" s="228" t="s">
        <v>248</v>
      </c>
      <c r="E471" s="229"/>
      <c r="F471" s="229" t="s">
        <v>139</v>
      </c>
      <c r="G471" s="229" t="s">
        <v>82</v>
      </c>
      <c r="H471" s="229"/>
      <c r="I471" s="229">
        <v>0</v>
      </c>
      <c r="J471" s="229">
        <v>0</v>
      </c>
      <c r="K471" s="230">
        <v>65535</v>
      </c>
      <c r="L471" s="229">
        <v>1</v>
      </c>
      <c r="M471" s="229">
        <v>1</v>
      </c>
      <c r="N471" s="229" t="s">
        <v>424</v>
      </c>
      <c r="O471" s="229" t="s">
        <v>267</v>
      </c>
      <c r="P471" s="231"/>
    </row>
    <row r="472" spans="1:16" x14ac:dyDescent="0.25">
      <c r="A472" s="227" t="s">
        <v>2393</v>
      </c>
      <c r="B472" s="228" t="s">
        <v>2394</v>
      </c>
      <c r="C472" s="228" t="s">
        <v>789</v>
      </c>
      <c r="D472" s="228" t="s">
        <v>248</v>
      </c>
      <c r="E472" s="229"/>
      <c r="F472" s="229" t="s">
        <v>139</v>
      </c>
      <c r="G472" s="229" t="s">
        <v>82</v>
      </c>
      <c r="H472" s="229"/>
      <c r="I472" s="229" t="b">
        <v>0</v>
      </c>
      <c r="J472" s="229" t="b">
        <v>0</v>
      </c>
      <c r="K472" s="230" t="b">
        <v>1</v>
      </c>
      <c r="L472" s="229" t="s">
        <v>1871</v>
      </c>
      <c r="M472" s="229" t="s">
        <v>1871</v>
      </c>
      <c r="N472" s="229" t="s">
        <v>271</v>
      </c>
      <c r="O472" s="229" t="s">
        <v>501</v>
      </c>
      <c r="P472" s="231"/>
    </row>
    <row r="473" spans="1:16" x14ac:dyDescent="0.25">
      <c r="A473" s="227" t="s">
        <v>2395</v>
      </c>
      <c r="B473" s="228" t="s">
        <v>1871</v>
      </c>
      <c r="C473" s="228" t="s">
        <v>789</v>
      </c>
      <c r="D473" s="228" t="s">
        <v>248</v>
      </c>
      <c r="E473" s="229"/>
      <c r="F473" s="229" t="s">
        <v>139</v>
      </c>
      <c r="G473" s="229" t="s">
        <v>82</v>
      </c>
      <c r="H473" s="229"/>
      <c r="I473" s="229" t="b">
        <v>0</v>
      </c>
      <c r="J473" s="229" t="b">
        <v>0</v>
      </c>
      <c r="K473" s="230" t="b">
        <v>1</v>
      </c>
      <c r="L473" s="229" t="s">
        <v>1871</v>
      </c>
      <c r="M473" s="229" t="s">
        <v>1871</v>
      </c>
      <c r="N473" s="229" t="s">
        <v>271</v>
      </c>
      <c r="O473" s="229" t="s">
        <v>501</v>
      </c>
      <c r="P473" s="231"/>
    </row>
    <row r="474" spans="1:16" x14ac:dyDescent="0.25">
      <c r="A474" s="227" t="s">
        <v>2396</v>
      </c>
      <c r="B474" s="228" t="s">
        <v>2397</v>
      </c>
      <c r="C474" s="228" t="s">
        <v>789</v>
      </c>
      <c r="D474" s="228" t="s">
        <v>248</v>
      </c>
      <c r="E474" s="229"/>
      <c r="F474" s="229" t="s">
        <v>141</v>
      </c>
      <c r="G474" s="229" t="s">
        <v>82</v>
      </c>
      <c r="H474" s="229"/>
      <c r="I474" s="229">
        <v>0</v>
      </c>
      <c r="J474" s="229">
        <v>-16</v>
      </c>
      <c r="K474" s="230">
        <v>16</v>
      </c>
      <c r="L474" s="229" t="s">
        <v>1865</v>
      </c>
      <c r="M474" s="229" t="s">
        <v>1871</v>
      </c>
      <c r="N474" s="229" t="s">
        <v>256</v>
      </c>
      <c r="O474" s="229" t="s">
        <v>261</v>
      </c>
      <c r="P474" s="231"/>
    </row>
    <row r="475" spans="1:16" x14ac:dyDescent="0.25">
      <c r="A475" s="227" t="s">
        <v>2398</v>
      </c>
      <c r="B475" s="228" t="s">
        <v>2399</v>
      </c>
      <c r="C475" s="228" t="s">
        <v>789</v>
      </c>
      <c r="D475" s="228" t="s">
        <v>248</v>
      </c>
      <c r="E475" s="229"/>
      <c r="F475" s="229" t="s">
        <v>139</v>
      </c>
      <c r="G475" s="229" t="s">
        <v>82</v>
      </c>
      <c r="H475" s="229"/>
      <c r="I475" s="229" t="b">
        <v>0</v>
      </c>
      <c r="J475" s="229" t="b">
        <v>0</v>
      </c>
      <c r="K475" s="230" t="b">
        <v>1</v>
      </c>
      <c r="L475" s="229" t="s">
        <v>1871</v>
      </c>
      <c r="M475" s="229" t="s">
        <v>1871</v>
      </c>
      <c r="N475" s="229" t="s">
        <v>271</v>
      </c>
      <c r="O475" s="229" t="s">
        <v>501</v>
      </c>
      <c r="P475" s="231"/>
    </row>
    <row r="476" spans="1:16" ht="26.4" x14ac:dyDescent="0.25">
      <c r="A476" s="227" t="s">
        <v>2400</v>
      </c>
      <c r="B476" s="228" t="s">
        <v>2401</v>
      </c>
      <c r="C476" s="228" t="s">
        <v>789</v>
      </c>
      <c r="D476" s="228" t="s">
        <v>248</v>
      </c>
      <c r="E476" s="229"/>
      <c r="F476" s="229" t="s">
        <v>141</v>
      </c>
      <c r="G476" s="229" t="s">
        <v>82</v>
      </c>
      <c r="H476" s="229"/>
      <c r="I476" s="229">
        <v>0</v>
      </c>
      <c r="J476" s="229">
        <v>-8.8000000000000007</v>
      </c>
      <c r="K476" s="230">
        <v>8.8000000000000007</v>
      </c>
      <c r="L476" s="229" t="s">
        <v>2283</v>
      </c>
      <c r="M476" s="229" t="s">
        <v>1871</v>
      </c>
      <c r="N476" s="229" t="s">
        <v>256</v>
      </c>
      <c r="O476" s="229" t="s">
        <v>261</v>
      </c>
      <c r="P476" s="231"/>
    </row>
    <row r="477" spans="1:16" ht="26.4" x14ac:dyDescent="0.25">
      <c r="A477" s="227" t="s">
        <v>2402</v>
      </c>
      <c r="B477" s="228" t="s">
        <v>2403</v>
      </c>
      <c r="C477" s="228" t="s">
        <v>789</v>
      </c>
      <c r="D477" s="228" t="s">
        <v>248</v>
      </c>
      <c r="E477" s="229"/>
      <c r="F477" s="229" t="s">
        <v>141</v>
      </c>
      <c r="G477" s="229" t="s">
        <v>82</v>
      </c>
      <c r="H477" s="229"/>
      <c r="I477" s="229">
        <v>0</v>
      </c>
      <c r="J477" s="229">
        <v>-8.8000000000000007</v>
      </c>
      <c r="K477" s="230">
        <v>8.8000000000000007</v>
      </c>
      <c r="L477" s="229" t="s">
        <v>2283</v>
      </c>
      <c r="M477" s="229" t="s">
        <v>1871</v>
      </c>
      <c r="N477" s="229" t="s">
        <v>256</v>
      </c>
      <c r="O477" s="229" t="s">
        <v>261</v>
      </c>
      <c r="P477" s="231"/>
    </row>
    <row r="478" spans="1:16" ht="26.4" x14ac:dyDescent="0.25">
      <c r="A478" s="227" t="s">
        <v>2404</v>
      </c>
      <c r="B478" s="228" t="s">
        <v>2405</v>
      </c>
      <c r="C478" s="228" t="s">
        <v>789</v>
      </c>
      <c r="D478" s="228" t="s">
        <v>248</v>
      </c>
      <c r="E478" s="229"/>
      <c r="F478" s="229" t="s">
        <v>141</v>
      </c>
      <c r="G478" s="229" t="s">
        <v>82</v>
      </c>
      <c r="H478" s="229"/>
      <c r="I478" s="229">
        <v>0</v>
      </c>
      <c r="J478" s="229">
        <v>0</v>
      </c>
      <c r="K478" s="230">
        <v>1</v>
      </c>
      <c r="L478" s="229" t="s">
        <v>2283</v>
      </c>
      <c r="M478" s="229" t="s">
        <v>1871</v>
      </c>
      <c r="N478" s="229" t="s">
        <v>260</v>
      </c>
      <c r="O478" s="229" t="s">
        <v>261</v>
      </c>
      <c r="P478" s="231"/>
    </row>
    <row r="479" spans="1:16" x14ac:dyDescent="0.25">
      <c r="A479" s="227" t="s">
        <v>2395</v>
      </c>
      <c r="B479" s="228" t="s">
        <v>2406</v>
      </c>
      <c r="C479" s="228" t="s">
        <v>789</v>
      </c>
      <c r="D479" s="228" t="s">
        <v>248</v>
      </c>
      <c r="E479" s="229"/>
      <c r="F479" s="229" t="s">
        <v>139</v>
      </c>
      <c r="G479" s="229" t="s">
        <v>82</v>
      </c>
      <c r="H479" s="229"/>
      <c r="I479" s="229" t="b">
        <v>0</v>
      </c>
      <c r="J479" s="229" t="b">
        <v>0</v>
      </c>
      <c r="K479" s="230" t="b">
        <v>1</v>
      </c>
      <c r="L479" s="229" t="s">
        <v>1871</v>
      </c>
      <c r="M479" s="229" t="s">
        <v>1871</v>
      </c>
      <c r="N479" s="229" t="s">
        <v>271</v>
      </c>
      <c r="O479" s="229" t="s">
        <v>501</v>
      </c>
      <c r="P479" s="231"/>
    </row>
    <row r="480" spans="1:16" ht="26.4" x14ac:dyDescent="0.25">
      <c r="A480" s="227" t="s">
        <v>2407</v>
      </c>
      <c r="B480" s="228" t="s">
        <v>2408</v>
      </c>
      <c r="C480" s="228" t="s">
        <v>789</v>
      </c>
      <c r="D480" s="228" t="s">
        <v>248</v>
      </c>
      <c r="E480" s="229"/>
      <c r="F480" s="229" t="s">
        <v>141</v>
      </c>
      <c r="G480" s="229" t="s">
        <v>82</v>
      </c>
      <c r="H480" s="229"/>
      <c r="I480" s="229">
        <v>0</v>
      </c>
      <c r="J480" s="229">
        <v>-16</v>
      </c>
      <c r="K480" s="230">
        <v>16</v>
      </c>
      <c r="L480" s="229" t="s">
        <v>2283</v>
      </c>
      <c r="M480" s="229" t="s">
        <v>1871</v>
      </c>
      <c r="N480" s="229" t="s">
        <v>256</v>
      </c>
      <c r="O480" s="229" t="s">
        <v>261</v>
      </c>
      <c r="P480" s="231"/>
    </row>
    <row r="481" spans="1:16" x14ac:dyDescent="0.25">
      <c r="A481" s="227" t="s">
        <v>2409</v>
      </c>
      <c r="B481" s="228" t="s">
        <v>2410</v>
      </c>
      <c r="C481" s="228" t="s">
        <v>789</v>
      </c>
      <c r="D481" s="228" t="s">
        <v>248</v>
      </c>
      <c r="E481" s="229"/>
      <c r="F481" s="229" t="s">
        <v>141</v>
      </c>
      <c r="G481" s="229" t="s">
        <v>82</v>
      </c>
      <c r="H481" s="229"/>
      <c r="I481" s="229">
        <v>0</v>
      </c>
      <c r="J481" s="229">
        <v>-36256.585039999998</v>
      </c>
      <c r="K481" s="230">
        <v>36256.585039999998</v>
      </c>
      <c r="L481" s="229" t="s">
        <v>2376</v>
      </c>
      <c r="M481" s="229" t="s">
        <v>1871</v>
      </c>
      <c r="N481" s="229" t="s">
        <v>1231</v>
      </c>
      <c r="O481" s="229" t="s">
        <v>2411</v>
      </c>
      <c r="P481" s="231"/>
    </row>
    <row r="482" spans="1:16" x14ac:dyDescent="0.25">
      <c r="A482" s="227" t="s">
        <v>2412</v>
      </c>
      <c r="B482" s="228" t="s">
        <v>1871</v>
      </c>
      <c r="C482" s="228" t="s">
        <v>789</v>
      </c>
      <c r="D482" s="228" t="s">
        <v>248</v>
      </c>
      <c r="E482" s="229"/>
      <c r="F482" s="229" t="s">
        <v>139</v>
      </c>
      <c r="G482" s="229" t="s">
        <v>82</v>
      </c>
      <c r="H482" s="229"/>
      <c r="I482" s="229">
        <v>1</v>
      </c>
      <c r="J482" s="229">
        <v>1</v>
      </c>
      <c r="K482" s="230">
        <v>10</v>
      </c>
      <c r="L482" s="229" t="s">
        <v>267</v>
      </c>
      <c r="M482" s="229">
        <v>4.8828125E-4</v>
      </c>
      <c r="N482" s="229" t="s">
        <v>260</v>
      </c>
      <c r="O482" s="229" t="s">
        <v>414</v>
      </c>
      <c r="P482" s="231"/>
    </row>
    <row r="483" spans="1:16" x14ac:dyDescent="0.25">
      <c r="A483" s="227" t="s">
        <v>2413</v>
      </c>
      <c r="B483" s="228" t="s">
        <v>1871</v>
      </c>
      <c r="C483" s="228" t="s">
        <v>789</v>
      </c>
      <c r="D483" s="228" t="s">
        <v>248</v>
      </c>
      <c r="E483" s="229"/>
      <c r="F483" s="229" t="s">
        <v>139</v>
      </c>
      <c r="G483" s="229" t="s">
        <v>82</v>
      </c>
      <c r="H483" s="229"/>
      <c r="I483" s="229">
        <v>0</v>
      </c>
      <c r="J483" s="229">
        <v>0</v>
      </c>
      <c r="K483" s="230">
        <v>0</v>
      </c>
      <c r="L483" s="229" t="s">
        <v>267</v>
      </c>
      <c r="M483" s="229">
        <v>4.8828125E-4</v>
      </c>
      <c r="N483" s="229" t="s">
        <v>260</v>
      </c>
      <c r="O483" s="229" t="s">
        <v>414</v>
      </c>
      <c r="P483" s="231"/>
    </row>
    <row r="484" spans="1:16" x14ac:dyDescent="0.25">
      <c r="A484" s="227" t="s">
        <v>2414</v>
      </c>
      <c r="B484" s="228" t="s">
        <v>2415</v>
      </c>
      <c r="C484" s="228" t="s">
        <v>789</v>
      </c>
      <c r="D484" s="228" t="s">
        <v>248</v>
      </c>
      <c r="E484" s="229"/>
      <c r="F484" s="229" t="s">
        <v>141</v>
      </c>
      <c r="G484" s="229" t="s">
        <v>82</v>
      </c>
      <c r="H484" s="229"/>
      <c r="I484" s="229">
        <v>0</v>
      </c>
      <c r="J484" s="229">
        <v>6.2831000000000001</v>
      </c>
      <c r="K484" s="230">
        <v>628.31849999999997</v>
      </c>
      <c r="L484" s="229" t="s">
        <v>994</v>
      </c>
      <c r="M484" s="229" t="s">
        <v>1871</v>
      </c>
      <c r="N484" s="229" t="s">
        <v>2380</v>
      </c>
      <c r="O484" s="229" t="s">
        <v>816</v>
      </c>
      <c r="P484" s="231"/>
    </row>
    <row r="485" spans="1:16" x14ac:dyDescent="0.25">
      <c r="A485" s="227" t="s">
        <v>2416</v>
      </c>
      <c r="B485" s="228" t="s">
        <v>2417</v>
      </c>
      <c r="C485" s="228" t="s">
        <v>789</v>
      </c>
      <c r="D485" s="228" t="s">
        <v>248</v>
      </c>
      <c r="E485" s="229"/>
      <c r="F485" s="229" t="s">
        <v>141</v>
      </c>
      <c r="G485" s="229" t="s">
        <v>82</v>
      </c>
      <c r="H485" s="229"/>
      <c r="I485" s="229">
        <v>0</v>
      </c>
      <c r="J485" s="229">
        <v>-10000</v>
      </c>
      <c r="K485" s="230">
        <v>10000</v>
      </c>
      <c r="L485" s="229" t="s">
        <v>994</v>
      </c>
      <c r="M485" s="229" t="s">
        <v>1871</v>
      </c>
      <c r="N485" s="229" t="s">
        <v>263</v>
      </c>
      <c r="O485" s="229" t="s">
        <v>1134</v>
      </c>
      <c r="P485" s="231"/>
    </row>
    <row r="486" spans="1:16" x14ac:dyDescent="0.25">
      <c r="A486" s="227" t="s">
        <v>2418</v>
      </c>
      <c r="B486" s="228" t="s">
        <v>2419</v>
      </c>
      <c r="C486" s="228" t="s">
        <v>789</v>
      </c>
      <c r="D486" s="228" t="s">
        <v>248</v>
      </c>
      <c r="E486" s="229"/>
      <c r="F486" s="229" t="s">
        <v>141</v>
      </c>
      <c r="G486" s="229" t="s">
        <v>82</v>
      </c>
      <c r="H486" s="229"/>
      <c r="I486" s="229">
        <v>0</v>
      </c>
      <c r="J486" s="229">
        <v>0</v>
      </c>
      <c r="K486" s="230">
        <v>1</v>
      </c>
      <c r="L486" s="229" t="s">
        <v>267</v>
      </c>
      <c r="M486" s="229" t="s">
        <v>1871</v>
      </c>
      <c r="N486" s="229" t="s">
        <v>260</v>
      </c>
      <c r="O486" s="229" t="s">
        <v>257</v>
      </c>
      <c r="P486" s="231"/>
    </row>
    <row r="487" spans="1:16" x14ac:dyDescent="0.25">
      <c r="A487" s="227" t="s">
        <v>2420</v>
      </c>
      <c r="B487" s="228" t="s">
        <v>2421</v>
      </c>
      <c r="C487" s="228" t="s">
        <v>789</v>
      </c>
      <c r="D487" s="228" t="s">
        <v>248</v>
      </c>
      <c r="E487" s="229"/>
      <c r="F487" s="229" t="s">
        <v>141</v>
      </c>
      <c r="G487" s="229" t="s">
        <v>82</v>
      </c>
      <c r="H487" s="229"/>
      <c r="I487" s="229">
        <v>0</v>
      </c>
      <c r="J487" s="229">
        <v>1</v>
      </c>
      <c r="K487" s="230">
        <v>10</v>
      </c>
      <c r="L487" s="229" t="s">
        <v>267</v>
      </c>
      <c r="M487" s="229" t="s">
        <v>1871</v>
      </c>
      <c r="N487" s="229" t="s">
        <v>260</v>
      </c>
      <c r="O487" s="229" t="s">
        <v>414</v>
      </c>
      <c r="P487" s="231"/>
    </row>
    <row r="488" spans="1:16" x14ac:dyDescent="0.25">
      <c r="A488" s="227" t="s">
        <v>2422</v>
      </c>
      <c r="B488" s="228" t="s">
        <v>2423</v>
      </c>
      <c r="C488" s="228" t="s">
        <v>789</v>
      </c>
      <c r="D488" s="228" t="s">
        <v>248</v>
      </c>
      <c r="E488" s="229"/>
      <c r="F488" s="229" t="s">
        <v>141</v>
      </c>
      <c r="G488" s="229" t="s">
        <v>82</v>
      </c>
      <c r="H488" s="229"/>
      <c r="I488" s="229">
        <v>0</v>
      </c>
      <c r="J488" s="229">
        <v>1</v>
      </c>
      <c r="K488" s="230">
        <v>10</v>
      </c>
      <c r="L488" s="229" t="s">
        <v>267</v>
      </c>
      <c r="M488" s="229" t="s">
        <v>1871</v>
      </c>
      <c r="N488" s="229" t="s">
        <v>260</v>
      </c>
      <c r="O488" s="229" t="s">
        <v>414</v>
      </c>
      <c r="P488" s="231"/>
    </row>
    <row r="489" spans="1:16" x14ac:dyDescent="0.25">
      <c r="A489" s="227" t="s">
        <v>2424</v>
      </c>
      <c r="B489" s="228" t="s">
        <v>2425</v>
      </c>
      <c r="C489" s="228" t="s">
        <v>789</v>
      </c>
      <c r="D489" s="228" t="s">
        <v>248</v>
      </c>
      <c r="E489" s="229"/>
      <c r="F489" s="229" t="s">
        <v>141</v>
      </c>
      <c r="G489" s="229" t="s">
        <v>82</v>
      </c>
      <c r="H489" s="229"/>
      <c r="I489" s="229">
        <v>0</v>
      </c>
      <c r="J489" s="229">
        <v>0</v>
      </c>
      <c r="K489" s="230">
        <v>0.05</v>
      </c>
      <c r="L489" s="229" t="s">
        <v>267</v>
      </c>
      <c r="M489" s="229" t="s">
        <v>1871</v>
      </c>
      <c r="N489" s="229" t="s">
        <v>2426</v>
      </c>
      <c r="O489" s="229" t="s">
        <v>977</v>
      </c>
      <c r="P489" s="231"/>
    </row>
    <row r="490" spans="1:16" x14ac:dyDescent="0.25">
      <c r="A490" s="227" t="s">
        <v>2427</v>
      </c>
      <c r="B490" s="228" t="s">
        <v>2428</v>
      </c>
      <c r="C490" s="228" t="s">
        <v>789</v>
      </c>
      <c r="D490" s="228" t="s">
        <v>248</v>
      </c>
      <c r="E490" s="229"/>
      <c r="F490" s="229" t="s">
        <v>141</v>
      </c>
      <c r="G490" s="229" t="s">
        <v>82</v>
      </c>
      <c r="H490" s="229"/>
      <c r="I490" s="229">
        <v>0</v>
      </c>
      <c r="J490" s="229">
        <v>0</v>
      </c>
      <c r="K490" s="230">
        <v>228.80855434639662</v>
      </c>
      <c r="L490" s="229" t="s">
        <v>267</v>
      </c>
      <c r="M490" s="229" t="s">
        <v>1871</v>
      </c>
      <c r="N490" s="229" t="s">
        <v>256</v>
      </c>
      <c r="O490" s="229" t="s">
        <v>370</v>
      </c>
      <c r="P490" s="231"/>
    </row>
    <row r="491" spans="1:16" x14ac:dyDescent="0.25">
      <c r="A491" s="227" t="s">
        <v>2429</v>
      </c>
      <c r="B491" s="228" t="s">
        <v>2301</v>
      </c>
      <c r="C491" s="228" t="s">
        <v>789</v>
      </c>
      <c r="D491" s="228" t="s">
        <v>248</v>
      </c>
      <c r="E491" s="229"/>
      <c r="F491" s="229" t="s">
        <v>136</v>
      </c>
      <c r="G491" s="229"/>
      <c r="H491" s="229"/>
      <c r="I491" s="229" t="b">
        <v>0</v>
      </c>
      <c r="J491" s="229" t="b">
        <v>0</v>
      </c>
      <c r="K491" s="230" t="b">
        <v>1</v>
      </c>
      <c r="L491" s="229" t="s">
        <v>1871</v>
      </c>
      <c r="M491" s="229"/>
      <c r="N491" s="229" t="s">
        <v>271</v>
      </c>
      <c r="O491" s="229" t="s">
        <v>929</v>
      </c>
      <c r="P491" s="231"/>
    </row>
    <row r="492" spans="1:16" ht="52.8" x14ac:dyDescent="0.25">
      <c r="A492" s="227" t="s">
        <v>2068</v>
      </c>
      <c r="B492" s="228" t="s">
        <v>2069</v>
      </c>
      <c r="C492" s="228" t="s">
        <v>789</v>
      </c>
      <c r="D492" s="228" t="s">
        <v>248</v>
      </c>
      <c r="E492" s="229" t="s">
        <v>2070</v>
      </c>
      <c r="F492" s="229" t="s">
        <v>136</v>
      </c>
      <c r="G492" s="229" t="s">
        <v>82</v>
      </c>
      <c r="H492" s="229"/>
      <c r="I492" s="229">
        <v>0</v>
      </c>
      <c r="J492" s="229">
        <v>0</v>
      </c>
      <c r="K492" s="230">
        <v>2</v>
      </c>
      <c r="L492" s="229">
        <v>1</v>
      </c>
      <c r="M492" s="229"/>
      <c r="N492" s="229" t="s">
        <v>271</v>
      </c>
      <c r="O492" s="229" t="s">
        <v>2071</v>
      </c>
      <c r="P492" s="231"/>
    </row>
    <row r="493" spans="1:16" x14ac:dyDescent="0.25">
      <c r="A493" s="227" t="s">
        <v>2430</v>
      </c>
      <c r="B493" s="228"/>
      <c r="C493" s="228" t="s">
        <v>789</v>
      </c>
      <c r="D493" s="228" t="s">
        <v>248</v>
      </c>
      <c r="E493" s="229"/>
      <c r="F493" s="229" t="s">
        <v>139</v>
      </c>
      <c r="G493" s="229" t="s">
        <v>82</v>
      </c>
      <c r="H493" s="229"/>
      <c r="I493" s="229" t="s">
        <v>1440</v>
      </c>
      <c r="J493" s="229"/>
      <c r="K493" s="230"/>
      <c r="L493" s="229"/>
      <c r="M493" s="229"/>
      <c r="N493" s="229"/>
      <c r="O493" s="229" t="s">
        <v>1960</v>
      </c>
      <c r="P493" s="231"/>
    </row>
    <row r="494" spans="1:16" x14ac:dyDescent="0.25">
      <c r="A494" s="227" t="s">
        <v>2431</v>
      </c>
      <c r="B494" s="228"/>
      <c r="C494" s="228" t="s">
        <v>789</v>
      </c>
      <c r="D494" s="228" t="s">
        <v>248</v>
      </c>
      <c r="E494" s="229"/>
      <c r="F494" s="229" t="s">
        <v>139</v>
      </c>
      <c r="G494" s="229" t="s">
        <v>82</v>
      </c>
      <c r="H494" s="229"/>
      <c r="I494" s="229">
        <v>0</v>
      </c>
      <c r="J494" s="229">
        <v>1.248774347634396E-2</v>
      </c>
      <c r="K494" s="230">
        <v>0.91899740784205686</v>
      </c>
      <c r="L494" s="229" t="s">
        <v>1865</v>
      </c>
      <c r="M494" s="229">
        <v>9.9999999999999995E-8</v>
      </c>
      <c r="N494" s="229" t="s">
        <v>300</v>
      </c>
      <c r="O494" s="229" t="s">
        <v>261</v>
      </c>
      <c r="P494" s="231"/>
    </row>
    <row r="495" spans="1:16" x14ac:dyDescent="0.25">
      <c r="A495" s="227" t="s">
        <v>2432</v>
      </c>
      <c r="B495" s="228"/>
      <c r="C495" s="228" t="s">
        <v>789</v>
      </c>
      <c r="D495" s="228" t="s">
        <v>248</v>
      </c>
      <c r="E495" s="229"/>
      <c r="F495" s="229" t="s">
        <v>139</v>
      </c>
      <c r="G495" s="229" t="s">
        <v>82</v>
      </c>
      <c r="H495" s="229"/>
      <c r="I495" s="229">
        <v>0</v>
      </c>
      <c r="J495" s="229">
        <v>-17.600000000000001</v>
      </c>
      <c r="K495" s="230">
        <v>17.600000000000001</v>
      </c>
      <c r="L495" s="229" t="s">
        <v>1865</v>
      </c>
      <c r="M495" s="229">
        <v>4.8828125E-4</v>
      </c>
      <c r="N495" s="229" t="s">
        <v>300</v>
      </c>
      <c r="O495" s="229" t="s">
        <v>261</v>
      </c>
      <c r="P495" s="231"/>
    </row>
    <row r="496" spans="1:16" x14ac:dyDescent="0.25">
      <c r="A496" s="227" t="s">
        <v>2433</v>
      </c>
      <c r="B496" s="228"/>
      <c r="C496" s="228" t="s">
        <v>789</v>
      </c>
      <c r="D496" s="228" t="s">
        <v>248</v>
      </c>
      <c r="E496" s="229"/>
      <c r="F496" s="229" t="s">
        <v>141</v>
      </c>
      <c r="G496" s="229" t="s">
        <v>82</v>
      </c>
      <c r="H496" s="229"/>
      <c r="I496" s="229">
        <v>0</v>
      </c>
      <c r="J496" s="229">
        <v>-17.600000000000001</v>
      </c>
      <c r="K496" s="230">
        <v>17.600000000000001</v>
      </c>
      <c r="L496" s="229" t="s">
        <v>1865</v>
      </c>
      <c r="M496" s="229" t="s">
        <v>1871</v>
      </c>
      <c r="N496" s="229" t="s">
        <v>256</v>
      </c>
      <c r="O496" s="229" t="s">
        <v>261</v>
      </c>
      <c r="P496" s="231"/>
    </row>
    <row r="497" spans="1:16" x14ac:dyDescent="0.25">
      <c r="A497" s="227" t="s">
        <v>2434</v>
      </c>
      <c r="B497" s="228"/>
      <c r="C497" s="228" t="s">
        <v>789</v>
      </c>
      <c r="D497" s="228" t="s">
        <v>248</v>
      </c>
      <c r="E497" s="229"/>
      <c r="F497" s="229" t="s">
        <v>141</v>
      </c>
      <c r="G497" s="229" t="s">
        <v>82</v>
      </c>
      <c r="H497" s="229"/>
      <c r="I497" s="229">
        <v>0</v>
      </c>
      <c r="J497" s="229">
        <v>-17.600000000000001</v>
      </c>
      <c r="K497" s="230">
        <v>17.600000000000001</v>
      </c>
      <c r="L497" s="229" t="s">
        <v>1865</v>
      </c>
      <c r="M497" s="229" t="s">
        <v>1871</v>
      </c>
      <c r="N497" s="229" t="s">
        <v>256</v>
      </c>
      <c r="O497" s="229" t="s">
        <v>261</v>
      </c>
      <c r="P497" s="231"/>
    </row>
    <row r="498" spans="1:16" x14ac:dyDescent="0.25">
      <c r="A498" s="227" t="s">
        <v>4250</v>
      </c>
      <c r="B498" s="228"/>
      <c r="C498" s="228" t="s">
        <v>789</v>
      </c>
      <c r="D498" s="228" t="s">
        <v>248</v>
      </c>
      <c r="E498" s="229"/>
      <c r="F498" s="229" t="s">
        <v>139</v>
      </c>
      <c r="G498" s="229" t="s">
        <v>82</v>
      </c>
      <c r="H498" s="229"/>
      <c r="I498" s="229" t="s">
        <v>1440</v>
      </c>
      <c r="J498" s="229"/>
      <c r="K498" s="230"/>
      <c r="L498" s="229"/>
      <c r="M498" s="229"/>
      <c r="N498" s="229"/>
      <c r="O498" s="229" t="s">
        <v>1960</v>
      </c>
      <c r="P498" s="231"/>
    </row>
    <row r="499" spans="1:16" x14ac:dyDescent="0.25">
      <c r="A499" s="227" t="s">
        <v>4251</v>
      </c>
      <c r="B499" s="228"/>
      <c r="C499" s="228" t="s">
        <v>789</v>
      </c>
      <c r="D499" s="228" t="s">
        <v>248</v>
      </c>
      <c r="E499" s="229"/>
      <c r="F499" s="229" t="s">
        <v>139</v>
      </c>
      <c r="G499" s="229" t="s">
        <v>82</v>
      </c>
      <c r="H499" s="229"/>
      <c r="I499" s="229">
        <v>0</v>
      </c>
      <c r="J499" s="229">
        <v>1.248774347634396E-2</v>
      </c>
      <c r="K499" s="230">
        <v>0.91899740784205686</v>
      </c>
      <c r="L499" s="229" t="s">
        <v>1865</v>
      </c>
      <c r="M499" s="229">
        <v>9.9999999999999995E-8</v>
      </c>
      <c r="N499" s="229" t="s">
        <v>300</v>
      </c>
      <c r="O499" s="229" t="s">
        <v>261</v>
      </c>
      <c r="P499" s="231"/>
    </row>
    <row r="500" spans="1:16" ht="20.399999999999999" x14ac:dyDescent="0.25">
      <c r="A500" s="227" t="s">
        <v>4252</v>
      </c>
      <c r="B500" s="228"/>
      <c r="C500" s="228" t="s">
        <v>789</v>
      </c>
      <c r="D500" s="228" t="s">
        <v>248</v>
      </c>
      <c r="E500" s="229"/>
      <c r="F500" s="229" t="s">
        <v>139</v>
      </c>
      <c r="G500" s="229" t="s">
        <v>82</v>
      </c>
      <c r="H500" s="229"/>
      <c r="I500" s="229">
        <v>0</v>
      </c>
      <c r="J500" s="229">
        <v>-16</v>
      </c>
      <c r="K500" s="230">
        <v>16</v>
      </c>
      <c r="L500" s="229" t="s">
        <v>1865</v>
      </c>
      <c r="M500" s="229">
        <v>7.8125E-3</v>
      </c>
      <c r="N500" s="229" t="s">
        <v>300</v>
      </c>
      <c r="O500" s="229" t="s">
        <v>261</v>
      </c>
      <c r="P500" s="231"/>
    </row>
    <row r="501" spans="1:16" x14ac:dyDescent="0.25">
      <c r="A501" s="227" t="s">
        <v>4253</v>
      </c>
      <c r="B501" s="228"/>
      <c r="C501" s="228" t="s">
        <v>789</v>
      </c>
      <c r="D501" s="228" t="s">
        <v>248</v>
      </c>
      <c r="E501" s="229"/>
      <c r="F501" s="229" t="s">
        <v>139</v>
      </c>
      <c r="G501" s="229" t="s">
        <v>82</v>
      </c>
      <c r="H501" s="229"/>
      <c r="I501" s="229" t="s">
        <v>1440</v>
      </c>
      <c r="J501" s="229"/>
      <c r="K501" s="230"/>
      <c r="L501" s="229"/>
      <c r="M501" s="229"/>
      <c r="N501" s="229"/>
      <c r="O501" s="229" t="s">
        <v>1960</v>
      </c>
      <c r="P501" s="231"/>
    </row>
    <row r="502" spans="1:16" x14ac:dyDescent="0.25">
      <c r="A502" s="227" t="s">
        <v>4254</v>
      </c>
      <c r="B502" s="228"/>
      <c r="C502" s="228" t="s">
        <v>789</v>
      </c>
      <c r="D502" s="228" t="s">
        <v>248</v>
      </c>
      <c r="E502" s="229"/>
      <c r="F502" s="229" t="s">
        <v>139</v>
      </c>
      <c r="G502" s="229" t="s">
        <v>82</v>
      </c>
      <c r="H502" s="229"/>
      <c r="I502" s="229">
        <v>0</v>
      </c>
      <c r="J502" s="229">
        <v>1.248774347634396E-2</v>
      </c>
      <c r="K502" s="230">
        <v>0.91899740784205686</v>
      </c>
      <c r="L502" s="229" t="s">
        <v>1865</v>
      </c>
      <c r="M502" s="229">
        <v>9.9999999999999995E-8</v>
      </c>
      <c r="N502" s="229" t="s">
        <v>300</v>
      </c>
      <c r="O502" s="229" t="s">
        <v>261</v>
      </c>
      <c r="P502" s="231"/>
    </row>
    <row r="503" spans="1:16" ht="20.399999999999999" x14ac:dyDescent="0.25">
      <c r="A503" s="227" t="s">
        <v>4255</v>
      </c>
      <c r="B503" s="228"/>
      <c r="C503" s="228" t="s">
        <v>789</v>
      </c>
      <c r="D503" s="228" t="s">
        <v>248</v>
      </c>
      <c r="E503" s="229"/>
      <c r="F503" s="229" t="s">
        <v>139</v>
      </c>
      <c r="G503" s="229" t="s">
        <v>82</v>
      </c>
      <c r="H503" s="229"/>
      <c r="I503" s="229">
        <v>0</v>
      </c>
      <c r="J503" s="229">
        <v>-16</v>
      </c>
      <c r="K503" s="230">
        <v>16</v>
      </c>
      <c r="L503" s="229" t="s">
        <v>1865</v>
      </c>
      <c r="M503" s="229">
        <v>7.8125E-3</v>
      </c>
      <c r="N503" s="229" t="s">
        <v>300</v>
      </c>
      <c r="O503" s="229" t="s">
        <v>261</v>
      </c>
      <c r="P503" s="231"/>
    </row>
    <row r="504" spans="1:16" x14ac:dyDescent="0.25">
      <c r="A504" s="227" t="s">
        <v>3652</v>
      </c>
      <c r="B504" s="228" t="s">
        <v>3653</v>
      </c>
      <c r="C504" s="228" t="s">
        <v>3627</v>
      </c>
      <c r="D504" s="228" t="s">
        <v>170</v>
      </c>
      <c r="E504" s="229" t="s">
        <v>3654</v>
      </c>
      <c r="F504" s="229" t="s">
        <v>136</v>
      </c>
      <c r="G504" s="229" t="s">
        <v>82</v>
      </c>
      <c r="H504" s="229"/>
      <c r="I504" s="229">
        <v>0</v>
      </c>
      <c r="J504" s="229">
        <v>-10</v>
      </c>
      <c r="K504" s="230">
        <v>10</v>
      </c>
      <c r="L504" s="229" t="s">
        <v>1865</v>
      </c>
      <c r="M504" s="229"/>
      <c r="N504" s="229" t="s">
        <v>265</v>
      </c>
      <c r="O504" s="229" t="s">
        <v>261</v>
      </c>
      <c r="P504" s="231"/>
    </row>
    <row r="505" spans="1:16" x14ac:dyDescent="0.25">
      <c r="A505" s="227" t="s">
        <v>3655</v>
      </c>
      <c r="B505" s="228" t="s">
        <v>3656</v>
      </c>
      <c r="C505" s="228" t="s">
        <v>3627</v>
      </c>
      <c r="D505" s="228" t="s">
        <v>170</v>
      </c>
      <c r="E505" s="229" t="s">
        <v>3657</v>
      </c>
      <c r="F505" s="229" t="s">
        <v>136</v>
      </c>
      <c r="G505" s="229" t="s">
        <v>82</v>
      </c>
      <c r="H505" s="229"/>
      <c r="I505" s="229">
        <v>0</v>
      </c>
      <c r="J505" s="229">
        <v>-10</v>
      </c>
      <c r="K505" s="230">
        <v>10</v>
      </c>
      <c r="L505" s="229" t="s">
        <v>1865</v>
      </c>
      <c r="M505" s="229"/>
      <c r="N505" s="229" t="s">
        <v>265</v>
      </c>
      <c r="O505" s="229" t="s">
        <v>261</v>
      </c>
      <c r="P505" s="231"/>
    </row>
    <row r="506" spans="1:16" ht="52.8" x14ac:dyDescent="0.25">
      <c r="A506" s="227" t="s">
        <v>2612</v>
      </c>
      <c r="B506" s="228" t="s">
        <v>2069</v>
      </c>
      <c r="C506" s="228" t="s">
        <v>3627</v>
      </c>
      <c r="D506" s="228" t="s">
        <v>170</v>
      </c>
      <c r="E506" s="229" t="s">
        <v>3658</v>
      </c>
      <c r="F506" s="229" t="s">
        <v>136</v>
      </c>
      <c r="G506" s="229" t="s">
        <v>82</v>
      </c>
      <c r="H506" s="229"/>
      <c r="I506" s="229">
        <v>0</v>
      </c>
      <c r="J506" s="229" t="s">
        <v>1871</v>
      </c>
      <c r="K506" s="230" t="s">
        <v>1871</v>
      </c>
      <c r="L506" s="229" t="s">
        <v>3659</v>
      </c>
      <c r="M506" s="229"/>
      <c r="N506" s="229" t="s">
        <v>424</v>
      </c>
      <c r="O506" s="229" t="s">
        <v>2071</v>
      </c>
      <c r="P506" s="231"/>
    </row>
    <row r="507" spans="1:16" ht="26.4" x14ac:dyDescent="0.25">
      <c r="A507" s="227" t="s">
        <v>1884</v>
      </c>
      <c r="B507" s="228" t="s">
        <v>1885</v>
      </c>
      <c r="C507" s="228" t="s">
        <v>3627</v>
      </c>
      <c r="D507" s="228" t="s">
        <v>231</v>
      </c>
      <c r="E507" s="229" t="s">
        <v>3660</v>
      </c>
      <c r="F507" s="229" t="s">
        <v>138</v>
      </c>
      <c r="G507" s="229" t="s">
        <v>82</v>
      </c>
      <c r="H507" s="229"/>
      <c r="I507" s="229">
        <v>0</v>
      </c>
      <c r="J507" s="229">
        <v>-10</v>
      </c>
      <c r="K507" s="230">
        <v>10</v>
      </c>
      <c r="L507" s="229" t="s">
        <v>1865</v>
      </c>
      <c r="M507" s="229">
        <v>2.4413999999999998E-3</v>
      </c>
      <c r="N507" s="229" t="s">
        <v>265</v>
      </c>
      <c r="O507" s="229" t="s">
        <v>261</v>
      </c>
      <c r="P507" s="231"/>
    </row>
    <row r="508" spans="1:16" ht="39.6" x14ac:dyDescent="0.25">
      <c r="A508" s="227" t="s">
        <v>3661</v>
      </c>
      <c r="B508" s="228" t="s">
        <v>3662</v>
      </c>
      <c r="C508" s="228" t="s">
        <v>3627</v>
      </c>
      <c r="D508" s="228" t="s">
        <v>231</v>
      </c>
      <c r="E508" s="229" t="s">
        <v>3663</v>
      </c>
      <c r="F508" s="229" t="s">
        <v>138</v>
      </c>
      <c r="G508" s="229" t="s">
        <v>82</v>
      </c>
      <c r="H508" s="229"/>
      <c r="I508" s="229">
        <v>0</v>
      </c>
      <c r="J508" s="229">
        <v>-10</v>
      </c>
      <c r="K508" s="230">
        <v>10</v>
      </c>
      <c r="L508" s="229" t="s">
        <v>1865</v>
      </c>
      <c r="M508" s="229">
        <v>2.4413999999999998E-3</v>
      </c>
      <c r="N508" s="229" t="s">
        <v>265</v>
      </c>
      <c r="O508" s="229" t="s">
        <v>261</v>
      </c>
      <c r="P508" s="231"/>
    </row>
    <row r="509" spans="1:16" ht="39.6" x14ac:dyDescent="0.25">
      <c r="A509" s="227" t="s">
        <v>3664</v>
      </c>
      <c r="B509" s="228" t="s">
        <v>3665</v>
      </c>
      <c r="C509" s="228" t="s">
        <v>3627</v>
      </c>
      <c r="D509" s="228" t="s">
        <v>231</v>
      </c>
      <c r="E509" s="229" t="s">
        <v>3666</v>
      </c>
      <c r="F509" s="229" t="s">
        <v>138</v>
      </c>
      <c r="G509" s="229" t="s">
        <v>82</v>
      </c>
      <c r="H509" s="229"/>
      <c r="I509" s="229" t="b">
        <v>0</v>
      </c>
      <c r="J509" s="229" t="b">
        <v>0</v>
      </c>
      <c r="K509" s="230" t="b">
        <v>1</v>
      </c>
      <c r="L509" s="229" t="s">
        <v>1871</v>
      </c>
      <c r="M509" s="229" t="s">
        <v>1871</v>
      </c>
      <c r="N509" s="229" t="s">
        <v>424</v>
      </c>
      <c r="O509" s="229" t="s">
        <v>501</v>
      </c>
      <c r="P509" s="231"/>
    </row>
    <row r="510" spans="1:16" ht="26.4" x14ac:dyDescent="0.25">
      <c r="A510" s="227" t="s">
        <v>5041</v>
      </c>
      <c r="B510" s="228" t="s">
        <v>5042</v>
      </c>
      <c r="C510" s="228" t="s">
        <v>3627</v>
      </c>
      <c r="D510" s="228" t="s">
        <v>231</v>
      </c>
      <c r="E510" s="229" t="s">
        <v>5043</v>
      </c>
      <c r="F510" s="229" t="s">
        <v>138</v>
      </c>
      <c r="G510" s="229" t="s">
        <v>82</v>
      </c>
      <c r="H510" s="229"/>
      <c r="I510" s="229">
        <v>0</v>
      </c>
      <c r="J510" s="229">
        <v>-10</v>
      </c>
      <c r="K510" s="230">
        <v>10</v>
      </c>
      <c r="L510" s="229" t="s">
        <v>1865</v>
      </c>
      <c r="M510" s="229">
        <v>2.4413999999999998E-3</v>
      </c>
      <c r="N510" s="229" t="s">
        <v>265</v>
      </c>
      <c r="O510" s="229" t="s">
        <v>261</v>
      </c>
      <c r="P510" s="231"/>
    </row>
    <row r="511" spans="1:16" ht="26.4" x14ac:dyDescent="0.25">
      <c r="A511" s="227" t="s">
        <v>4757</v>
      </c>
      <c r="B511" s="228"/>
      <c r="C511" s="228" t="s">
        <v>3627</v>
      </c>
      <c r="D511" s="228" t="s">
        <v>231</v>
      </c>
      <c r="E511" s="229" t="s">
        <v>3667</v>
      </c>
      <c r="F511" s="229" t="s">
        <v>139</v>
      </c>
      <c r="G511" s="229" t="s">
        <v>82</v>
      </c>
      <c r="H511" s="229"/>
      <c r="I511" s="229">
        <v>0</v>
      </c>
      <c r="J511" s="229">
        <v>-10</v>
      </c>
      <c r="K511" s="230">
        <v>10</v>
      </c>
      <c r="L511" s="229" t="s">
        <v>1865</v>
      </c>
      <c r="M511" s="229">
        <v>4.8828125E-4</v>
      </c>
      <c r="N511" s="229" t="s">
        <v>265</v>
      </c>
      <c r="O511" s="229" t="s">
        <v>261</v>
      </c>
      <c r="P511" s="231"/>
    </row>
    <row r="512" spans="1:16" ht="26.4" x14ac:dyDescent="0.25">
      <c r="A512" s="227" t="s">
        <v>4758</v>
      </c>
      <c r="B512" s="228"/>
      <c r="C512" s="228" t="s">
        <v>3627</v>
      </c>
      <c r="D512" s="228" t="s">
        <v>231</v>
      </c>
      <c r="E512" s="229" t="s">
        <v>3668</v>
      </c>
      <c r="F512" s="229" t="s">
        <v>139</v>
      </c>
      <c r="G512" s="229" t="s">
        <v>82</v>
      </c>
      <c r="H512" s="229"/>
      <c r="I512" s="229">
        <v>0</v>
      </c>
      <c r="J512" s="229">
        <v>-10</v>
      </c>
      <c r="K512" s="230">
        <v>10</v>
      </c>
      <c r="L512" s="229" t="s">
        <v>1865</v>
      </c>
      <c r="M512" s="229">
        <v>4.8828125E-4</v>
      </c>
      <c r="N512" s="229" t="s">
        <v>265</v>
      </c>
      <c r="O512" s="229" t="s">
        <v>261</v>
      </c>
      <c r="P512" s="231"/>
    </row>
    <row r="513" spans="1:16" ht="26.4" x14ac:dyDescent="0.25">
      <c r="A513" s="227" t="s">
        <v>4759</v>
      </c>
      <c r="B513" s="228"/>
      <c r="C513" s="228" t="s">
        <v>3627</v>
      </c>
      <c r="D513" s="228" t="s">
        <v>231</v>
      </c>
      <c r="E513" s="229" t="s">
        <v>3669</v>
      </c>
      <c r="F513" s="229" t="s">
        <v>139</v>
      </c>
      <c r="G513" s="229" t="s">
        <v>82</v>
      </c>
      <c r="H513" s="229"/>
      <c r="I513" s="229">
        <v>0</v>
      </c>
      <c r="J513" s="229">
        <v>-10</v>
      </c>
      <c r="K513" s="230">
        <v>10</v>
      </c>
      <c r="L513" s="229" t="s">
        <v>1865</v>
      </c>
      <c r="M513" s="229">
        <v>4.8828125E-4</v>
      </c>
      <c r="N513" s="229" t="s">
        <v>265</v>
      </c>
      <c r="O513" s="229" t="s">
        <v>261</v>
      </c>
      <c r="P513" s="231"/>
    </row>
    <row r="514" spans="1:16" ht="26.4" x14ac:dyDescent="0.25">
      <c r="A514" s="227" t="s">
        <v>4760</v>
      </c>
      <c r="B514" s="228" t="s">
        <v>3670</v>
      </c>
      <c r="C514" s="228" t="s">
        <v>3627</v>
      </c>
      <c r="D514" s="228" t="s">
        <v>231</v>
      </c>
      <c r="E514" s="229" t="s">
        <v>3671</v>
      </c>
      <c r="F514" s="229" t="s">
        <v>139</v>
      </c>
      <c r="G514" s="229" t="s">
        <v>82</v>
      </c>
      <c r="H514" s="229"/>
      <c r="I514" s="229">
        <v>0</v>
      </c>
      <c r="J514" s="229">
        <v>-20</v>
      </c>
      <c r="K514" s="230">
        <v>20</v>
      </c>
      <c r="L514" s="229" t="s">
        <v>1865</v>
      </c>
      <c r="M514" s="229">
        <v>9.7599999999999998E-4</v>
      </c>
      <c r="N514" s="229" t="s">
        <v>265</v>
      </c>
      <c r="O514" s="229" t="s">
        <v>261</v>
      </c>
      <c r="P514" s="231"/>
    </row>
    <row r="515" spans="1:16" ht="39.6" x14ac:dyDescent="0.25">
      <c r="A515" s="227" t="s">
        <v>4761</v>
      </c>
      <c r="B515" s="228" t="s">
        <v>3672</v>
      </c>
      <c r="C515" s="228" t="s">
        <v>3627</v>
      </c>
      <c r="D515" s="228" t="s">
        <v>231</v>
      </c>
      <c r="E515" s="229" t="s">
        <v>3673</v>
      </c>
      <c r="F515" s="229" t="s">
        <v>139</v>
      </c>
      <c r="G515" s="229" t="s">
        <v>82</v>
      </c>
      <c r="H515" s="229"/>
      <c r="I515" s="229">
        <v>0</v>
      </c>
      <c r="J515" s="229">
        <v>-20</v>
      </c>
      <c r="K515" s="230">
        <v>20</v>
      </c>
      <c r="L515" s="229" t="s">
        <v>1865</v>
      </c>
      <c r="M515" s="229">
        <v>9.7599999999999998E-4</v>
      </c>
      <c r="N515" s="229" t="s">
        <v>265</v>
      </c>
      <c r="O515" s="229" t="s">
        <v>261</v>
      </c>
      <c r="P515" s="231"/>
    </row>
    <row r="516" spans="1:16" ht="52.8" x14ac:dyDescent="0.25">
      <c r="A516" s="227" t="s">
        <v>4762</v>
      </c>
      <c r="B516" s="228" t="s">
        <v>3674</v>
      </c>
      <c r="C516" s="228" t="s">
        <v>3627</v>
      </c>
      <c r="D516" s="228" t="s">
        <v>231</v>
      </c>
      <c r="E516" s="229" t="s">
        <v>3675</v>
      </c>
      <c r="F516" s="229" t="s">
        <v>139</v>
      </c>
      <c r="G516" s="229" t="s">
        <v>82</v>
      </c>
      <c r="H516" s="229"/>
      <c r="I516" s="229">
        <v>0</v>
      </c>
      <c r="J516" s="229">
        <v>-20</v>
      </c>
      <c r="K516" s="230">
        <v>20</v>
      </c>
      <c r="L516" s="229" t="s">
        <v>1865</v>
      </c>
      <c r="M516" s="229">
        <v>9.7599999999999998E-4</v>
      </c>
      <c r="N516" s="229" t="s">
        <v>265</v>
      </c>
      <c r="O516" s="229" t="s">
        <v>261</v>
      </c>
      <c r="P516" s="231"/>
    </row>
    <row r="517" spans="1:16" ht="26.4" x14ac:dyDescent="0.25">
      <c r="A517" s="227" t="s">
        <v>4763</v>
      </c>
      <c r="B517" s="228" t="s">
        <v>2613</v>
      </c>
      <c r="C517" s="228" t="s">
        <v>3627</v>
      </c>
      <c r="D517" s="228" t="s">
        <v>231</v>
      </c>
      <c r="E517" s="229" t="s">
        <v>3676</v>
      </c>
      <c r="F517" s="229" t="s">
        <v>139</v>
      </c>
      <c r="G517" s="229" t="s">
        <v>82</v>
      </c>
      <c r="H517" s="229"/>
      <c r="I517" s="229">
        <v>0</v>
      </c>
      <c r="J517" s="229">
        <v>-20</v>
      </c>
      <c r="K517" s="230">
        <v>20</v>
      </c>
      <c r="L517" s="229" t="s">
        <v>1865</v>
      </c>
      <c r="M517" s="229">
        <v>9.7599999999999998E-4</v>
      </c>
      <c r="N517" s="229" t="s">
        <v>265</v>
      </c>
      <c r="O517" s="229" t="s">
        <v>261</v>
      </c>
      <c r="P517" s="231"/>
    </row>
    <row r="518" spans="1:16" ht="26.4" x14ac:dyDescent="0.25">
      <c r="A518" s="227" t="s">
        <v>4764</v>
      </c>
      <c r="B518" s="228"/>
      <c r="C518" s="228" t="s">
        <v>3627</v>
      </c>
      <c r="D518" s="228" t="s">
        <v>231</v>
      </c>
      <c r="E518" s="229" t="s">
        <v>3677</v>
      </c>
      <c r="F518" s="229" t="s">
        <v>139</v>
      </c>
      <c r="G518" s="229" t="s">
        <v>82</v>
      </c>
      <c r="H518" s="229"/>
      <c r="I518" s="229" t="s">
        <v>3678</v>
      </c>
      <c r="J518" s="229"/>
      <c r="K518" s="230"/>
      <c r="L518" s="229"/>
      <c r="M518" s="229"/>
      <c r="N518" s="229"/>
      <c r="O518" s="229" t="s">
        <v>1960</v>
      </c>
      <c r="P518" s="231"/>
    </row>
    <row r="519" spans="1:16" ht="20.399999999999999" x14ac:dyDescent="0.25">
      <c r="A519" s="227" t="s">
        <v>4765</v>
      </c>
      <c r="B519" s="228"/>
      <c r="C519" s="228" t="s">
        <v>3627</v>
      </c>
      <c r="D519" s="228" t="s">
        <v>231</v>
      </c>
      <c r="E519" s="229" t="s">
        <v>3679</v>
      </c>
      <c r="F519" s="229"/>
      <c r="G519" s="229"/>
      <c r="H519" s="229"/>
      <c r="I519" s="229">
        <v>0</v>
      </c>
      <c r="J519" s="229">
        <v>-20</v>
      </c>
      <c r="K519" s="230">
        <v>20</v>
      </c>
      <c r="L519" s="229" t="s">
        <v>1865</v>
      </c>
      <c r="M519" s="229">
        <v>4.8828125E-4</v>
      </c>
      <c r="N519" s="229" t="s">
        <v>265</v>
      </c>
      <c r="O519" s="229" t="s">
        <v>261</v>
      </c>
      <c r="P519" s="231"/>
    </row>
    <row r="520" spans="1:16" ht="26.4" x14ac:dyDescent="0.25">
      <c r="A520" s="227" t="s">
        <v>4766</v>
      </c>
      <c r="B520" s="228"/>
      <c r="C520" s="228" t="s">
        <v>3627</v>
      </c>
      <c r="D520" s="228" t="s">
        <v>231</v>
      </c>
      <c r="E520" s="229" t="s">
        <v>3680</v>
      </c>
      <c r="F520" s="229"/>
      <c r="G520" s="229"/>
      <c r="H520" s="229"/>
      <c r="I520" s="229" t="s">
        <v>3681</v>
      </c>
      <c r="J520" s="229">
        <v>0</v>
      </c>
      <c r="K520" s="230">
        <v>0.99813255726829198</v>
      </c>
      <c r="L520" s="229" t="s">
        <v>1865</v>
      </c>
      <c r="M520" s="229" t="s">
        <v>3682</v>
      </c>
      <c r="N520" s="229" t="s">
        <v>1871</v>
      </c>
      <c r="O520" s="229" t="s">
        <v>261</v>
      </c>
      <c r="P520" s="231"/>
    </row>
    <row r="521" spans="1:16" ht="39.6" x14ac:dyDescent="0.25">
      <c r="A521" s="227" t="s">
        <v>4767</v>
      </c>
      <c r="B521" s="228"/>
      <c r="C521" s="228" t="s">
        <v>3627</v>
      </c>
      <c r="D521" s="228" t="s">
        <v>231</v>
      </c>
      <c r="E521" s="229" t="s">
        <v>3683</v>
      </c>
      <c r="F521" s="229" t="s">
        <v>139</v>
      </c>
      <c r="G521" s="229" t="s">
        <v>82</v>
      </c>
      <c r="H521" s="229"/>
      <c r="I521" s="229" t="s">
        <v>3678</v>
      </c>
      <c r="J521" s="229"/>
      <c r="K521" s="230"/>
      <c r="L521" s="229"/>
      <c r="M521" s="229"/>
      <c r="N521" s="229"/>
      <c r="O521" s="229" t="s">
        <v>1960</v>
      </c>
      <c r="P521" s="231"/>
    </row>
    <row r="522" spans="1:16" ht="20.399999999999999" x14ac:dyDescent="0.25">
      <c r="A522" s="227" t="s">
        <v>4768</v>
      </c>
      <c r="B522" s="228"/>
      <c r="C522" s="228" t="s">
        <v>3627</v>
      </c>
      <c r="D522" s="228" t="s">
        <v>231</v>
      </c>
      <c r="E522" s="229" t="s">
        <v>3679</v>
      </c>
      <c r="F522" s="229"/>
      <c r="G522" s="229"/>
      <c r="H522" s="229"/>
      <c r="I522" s="229">
        <v>0</v>
      </c>
      <c r="J522" s="229">
        <v>-20</v>
      </c>
      <c r="K522" s="230">
        <v>20</v>
      </c>
      <c r="L522" s="229" t="s">
        <v>1865</v>
      </c>
      <c r="M522" s="229">
        <v>9.7599999999999998E-4</v>
      </c>
      <c r="N522" s="229" t="s">
        <v>265</v>
      </c>
      <c r="O522" s="229" t="s">
        <v>261</v>
      </c>
      <c r="P522" s="231"/>
    </row>
    <row r="523" spans="1:16" ht="26.4" x14ac:dyDescent="0.25">
      <c r="A523" s="227" t="s">
        <v>4769</v>
      </c>
      <c r="B523" s="228"/>
      <c r="C523" s="228" t="s">
        <v>3627</v>
      </c>
      <c r="D523" s="228" t="s">
        <v>231</v>
      </c>
      <c r="E523" s="229" t="s">
        <v>3680</v>
      </c>
      <c r="F523" s="229"/>
      <c r="G523" s="229"/>
      <c r="H523" s="229"/>
      <c r="I523" s="229" t="s">
        <v>3681</v>
      </c>
      <c r="J523" s="229">
        <v>0</v>
      </c>
      <c r="K523" s="230">
        <v>0.61033886256263403</v>
      </c>
      <c r="L523" s="229" t="s">
        <v>1865</v>
      </c>
      <c r="M523" s="229" t="s">
        <v>3682</v>
      </c>
      <c r="N523" s="229" t="s">
        <v>1871</v>
      </c>
      <c r="O523" s="229" t="s">
        <v>261</v>
      </c>
      <c r="P523" s="231"/>
    </row>
    <row r="524" spans="1:16" ht="39.6" x14ac:dyDescent="0.25">
      <c r="A524" s="227" t="s">
        <v>4770</v>
      </c>
      <c r="B524" s="228"/>
      <c r="C524" s="228" t="s">
        <v>3627</v>
      </c>
      <c r="D524" s="228" t="s">
        <v>231</v>
      </c>
      <c r="E524" s="229" t="s">
        <v>3684</v>
      </c>
      <c r="F524" s="229" t="s">
        <v>139</v>
      </c>
      <c r="G524" s="229" t="s">
        <v>82</v>
      </c>
      <c r="H524" s="229"/>
      <c r="I524" s="229" t="s">
        <v>3678</v>
      </c>
      <c r="J524" s="229"/>
      <c r="K524" s="230"/>
      <c r="L524" s="229"/>
      <c r="M524" s="229"/>
      <c r="N524" s="229"/>
      <c r="O524" s="229" t="s">
        <v>1960</v>
      </c>
      <c r="P524" s="231"/>
    </row>
    <row r="525" spans="1:16" ht="20.399999999999999" x14ac:dyDescent="0.25">
      <c r="A525" s="227" t="s">
        <v>4771</v>
      </c>
      <c r="B525" s="228"/>
      <c r="C525" s="228" t="s">
        <v>3627</v>
      </c>
      <c r="D525" s="228" t="s">
        <v>231</v>
      </c>
      <c r="E525" s="229" t="s">
        <v>3679</v>
      </c>
      <c r="F525" s="229"/>
      <c r="G525" s="229"/>
      <c r="H525" s="229"/>
      <c r="I525" s="229">
        <v>0</v>
      </c>
      <c r="J525" s="229">
        <v>-20</v>
      </c>
      <c r="K525" s="230">
        <v>20</v>
      </c>
      <c r="L525" s="229" t="s">
        <v>1865</v>
      </c>
      <c r="M525" s="229">
        <v>9.7599999999999998E-4</v>
      </c>
      <c r="N525" s="229" t="s">
        <v>265</v>
      </c>
      <c r="O525" s="229" t="s">
        <v>261</v>
      </c>
      <c r="P525" s="231"/>
    </row>
    <row r="526" spans="1:16" ht="26.4" x14ac:dyDescent="0.25">
      <c r="A526" s="227" t="s">
        <v>4772</v>
      </c>
      <c r="B526" s="228"/>
      <c r="C526" s="228" t="s">
        <v>3627</v>
      </c>
      <c r="D526" s="228" t="s">
        <v>231</v>
      </c>
      <c r="E526" s="229" t="s">
        <v>3680</v>
      </c>
      <c r="F526" s="229"/>
      <c r="G526" s="229"/>
      <c r="H526" s="229"/>
      <c r="I526" s="229" t="s">
        <v>3681</v>
      </c>
      <c r="J526" s="229">
        <v>0</v>
      </c>
      <c r="K526" s="230">
        <v>0.99813255726803696</v>
      </c>
      <c r="L526" s="229" t="s">
        <v>1865</v>
      </c>
      <c r="M526" s="229" t="s">
        <v>3682</v>
      </c>
      <c r="N526" s="229" t="s">
        <v>1871</v>
      </c>
      <c r="O526" s="229" t="s">
        <v>261</v>
      </c>
      <c r="P526" s="231"/>
    </row>
    <row r="527" spans="1:16" ht="66" x14ac:dyDescent="0.25">
      <c r="A527" s="227" t="s">
        <v>4773</v>
      </c>
      <c r="B527" s="228"/>
      <c r="C527" s="228" t="s">
        <v>3627</v>
      </c>
      <c r="D527" s="228" t="s">
        <v>231</v>
      </c>
      <c r="E527" s="229" t="s">
        <v>3685</v>
      </c>
      <c r="F527" s="229" t="s">
        <v>139</v>
      </c>
      <c r="G527" s="229" t="s">
        <v>82</v>
      </c>
      <c r="H527" s="229"/>
      <c r="I527" s="229" t="s">
        <v>3686</v>
      </c>
      <c r="J527" s="229"/>
      <c r="K527" s="230"/>
      <c r="L527" s="229"/>
      <c r="M527" s="229"/>
      <c r="N527" s="229"/>
      <c r="O527" s="229" t="s">
        <v>1960</v>
      </c>
      <c r="P527" s="231"/>
    </row>
    <row r="528" spans="1:16" ht="20.399999999999999" x14ac:dyDescent="0.25">
      <c r="A528" s="227" t="s">
        <v>4774</v>
      </c>
      <c r="B528" s="228"/>
      <c r="C528" s="228" t="s">
        <v>3627</v>
      </c>
      <c r="D528" s="228" t="s">
        <v>231</v>
      </c>
      <c r="E528" s="229" t="s">
        <v>3679</v>
      </c>
      <c r="F528" s="229"/>
      <c r="G528" s="229"/>
      <c r="H528" s="229"/>
      <c r="I528" s="229" t="s">
        <v>3687</v>
      </c>
      <c r="J528" s="229">
        <v>-20</v>
      </c>
      <c r="K528" s="230">
        <v>20</v>
      </c>
      <c r="L528" s="229" t="s">
        <v>1865</v>
      </c>
      <c r="M528" s="229">
        <v>9.7599999999999998E-4</v>
      </c>
      <c r="N528" s="229" t="s">
        <v>265</v>
      </c>
      <c r="O528" s="229" t="s">
        <v>261</v>
      </c>
      <c r="P528" s="231"/>
    </row>
    <row r="529" spans="1:16" ht="26.4" x14ac:dyDescent="0.25">
      <c r="A529" s="227" t="s">
        <v>4775</v>
      </c>
      <c r="B529" s="228"/>
      <c r="C529" s="228" t="s">
        <v>3627</v>
      </c>
      <c r="D529" s="228" t="s">
        <v>231</v>
      </c>
      <c r="E529" s="229" t="s">
        <v>3680</v>
      </c>
      <c r="F529" s="229"/>
      <c r="G529" s="229"/>
      <c r="H529" s="229"/>
      <c r="I529" s="229" t="s">
        <v>3681</v>
      </c>
      <c r="J529" s="229">
        <v>0</v>
      </c>
      <c r="K529" s="230">
        <v>0.99813255726803696</v>
      </c>
      <c r="L529" s="229" t="s">
        <v>1865</v>
      </c>
      <c r="M529" s="229" t="s">
        <v>3682</v>
      </c>
      <c r="N529" s="229" t="s">
        <v>1871</v>
      </c>
      <c r="O529" s="229" t="s">
        <v>261</v>
      </c>
      <c r="P529" s="231"/>
    </row>
    <row r="530" spans="1:16" ht="132" x14ac:dyDescent="0.25">
      <c r="A530" s="227" t="s">
        <v>4776</v>
      </c>
      <c r="B530" s="228" t="s">
        <v>1883</v>
      </c>
      <c r="C530" s="228" t="s">
        <v>3627</v>
      </c>
      <c r="D530" s="228" t="s">
        <v>231</v>
      </c>
      <c r="E530" s="229"/>
      <c r="F530" s="229" t="s">
        <v>139</v>
      </c>
      <c r="G530" s="229" t="s">
        <v>82</v>
      </c>
      <c r="H530" s="229"/>
      <c r="I530" s="229" t="s">
        <v>2614</v>
      </c>
      <c r="J530" s="229" t="s">
        <v>1883</v>
      </c>
      <c r="K530" s="230" t="s">
        <v>1883</v>
      </c>
      <c r="L530" s="229" t="s">
        <v>2615</v>
      </c>
      <c r="M530" s="229">
        <v>1</v>
      </c>
      <c r="N530" s="229" t="s">
        <v>271</v>
      </c>
      <c r="O530" s="229" t="s">
        <v>2616</v>
      </c>
      <c r="P530" s="231"/>
    </row>
    <row r="531" spans="1:16" ht="66" x14ac:dyDescent="0.25">
      <c r="A531" s="227" t="s">
        <v>4777</v>
      </c>
      <c r="B531" s="228"/>
      <c r="C531" s="228" t="s">
        <v>3627</v>
      </c>
      <c r="D531" s="228" t="s">
        <v>231</v>
      </c>
      <c r="E531" s="229" t="s">
        <v>3688</v>
      </c>
      <c r="F531" s="229" t="s">
        <v>139</v>
      </c>
      <c r="G531" s="229" t="s">
        <v>82</v>
      </c>
      <c r="H531" s="229"/>
      <c r="I531" s="229" t="s">
        <v>3687</v>
      </c>
      <c r="J531" s="229">
        <v>-20</v>
      </c>
      <c r="K531" s="230">
        <v>20</v>
      </c>
      <c r="L531" s="229" t="s">
        <v>1865</v>
      </c>
      <c r="M531" s="229">
        <v>9.7599999999999998E-4</v>
      </c>
      <c r="N531" s="229" t="s">
        <v>265</v>
      </c>
      <c r="O531" s="229" t="s">
        <v>261</v>
      </c>
      <c r="P531" s="231"/>
    </row>
    <row r="532" spans="1:16" x14ac:dyDescent="0.25">
      <c r="A532" s="227" t="s">
        <v>4778</v>
      </c>
      <c r="B532" s="228"/>
      <c r="C532" s="228" t="s">
        <v>3627</v>
      </c>
      <c r="D532" s="228" t="s">
        <v>231</v>
      </c>
      <c r="E532" s="229"/>
      <c r="F532" s="229" t="s">
        <v>141</v>
      </c>
      <c r="G532" s="229" t="s">
        <v>82</v>
      </c>
      <c r="H532" s="229"/>
      <c r="I532" s="229">
        <v>0</v>
      </c>
      <c r="J532" s="229">
        <v>-40</v>
      </c>
      <c r="K532" s="230">
        <v>40</v>
      </c>
      <c r="L532" s="229" t="s">
        <v>1865</v>
      </c>
      <c r="M532" s="229">
        <v>1.952E-3</v>
      </c>
      <c r="N532" s="229" t="s">
        <v>265</v>
      </c>
      <c r="O532" s="229" t="s">
        <v>261</v>
      </c>
      <c r="P532" s="231"/>
    </row>
    <row r="533" spans="1:16" ht="20.399999999999999" x14ac:dyDescent="0.25">
      <c r="A533" s="227" t="s">
        <v>4779</v>
      </c>
      <c r="B533" s="228"/>
      <c r="C533" s="228" t="s">
        <v>3627</v>
      </c>
      <c r="D533" s="228" t="s">
        <v>231</v>
      </c>
      <c r="E533" s="229"/>
      <c r="F533" s="229" t="s">
        <v>141</v>
      </c>
      <c r="G533" s="229" t="s">
        <v>82</v>
      </c>
      <c r="H533" s="229"/>
      <c r="I533" s="229">
        <v>0</v>
      </c>
      <c r="J533" s="229">
        <v>-20</v>
      </c>
      <c r="K533" s="230">
        <v>20</v>
      </c>
      <c r="L533" s="229" t="s">
        <v>1865</v>
      </c>
      <c r="M533" s="229">
        <v>9.7599999999999998E-4</v>
      </c>
      <c r="N533" s="229" t="s">
        <v>265</v>
      </c>
      <c r="O533" s="229" t="s">
        <v>261</v>
      </c>
      <c r="P533" s="231"/>
    </row>
    <row r="534" spans="1:16" x14ac:dyDescent="0.25">
      <c r="A534" s="227" t="s">
        <v>4780</v>
      </c>
      <c r="B534" s="228"/>
      <c r="C534" s="228" t="s">
        <v>3627</v>
      </c>
      <c r="D534" s="228" t="s">
        <v>231</v>
      </c>
      <c r="E534" s="229"/>
      <c r="F534" s="229" t="s">
        <v>141</v>
      </c>
      <c r="G534" s="229" t="s">
        <v>82</v>
      </c>
      <c r="H534" s="229"/>
      <c r="I534" s="229">
        <v>0</v>
      </c>
      <c r="J534" s="229">
        <v>-20</v>
      </c>
      <c r="K534" s="230">
        <v>20</v>
      </c>
      <c r="L534" s="229" t="s">
        <v>1865</v>
      </c>
      <c r="M534" s="229">
        <v>9.7599999999999998E-4</v>
      </c>
      <c r="N534" s="229" t="s">
        <v>265</v>
      </c>
      <c r="O534" s="229" t="s">
        <v>261</v>
      </c>
      <c r="P534" s="231"/>
    </row>
    <row r="535" spans="1:16" x14ac:dyDescent="0.25">
      <c r="A535" s="227" t="s">
        <v>4781</v>
      </c>
      <c r="B535" s="228"/>
      <c r="C535" s="228" t="s">
        <v>3627</v>
      </c>
      <c r="D535" s="228" t="s">
        <v>231</v>
      </c>
      <c r="E535" s="229"/>
      <c r="F535" s="229" t="s">
        <v>141</v>
      </c>
      <c r="G535" s="229" t="s">
        <v>82</v>
      </c>
      <c r="H535" s="229"/>
      <c r="I535" s="229">
        <v>0</v>
      </c>
      <c r="J535" s="229">
        <v>-10</v>
      </c>
      <c r="K535" s="230">
        <v>10</v>
      </c>
      <c r="L535" s="229" t="s">
        <v>1865</v>
      </c>
      <c r="M535" s="229">
        <v>4.8828125E-4</v>
      </c>
      <c r="N535" s="229" t="s">
        <v>265</v>
      </c>
      <c r="O535" s="229" t="s">
        <v>261</v>
      </c>
      <c r="P535" s="231"/>
    </row>
    <row r="536" spans="1:16" ht="20.399999999999999" x14ac:dyDescent="0.25">
      <c r="A536" s="227" t="s">
        <v>4782</v>
      </c>
      <c r="B536" s="228"/>
      <c r="C536" s="228" t="s">
        <v>3627</v>
      </c>
      <c r="D536" s="228" t="s">
        <v>231</v>
      </c>
      <c r="E536" s="229"/>
      <c r="F536" s="229" t="s">
        <v>141</v>
      </c>
      <c r="G536" s="229" t="s">
        <v>82</v>
      </c>
      <c r="H536" s="229"/>
      <c r="I536" s="229">
        <v>0</v>
      </c>
      <c r="J536" s="229">
        <v>-20</v>
      </c>
      <c r="K536" s="230">
        <v>20</v>
      </c>
      <c r="L536" s="229" t="s">
        <v>1865</v>
      </c>
      <c r="M536" s="229">
        <v>9.7599999999999998E-4</v>
      </c>
      <c r="N536" s="229" t="s">
        <v>265</v>
      </c>
      <c r="O536" s="229" t="s">
        <v>261</v>
      </c>
      <c r="P536" s="231"/>
    </row>
    <row r="537" spans="1:16" ht="26.4" x14ac:dyDescent="0.25">
      <c r="A537" s="227" t="s">
        <v>3689</v>
      </c>
      <c r="B537" s="228"/>
      <c r="C537" s="228" t="s">
        <v>3627</v>
      </c>
      <c r="D537" s="228" t="s">
        <v>231</v>
      </c>
      <c r="E537" s="229" t="s">
        <v>3690</v>
      </c>
      <c r="F537" s="229" t="s">
        <v>82</v>
      </c>
      <c r="G537" s="229" t="s">
        <v>82</v>
      </c>
      <c r="H537" s="229"/>
      <c r="I537" s="229" t="s">
        <v>3691</v>
      </c>
      <c r="J537" s="229"/>
      <c r="K537" s="230"/>
      <c r="L537" s="229"/>
      <c r="M537" s="229"/>
      <c r="N537" s="229"/>
      <c r="O537" s="229" t="s">
        <v>2617</v>
      </c>
      <c r="P537" s="231"/>
    </row>
    <row r="538" spans="1:16" ht="26.4" x14ac:dyDescent="0.25">
      <c r="A538" s="227" t="s">
        <v>3692</v>
      </c>
      <c r="B538" s="228" t="s">
        <v>3693</v>
      </c>
      <c r="C538" s="228" t="s">
        <v>3627</v>
      </c>
      <c r="D538" s="228" t="s">
        <v>231</v>
      </c>
      <c r="E538" s="229" t="s">
        <v>3694</v>
      </c>
      <c r="F538" s="229"/>
      <c r="G538" s="229"/>
      <c r="H538" s="229"/>
      <c r="I538" s="229" t="s">
        <v>3691</v>
      </c>
      <c r="J538" s="229">
        <v>-10</v>
      </c>
      <c r="K538" s="230">
        <v>10</v>
      </c>
      <c r="L538" s="229" t="s">
        <v>1865</v>
      </c>
      <c r="M538" s="229">
        <v>4.8828125E-4</v>
      </c>
      <c r="N538" s="229" t="s">
        <v>265</v>
      </c>
      <c r="O538" s="229" t="s">
        <v>261</v>
      </c>
      <c r="P538" s="231"/>
    </row>
    <row r="539" spans="1:16" ht="39.6" x14ac:dyDescent="0.25">
      <c r="A539" s="227" t="s">
        <v>3695</v>
      </c>
      <c r="B539" s="228" t="s">
        <v>3696</v>
      </c>
      <c r="C539" s="228" t="s">
        <v>3627</v>
      </c>
      <c r="D539" s="228" t="s">
        <v>231</v>
      </c>
      <c r="E539" s="229" t="s">
        <v>3697</v>
      </c>
      <c r="F539" s="229"/>
      <c r="G539" s="229"/>
      <c r="H539" s="229"/>
      <c r="I539" s="229" t="s">
        <v>3691</v>
      </c>
      <c r="J539" s="229" t="b">
        <v>0</v>
      </c>
      <c r="K539" s="230" t="b">
        <v>1</v>
      </c>
      <c r="L539" s="229" t="s">
        <v>1871</v>
      </c>
      <c r="M539" s="229" t="s">
        <v>1871</v>
      </c>
      <c r="N539" s="229" t="s">
        <v>424</v>
      </c>
      <c r="O539" s="229" t="s">
        <v>501</v>
      </c>
      <c r="P539" s="231"/>
    </row>
    <row r="540" spans="1:16" x14ac:dyDescent="0.25">
      <c r="A540" s="227" t="s">
        <v>4846</v>
      </c>
      <c r="B540" s="228"/>
      <c r="C540" s="228" t="s">
        <v>3555</v>
      </c>
      <c r="D540" s="228" t="s">
        <v>240</v>
      </c>
      <c r="E540" s="229"/>
      <c r="F540" s="229" t="s">
        <v>139</v>
      </c>
      <c r="G540" s="229" t="s">
        <v>82</v>
      </c>
      <c r="H540" s="229"/>
      <c r="I540" s="229" t="s">
        <v>4847</v>
      </c>
      <c r="J540" s="229">
        <v>0</v>
      </c>
      <c r="K540" s="230">
        <v>65535</v>
      </c>
      <c r="L540" s="229">
        <v>1</v>
      </c>
      <c r="M540" s="229">
        <v>1</v>
      </c>
      <c r="N540" s="229" t="s">
        <v>271</v>
      </c>
      <c r="O540" s="229" t="s">
        <v>267</v>
      </c>
      <c r="P540" s="231"/>
    </row>
    <row r="541" spans="1:16" ht="20.399999999999999" x14ac:dyDescent="0.25">
      <c r="A541" s="227" t="s">
        <v>4848</v>
      </c>
      <c r="B541" s="228"/>
      <c r="C541" s="228" t="s">
        <v>3555</v>
      </c>
      <c r="D541" s="228" t="s">
        <v>240</v>
      </c>
      <c r="E541" s="229"/>
      <c r="F541" s="229" t="s">
        <v>139</v>
      </c>
      <c r="G541" s="229" t="s">
        <v>82</v>
      </c>
      <c r="H541" s="229"/>
      <c r="I541" s="229" t="s">
        <v>4849</v>
      </c>
      <c r="J541" s="229">
        <v>0</v>
      </c>
      <c r="K541" s="230">
        <v>65535</v>
      </c>
      <c r="L541" s="229">
        <v>1</v>
      </c>
      <c r="M541" s="229">
        <v>1</v>
      </c>
      <c r="N541" s="229" t="s">
        <v>271</v>
      </c>
      <c r="O541" s="229" t="s">
        <v>267</v>
      </c>
      <c r="P541" s="231"/>
    </row>
    <row r="542" spans="1:16" ht="20.399999999999999" x14ac:dyDescent="0.25">
      <c r="A542" s="227" t="s">
        <v>4850</v>
      </c>
      <c r="B542" s="228"/>
      <c r="C542" s="228" t="s">
        <v>3555</v>
      </c>
      <c r="D542" s="228" t="s">
        <v>240</v>
      </c>
      <c r="E542" s="229"/>
      <c r="F542" s="229" t="s">
        <v>139</v>
      </c>
      <c r="G542" s="229" t="s">
        <v>82</v>
      </c>
      <c r="H542" s="229"/>
      <c r="I542" s="229" t="s">
        <v>3699</v>
      </c>
      <c r="J542" s="229">
        <v>0</v>
      </c>
      <c r="K542" s="230">
        <v>65535</v>
      </c>
      <c r="L542" s="229">
        <v>1</v>
      </c>
      <c r="M542" s="229">
        <v>1</v>
      </c>
      <c r="N542" s="229" t="s">
        <v>271</v>
      </c>
      <c r="O542" s="229" t="s">
        <v>267</v>
      </c>
      <c r="P542" s="231"/>
    </row>
    <row r="543" spans="1:16" ht="20.399999999999999" x14ac:dyDescent="0.25">
      <c r="A543" s="227" t="s">
        <v>4851</v>
      </c>
      <c r="B543" s="228"/>
      <c r="C543" s="228" t="s">
        <v>3555</v>
      </c>
      <c r="D543" s="228" t="s">
        <v>240</v>
      </c>
      <c r="E543" s="229"/>
      <c r="F543" s="229" t="s">
        <v>139</v>
      </c>
      <c r="G543" s="229" t="s">
        <v>82</v>
      </c>
      <c r="H543" s="229"/>
      <c r="I543" s="229">
        <v>0</v>
      </c>
      <c r="J543" s="229">
        <v>0</v>
      </c>
      <c r="K543" s="230">
        <v>0.99998469999999995</v>
      </c>
      <c r="L543" s="229">
        <v>1.52587890625E-5</v>
      </c>
      <c r="M543" s="229">
        <v>1.52587890625E-5</v>
      </c>
      <c r="N543" s="229" t="s">
        <v>1353</v>
      </c>
      <c r="O543" s="229" t="s">
        <v>977</v>
      </c>
      <c r="P543" s="231"/>
    </row>
    <row r="544" spans="1:16" ht="20.399999999999999" x14ac:dyDescent="0.25">
      <c r="A544" s="227" t="s">
        <v>4852</v>
      </c>
      <c r="B544" s="228"/>
      <c r="C544" s="228" t="s">
        <v>3555</v>
      </c>
      <c r="D544" s="228" t="s">
        <v>240</v>
      </c>
      <c r="E544" s="229"/>
      <c r="F544" s="229" t="s">
        <v>139</v>
      </c>
      <c r="G544" s="229" t="s">
        <v>82</v>
      </c>
      <c r="H544" s="229"/>
      <c r="I544" s="229">
        <v>0</v>
      </c>
      <c r="J544" s="229">
        <v>0</v>
      </c>
      <c r="K544" s="230">
        <v>65535</v>
      </c>
      <c r="L544" s="229">
        <v>1</v>
      </c>
      <c r="M544" s="229">
        <v>1</v>
      </c>
      <c r="N544" s="229" t="s">
        <v>271</v>
      </c>
      <c r="O544" s="229" t="s">
        <v>267</v>
      </c>
      <c r="P544" s="231"/>
    </row>
    <row r="545" spans="1:16" x14ac:dyDescent="0.25">
      <c r="A545" s="227" t="s">
        <v>4853</v>
      </c>
      <c r="B545" s="228"/>
      <c r="C545" s="228" t="s">
        <v>3555</v>
      </c>
      <c r="D545" s="228" t="s">
        <v>240</v>
      </c>
      <c r="E545" s="229"/>
      <c r="F545" s="229" t="s">
        <v>139</v>
      </c>
      <c r="G545" s="229" t="s">
        <v>82</v>
      </c>
      <c r="H545" s="229"/>
      <c r="I545" s="229">
        <v>0</v>
      </c>
      <c r="J545" s="229">
        <v>0</v>
      </c>
      <c r="K545" s="230">
        <v>65535</v>
      </c>
      <c r="L545" s="229">
        <v>1</v>
      </c>
      <c r="M545" s="229">
        <v>1</v>
      </c>
      <c r="N545" s="229" t="s">
        <v>271</v>
      </c>
      <c r="O545" s="229" t="s">
        <v>267</v>
      </c>
      <c r="P545" s="231"/>
    </row>
    <row r="546" spans="1:16" x14ac:dyDescent="0.25">
      <c r="A546" s="227" t="s">
        <v>4854</v>
      </c>
      <c r="B546" s="228"/>
      <c r="C546" s="228" t="s">
        <v>3555</v>
      </c>
      <c r="D546" s="228" t="s">
        <v>240</v>
      </c>
      <c r="E546" s="229"/>
      <c r="F546" s="229" t="s">
        <v>139</v>
      </c>
      <c r="G546" s="229" t="s">
        <v>82</v>
      </c>
      <c r="H546" s="229"/>
      <c r="I546" s="229">
        <v>0</v>
      </c>
      <c r="J546" s="229">
        <v>0</v>
      </c>
      <c r="K546" s="230">
        <v>65535</v>
      </c>
      <c r="L546" s="229">
        <v>1</v>
      </c>
      <c r="M546" s="229">
        <v>1</v>
      </c>
      <c r="N546" s="229" t="s">
        <v>271</v>
      </c>
      <c r="O546" s="229" t="s">
        <v>267</v>
      </c>
      <c r="P546" s="231"/>
    </row>
    <row r="547" spans="1:16" x14ac:dyDescent="0.25">
      <c r="A547" s="227" t="s">
        <v>4855</v>
      </c>
      <c r="B547" s="228"/>
      <c r="C547" s="228" t="s">
        <v>3555</v>
      </c>
      <c r="D547" s="228" t="s">
        <v>240</v>
      </c>
      <c r="E547" s="229"/>
      <c r="F547" s="229" t="s">
        <v>139</v>
      </c>
      <c r="G547" s="229" t="s">
        <v>82</v>
      </c>
      <c r="H547" s="229"/>
      <c r="I547" s="229">
        <v>0</v>
      </c>
      <c r="J547" s="229">
        <v>0</v>
      </c>
      <c r="K547" s="230">
        <v>65535</v>
      </c>
      <c r="L547" s="229">
        <v>1</v>
      </c>
      <c r="M547" s="229">
        <v>1</v>
      </c>
      <c r="N547" s="229" t="s">
        <v>271</v>
      </c>
      <c r="O547" s="229" t="s">
        <v>267</v>
      </c>
      <c r="P547" s="231"/>
    </row>
    <row r="548" spans="1:16" x14ac:dyDescent="0.25">
      <c r="A548" s="227" t="s">
        <v>4856</v>
      </c>
      <c r="B548" s="228"/>
      <c r="C548" s="228" t="s">
        <v>3555</v>
      </c>
      <c r="D548" s="228" t="s">
        <v>240</v>
      </c>
      <c r="E548" s="229"/>
      <c r="F548" s="229" t="s">
        <v>139</v>
      </c>
      <c r="G548" s="229" t="s">
        <v>82</v>
      </c>
      <c r="H548" s="229"/>
      <c r="I548" s="229">
        <v>0</v>
      </c>
      <c r="J548" s="229">
        <v>0</v>
      </c>
      <c r="K548" s="230">
        <v>65535</v>
      </c>
      <c r="L548" s="229">
        <v>1</v>
      </c>
      <c r="M548" s="229">
        <v>1</v>
      </c>
      <c r="N548" s="229" t="s">
        <v>271</v>
      </c>
      <c r="O548" s="229" t="s">
        <v>267</v>
      </c>
      <c r="P548" s="231"/>
    </row>
    <row r="549" spans="1:16" x14ac:dyDescent="0.25">
      <c r="A549" s="227" t="s">
        <v>4857</v>
      </c>
      <c r="B549" s="228"/>
      <c r="C549" s="228" t="s">
        <v>3555</v>
      </c>
      <c r="D549" s="228" t="s">
        <v>240</v>
      </c>
      <c r="E549" s="229"/>
      <c r="F549" s="229" t="s">
        <v>139</v>
      </c>
      <c r="G549" s="229" t="s">
        <v>82</v>
      </c>
      <c r="H549" s="229"/>
      <c r="I549" s="229">
        <v>0</v>
      </c>
      <c r="J549" s="229">
        <v>0</v>
      </c>
      <c r="K549" s="230">
        <v>65535</v>
      </c>
      <c r="L549" s="229">
        <v>1</v>
      </c>
      <c r="M549" s="229">
        <v>1</v>
      </c>
      <c r="N549" s="229" t="s">
        <v>271</v>
      </c>
      <c r="O549" s="229" t="s">
        <v>267</v>
      </c>
      <c r="P549" s="231"/>
    </row>
    <row r="550" spans="1:16" ht="20.399999999999999" x14ac:dyDescent="0.25">
      <c r="A550" s="227" t="s">
        <v>4858</v>
      </c>
      <c r="B550" s="228"/>
      <c r="C550" s="228" t="s">
        <v>3555</v>
      </c>
      <c r="D550" s="228" t="s">
        <v>240</v>
      </c>
      <c r="E550" s="229"/>
      <c r="F550" s="229" t="s">
        <v>139</v>
      </c>
      <c r="G550" s="229" t="s">
        <v>82</v>
      </c>
      <c r="H550" s="229"/>
      <c r="I550" s="229">
        <v>0</v>
      </c>
      <c r="J550" s="229">
        <v>0</v>
      </c>
      <c r="K550" s="230">
        <v>0.99998469999999995</v>
      </c>
      <c r="L550" s="229">
        <v>1.52587890625E-5</v>
      </c>
      <c r="M550" s="229">
        <v>1.52587890625E-5</v>
      </c>
      <c r="N550" s="229" t="s">
        <v>1353</v>
      </c>
      <c r="O550" s="229" t="s">
        <v>977</v>
      </c>
      <c r="P550" s="231"/>
    </row>
    <row r="551" spans="1:16" ht="20.399999999999999" x14ac:dyDescent="0.25">
      <c r="A551" s="227" t="s">
        <v>4859</v>
      </c>
      <c r="B551" s="228"/>
      <c r="C551" s="228" t="s">
        <v>3555</v>
      </c>
      <c r="D551" s="228" t="s">
        <v>240</v>
      </c>
      <c r="E551" s="229"/>
      <c r="F551" s="229" t="s">
        <v>139</v>
      </c>
      <c r="G551" s="229" t="s">
        <v>82</v>
      </c>
      <c r="H551" s="229"/>
      <c r="I551" s="229">
        <v>0</v>
      </c>
      <c r="J551" s="229">
        <v>0</v>
      </c>
      <c r="K551" s="230">
        <v>65535</v>
      </c>
      <c r="L551" s="229">
        <v>1</v>
      </c>
      <c r="M551" s="229">
        <v>1</v>
      </c>
      <c r="N551" s="229" t="s">
        <v>271</v>
      </c>
      <c r="O551" s="229" t="s">
        <v>267</v>
      </c>
      <c r="P551" s="231"/>
    </row>
    <row r="552" spans="1:16" x14ac:dyDescent="0.25">
      <c r="A552" s="227" t="s">
        <v>4860</v>
      </c>
      <c r="B552" s="228"/>
      <c r="C552" s="228" t="s">
        <v>3555</v>
      </c>
      <c r="D552" s="228" t="s">
        <v>240</v>
      </c>
      <c r="E552" s="229"/>
      <c r="F552" s="229" t="s">
        <v>139</v>
      </c>
      <c r="G552" s="229" t="s">
        <v>82</v>
      </c>
      <c r="H552" s="229"/>
      <c r="I552" s="229">
        <v>0</v>
      </c>
      <c r="J552" s="229">
        <v>0</v>
      </c>
      <c r="K552" s="230">
        <v>65535</v>
      </c>
      <c r="L552" s="229">
        <v>1</v>
      </c>
      <c r="M552" s="229">
        <v>1</v>
      </c>
      <c r="N552" s="229" t="s">
        <v>271</v>
      </c>
      <c r="O552" s="229" t="s">
        <v>267</v>
      </c>
      <c r="P552" s="231"/>
    </row>
    <row r="553" spans="1:16" ht="20.399999999999999" x14ac:dyDescent="0.25">
      <c r="A553" s="227" t="s">
        <v>4861</v>
      </c>
      <c r="B553" s="228"/>
      <c r="C553" s="228" t="s">
        <v>3555</v>
      </c>
      <c r="D553" s="228" t="s">
        <v>240</v>
      </c>
      <c r="E553" s="229"/>
      <c r="F553" s="229" t="s">
        <v>139</v>
      </c>
      <c r="G553" s="229" t="s">
        <v>82</v>
      </c>
      <c r="H553" s="229"/>
      <c r="I553" s="229">
        <v>0</v>
      </c>
      <c r="J553" s="229">
        <v>0</v>
      </c>
      <c r="K553" s="230">
        <v>65535</v>
      </c>
      <c r="L553" s="229">
        <v>1</v>
      </c>
      <c r="M553" s="229">
        <v>1</v>
      </c>
      <c r="N553" s="229" t="s">
        <v>271</v>
      </c>
      <c r="O553" s="229" t="s">
        <v>267</v>
      </c>
      <c r="P553" s="231"/>
    </row>
    <row r="554" spans="1:16" x14ac:dyDescent="0.25">
      <c r="A554" s="227" t="s">
        <v>4862</v>
      </c>
      <c r="B554" s="228"/>
      <c r="C554" s="228" t="s">
        <v>3555</v>
      </c>
      <c r="D554" s="228" t="s">
        <v>240</v>
      </c>
      <c r="E554" s="229"/>
      <c r="F554" s="229" t="s">
        <v>139</v>
      </c>
      <c r="G554" s="229" t="s">
        <v>82</v>
      </c>
      <c r="H554" s="229"/>
      <c r="I554" s="229">
        <v>0</v>
      </c>
      <c r="J554" s="229">
        <v>0</v>
      </c>
      <c r="K554" s="230">
        <v>65535</v>
      </c>
      <c r="L554" s="229">
        <v>1</v>
      </c>
      <c r="M554" s="229">
        <v>1</v>
      </c>
      <c r="N554" s="229" t="s">
        <v>271</v>
      </c>
      <c r="O554" s="229" t="s">
        <v>267</v>
      </c>
      <c r="P554" s="231"/>
    </row>
    <row r="555" spans="1:16" ht="20.399999999999999" x14ac:dyDescent="0.25">
      <c r="A555" s="227" t="s">
        <v>4904</v>
      </c>
      <c r="B555" s="228"/>
      <c r="C555" s="228" t="s">
        <v>3555</v>
      </c>
      <c r="D555" s="228" t="s">
        <v>240</v>
      </c>
      <c r="E555" s="229"/>
      <c r="F555" s="229" t="s">
        <v>139</v>
      </c>
      <c r="G555" s="229" t="s">
        <v>82</v>
      </c>
      <c r="H555" s="229"/>
      <c r="I555" s="229">
        <v>0</v>
      </c>
      <c r="J555" s="229">
        <v>0</v>
      </c>
      <c r="K555" s="230">
        <v>0.99998469999999995</v>
      </c>
      <c r="L555" s="229">
        <v>1.52587890625E-5</v>
      </c>
      <c r="M555" s="229">
        <v>1.52587890625E-5</v>
      </c>
      <c r="N555" s="229" t="s">
        <v>1353</v>
      </c>
      <c r="O555" s="229" t="s">
        <v>977</v>
      </c>
      <c r="P555" s="231"/>
    </row>
    <row r="556" spans="1:16" x14ac:dyDescent="0.25">
      <c r="A556" s="227" t="s">
        <v>4863</v>
      </c>
      <c r="B556" s="228"/>
      <c r="C556" s="228" t="s">
        <v>3555</v>
      </c>
      <c r="D556" s="228" t="s">
        <v>240</v>
      </c>
      <c r="E556" s="229"/>
      <c r="F556" s="229" t="s">
        <v>139</v>
      </c>
      <c r="G556" s="229" t="s">
        <v>82</v>
      </c>
      <c r="H556" s="229"/>
      <c r="I556" s="229">
        <v>0</v>
      </c>
      <c r="J556" s="229">
        <v>-512</v>
      </c>
      <c r="K556" s="230">
        <v>511</v>
      </c>
      <c r="L556" s="229">
        <v>1</v>
      </c>
      <c r="M556" s="229">
        <v>1</v>
      </c>
      <c r="N556" s="229" t="s">
        <v>271</v>
      </c>
      <c r="O556" s="229" t="s">
        <v>994</v>
      </c>
      <c r="P556" s="231"/>
    </row>
    <row r="557" spans="1:16" x14ac:dyDescent="0.25">
      <c r="A557" s="227" t="s">
        <v>4864</v>
      </c>
      <c r="B557" s="228"/>
      <c r="C557" s="228" t="s">
        <v>3555</v>
      </c>
      <c r="D557" s="228" t="s">
        <v>240</v>
      </c>
      <c r="E557" s="229"/>
      <c r="F557" s="229" t="s">
        <v>139</v>
      </c>
      <c r="G557" s="229" t="s">
        <v>82</v>
      </c>
      <c r="H557" s="229"/>
      <c r="I557" s="229">
        <v>0</v>
      </c>
      <c r="J557" s="229">
        <v>-512</v>
      </c>
      <c r="K557" s="230">
        <v>511</v>
      </c>
      <c r="L557" s="229">
        <v>1</v>
      </c>
      <c r="M557" s="229">
        <v>1</v>
      </c>
      <c r="N557" s="229" t="s">
        <v>271</v>
      </c>
      <c r="O557" s="229" t="s">
        <v>994</v>
      </c>
      <c r="P557" s="231"/>
    </row>
    <row r="558" spans="1:16" x14ac:dyDescent="0.25">
      <c r="A558" s="227" t="s">
        <v>4865</v>
      </c>
      <c r="B558" s="228"/>
      <c r="C558" s="228" t="s">
        <v>3555</v>
      </c>
      <c r="D558" s="228" t="s">
        <v>240</v>
      </c>
      <c r="E558" s="229"/>
      <c r="F558" s="229" t="s">
        <v>139</v>
      </c>
      <c r="G558" s="229" t="s">
        <v>82</v>
      </c>
      <c r="H558" s="229"/>
      <c r="I558" s="229">
        <v>0</v>
      </c>
      <c r="J558" s="229">
        <v>0</v>
      </c>
      <c r="K558" s="230">
        <v>65535</v>
      </c>
      <c r="L558" s="229">
        <v>1</v>
      </c>
      <c r="M558" s="229">
        <v>1</v>
      </c>
      <c r="N558" s="229" t="s">
        <v>271</v>
      </c>
      <c r="O558" s="229" t="s">
        <v>267</v>
      </c>
      <c r="P558" s="231"/>
    </row>
    <row r="559" spans="1:16" x14ac:dyDescent="0.25">
      <c r="A559" s="227" t="s">
        <v>4866</v>
      </c>
      <c r="B559" s="228"/>
      <c r="C559" s="228" t="s">
        <v>3555</v>
      </c>
      <c r="D559" s="228" t="s">
        <v>240</v>
      </c>
      <c r="E559" s="229"/>
      <c r="F559" s="229" t="s">
        <v>139</v>
      </c>
      <c r="G559" s="229" t="s">
        <v>82</v>
      </c>
      <c r="H559" s="229"/>
      <c r="I559" s="229">
        <v>0</v>
      </c>
      <c r="J559" s="229">
        <v>0</v>
      </c>
      <c r="K559" s="230">
        <v>65535</v>
      </c>
      <c r="L559" s="229">
        <v>1</v>
      </c>
      <c r="M559" s="229">
        <v>1</v>
      </c>
      <c r="N559" s="229" t="s">
        <v>271</v>
      </c>
      <c r="O559" s="229" t="s">
        <v>267</v>
      </c>
      <c r="P559" s="231"/>
    </row>
    <row r="560" spans="1:16" x14ac:dyDescent="0.25">
      <c r="A560" s="227" t="s">
        <v>4867</v>
      </c>
      <c r="B560" s="228"/>
      <c r="C560" s="228" t="s">
        <v>3555</v>
      </c>
      <c r="D560" s="228" t="s">
        <v>240</v>
      </c>
      <c r="E560" s="229"/>
      <c r="F560" s="229" t="s">
        <v>139</v>
      </c>
      <c r="G560" s="229" t="s">
        <v>82</v>
      </c>
      <c r="H560" s="229"/>
      <c r="I560" s="229">
        <v>0</v>
      </c>
      <c r="J560" s="229">
        <v>0</v>
      </c>
      <c r="K560" s="230">
        <v>65535</v>
      </c>
      <c r="L560" s="229">
        <v>1</v>
      </c>
      <c r="M560" s="229">
        <v>1</v>
      </c>
      <c r="N560" s="229" t="s">
        <v>271</v>
      </c>
      <c r="O560" s="229" t="s">
        <v>267</v>
      </c>
      <c r="P560" s="231"/>
    </row>
    <row r="561" spans="1:16" ht="20.399999999999999" x14ac:dyDescent="0.25">
      <c r="A561" s="227" t="s">
        <v>4868</v>
      </c>
      <c r="B561" s="228"/>
      <c r="C561" s="228" t="s">
        <v>3555</v>
      </c>
      <c r="D561" s="228" t="s">
        <v>240</v>
      </c>
      <c r="E561" s="229"/>
      <c r="F561" s="229" t="s">
        <v>141</v>
      </c>
      <c r="G561" s="229" t="s">
        <v>82</v>
      </c>
      <c r="H561" s="229"/>
      <c r="I561" s="229">
        <v>0</v>
      </c>
      <c r="J561" s="229">
        <v>-277</v>
      </c>
      <c r="K561" s="230">
        <v>277</v>
      </c>
      <c r="L561" s="229" t="s">
        <v>4869</v>
      </c>
      <c r="M561" s="229">
        <v>1.52587890625E-5</v>
      </c>
      <c r="N561" s="229" t="s">
        <v>1866</v>
      </c>
      <c r="O561" s="229" t="s">
        <v>261</v>
      </c>
      <c r="P561" s="231"/>
    </row>
    <row r="562" spans="1:16" ht="20.399999999999999" x14ac:dyDescent="0.25">
      <c r="A562" s="227" t="s">
        <v>4870</v>
      </c>
      <c r="B562" s="228"/>
      <c r="C562" s="228" t="s">
        <v>3555</v>
      </c>
      <c r="D562" s="228" t="s">
        <v>240</v>
      </c>
      <c r="E562" s="229"/>
      <c r="F562" s="229" t="s">
        <v>141</v>
      </c>
      <c r="G562" s="229" t="s">
        <v>82</v>
      </c>
      <c r="H562" s="229"/>
      <c r="I562" s="229">
        <v>0</v>
      </c>
      <c r="J562" s="229">
        <v>-277</v>
      </c>
      <c r="K562" s="230">
        <v>277</v>
      </c>
      <c r="L562" s="229" t="s">
        <v>4869</v>
      </c>
      <c r="M562" s="229">
        <v>1.52587890625E-5</v>
      </c>
      <c r="N562" s="229" t="s">
        <v>1866</v>
      </c>
      <c r="O562" s="229" t="s">
        <v>261</v>
      </c>
      <c r="P562" s="231"/>
    </row>
    <row r="563" spans="1:16" ht="20.399999999999999" x14ac:dyDescent="0.25">
      <c r="A563" s="227" t="s">
        <v>4871</v>
      </c>
      <c r="B563" s="228"/>
      <c r="C563" s="228" t="s">
        <v>3555</v>
      </c>
      <c r="D563" s="228" t="s">
        <v>240</v>
      </c>
      <c r="E563" s="229"/>
      <c r="F563" s="229" t="s">
        <v>139</v>
      </c>
      <c r="G563" s="229" t="s">
        <v>82</v>
      </c>
      <c r="H563" s="229"/>
      <c r="I563" s="229">
        <v>0</v>
      </c>
      <c r="J563" s="229">
        <v>-32767.999899999999</v>
      </c>
      <c r="K563" s="230">
        <v>32767.999899999999</v>
      </c>
      <c r="L563" s="229">
        <v>1.52587890625E-5</v>
      </c>
      <c r="M563" s="229">
        <v>1.52587890625E-5</v>
      </c>
      <c r="N563" s="229" t="s">
        <v>1353</v>
      </c>
      <c r="O563" s="229" t="s">
        <v>2378</v>
      </c>
      <c r="P563" s="231"/>
    </row>
    <row r="564" spans="1:16" ht="20.399999999999999" x14ac:dyDescent="0.25">
      <c r="A564" s="227" t="s">
        <v>4872</v>
      </c>
      <c r="B564" s="228"/>
      <c r="C564" s="228" t="s">
        <v>3555</v>
      </c>
      <c r="D564" s="228" t="s">
        <v>240</v>
      </c>
      <c r="E564" s="229"/>
      <c r="F564" s="229" t="s">
        <v>139</v>
      </c>
      <c r="G564" s="229" t="s">
        <v>82</v>
      </c>
      <c r="H564" s="229"/>
      <c r="I564" s="229">
        <v>0</v>
      </c>
      <c r="J564" s="229">
        <v>-277</v>
      </c>
      <c r="K564" s="230">
        <v>277</v>
      </c>
      <c r="L564" s="229">
        <v>1.52587890625E-5</v>
      </c>
      <c r="M564" s="229">
        <v>1.52587890625E-5</v>
      </c>
      <c r="N564" s="229" t="s">
        <v>1353</v>
      </c>
      <c r="O564" s="229" t="s">
        <v>2378</v>
      </c>
      <c r="P564" s="231"/>
    </row>
    <row r="565" spans="1:16" ht="20.399999999999999" x14ac:dyDescent="0.25">
      <c r="A565" s="227" t="s">
        <v>4873</v>
      </c>
      <c r="B565" s="228"/>
      <c r="C565" s="228" t="s">
        <v>3555</v>
      </c>
      <c r="D565" s="228" t="s">
        <v>240</v>
      </c>
      <c r="E565" s="229"/>
      <c r="F565" s="229" t="s">
        <v>139</v>
      </c>
      <c r="G565" s="229" t="s">
        <v>82</v>
      </c>
      <c r="H565" s="229"/>
      <c r="I565" s="229">
        <v>0</v>
      </c>
      <c r="J565" s="229">
        <v>-277</v>
      </c>
      <c r="K565" s="230">
        <v>277</v>
      </c>
      <c r="L565" s="229">
        <v>1.52587890625E-5</v>
      </c>
      <c r="M565" s="229">
        <v>1.52587890625E-5</v>
      </c>
      <c r="N565" s="229" t="s">
        <v>1353</v>
      </c>
      <c r="O565" s="229" t="s">
        <v>2378</v>
      </c>
      <c r="P565" s="231"/>
    </row>
    <row r="566" spans="1:16" ht="20.399999999999999" x14ac:dyDescent="0.25">
      <c r="A566" s="227" t="s">
        <v>4874</v>
      </c>
      <c r="B566" s="228"/>
      <c r="C566" s="228" t="s">
        <v>3555</v>
      </c>
      <c r="D566" s="228" t="s">
        <v>240</v>
      </c>
      <c r="E566" s="229"/>
      <c r="F566" s="229" t="s">
        <v>139</v>
      </c>
      <c r="G566" s="229" t="s">
        <v>82</v>
      </c>
      <c r="H566" s="229"/>
      <c r="I566" s="229">
        <v>0</v>
      </c>
      <c r="J566" s="229">
        <v>-277</v>
      </c>
      <c r="K566" s="230">
        <v>277</v>
      </c>
      <c r="L566" s="229">
        <v>1.52587890625E-5</v>
      </c>
      <c r="M566" s="229">
        <v>1.52587890625E-5</v>
      </c>
      <c r="N566" s="229" t="s">
        <v>1353</v>
      </c>
      <c r="O566" s="229" t="s">
        <v>2378</v>
      </c>
      <c r="P566" s="231"/>
    </row>
    <row r="567" spans="1:16" ht="20.399999999999999" x14ac:dyDescent="0.25">
      <c r="A567" s="227" t="s">
        <v>4875</v>
      </c>
      <c r="B567" s="228"/>
      <c r="C567" s="228" t="s">
        <v>3555</v>
      </c>
      <c r="D567" s="228" t="s">
        <v>240</v>
      </c>
      <c r="E567" s="229"/>
      <c r="F567" s="229" t="s">
        <v>139</v>
      </c>
      <c r="G567" s="229" t="s">
        <v>82</v>
      </c>
      <c r="H567" s="229"/>
      <c r="I567" s="229">
        <v>0</v>
      </c>
      <c r="J567" s="229">
        <v>-277</v>
      </c>
      <c r="K567" s="230">
        <v>277</v>
      </c>
      <c r="L567" s="229">
        <v>1.52587890625E-5</v>
      </c>
      <c r="M567" s="229">
        <v>1.52587890625E-5</v>
      </c>
      <c r="N567" s="229" t="s">
        <v>1353</v>
      </c>
      <c r="O567" s="229" t="s">
        <v>2378</v>
      </c>
      <c r="P567" s="231"/>
    </row>
    <row r="568" spans="1:16" x14ac:dyDescent="0.25">
      <c r="A568" s="227" t="s">
        <v>4829</v>
      </c>
      <c r="B568" s="228"/>
      <c r="C568" s="228" t="s">
        <v>3555</v>
      </c>
      <c r="D568" s="228" t="s">
        <v>240</v>
      </c>
      <c r="E568" s="229"/>
      <c r="F568" s="229" t="s">
        <v>139</v>
      </c>
      <c r="G568" s="229" t="s">
        <v>82</v>
      </c>
      <c r="H568" s="229"/>
      <c r="I568" s="229" t="b">
        <v>0</v>
      </c>
      <c r="J568" s="229" t="b">
        <v>0</v>
      </c>
      <c r="K568" s="230" t="b">
        <v>1</v>
      </c>
      <c r="L568" s="229" t="s">
        <v>1871</v>
      </c>
      <c r="M568" s="229" t="s">
        <v>1871</v>
      </c>
      <c r="N568" s="229" t="s">
        <v>271</v>
      </c>
      <c r="O568" s="229" t="s">
        <v>929</v>
      </c>
      <c r="P568" s="231"/>
    </row>
    <row r="569" spans="1:16" x14ac:dyDescent="0.25">
      <c r="A569" s="227" t="s">
        <v>4830</v>
      </c>
      <c r="B569" s="228"/>
      <c r="C569" s="228" t="s">
        <v>3555</v>
      </c>
      <c r="D569" s="228" t="s">
        <v>240</v>
      </c>
      <c r="E569" s="229"/>
      <c r="F569" s="229" t="s">
        <v>139</v>
      </c>
      <c r="G569" s="229" t="s">
        <v>82</v>
      </c>
      <c r="H569" s="229"/>
      <c r="I569" s="229" t="b">
        <v>0</v>
      </c>
      <c r="J569" s="229" t="b">
        <v>0</v>
      </c>
      <c r="K569" s="230" t="b">
        <v>1</v>
      </c>
      <c r="L569" s="229" t="s">
        <v>1871</v>
      </c>
      <c r="M569" s="229" t="s">
        <v>1871</v>
      </c>
      <c r="N569" s="229" t="s">
        <v>271</v>
      </c>
      <c r="O569" s="229" t="s">
        <v>929</v>
      </c>
      <c r="P569" s="231"/>
    </row>
    <row r="570" spans="1:16" ht="20.399999999999999" x14ac:dyDescent="0.25">
      <c r="A570" s="227" t="s">
        <v>4835</v>
      </c>
      <c r="B570" s="228"/>
      <c r="C570" s="228" t="s">
        <v>3555</v>
      </c>
      <c r="D570" s="228" t="s">
        <v>240</v>
      </c>
      <c r="E570" s="229"/>
      <c r="F570" s="229" t="s">
        <v>139</v>
      </c>
      <c r="G570" s="229" t="s">
        <v>82</v>
      </c>
      <c r="H570" s="229"/>
      <c r="I570" s="229" t="b">
        <v>0</v>
      </c>
      <c r="J570" s="229" t="b">
        <v>0</v>
      </c>
      <c r="K570" s="230" t="b">
        <v>1</v>
      </c>
      <c r="L570" s="229" t="s">
        <v>1871</v>
      </c>
      <c r="M570" s="229" t="s">
        <v>1871</v>
      </c>
      <c r="N570" s="229" t="s">
        <v>271</v>
      </c>
      <c r="O570" s="229" t="s">
        <v>929</v>
      </c>
      <c r="P570" s="231"/>
    </row>
    <row r="571" spans="1:16" ht="20.399999999999999" x14ac:dyDescent="0.25">
      <c r="A571" s="227" t="s">
        <v>4836</v>
      </c>
      <c r="B571" s="228"/>
      <c r="C571" s="228" t="s">
        <v>3555</v>
      </c>
      <c r="D571" s="228" t="s">
        <v>240</v>
      </c>
      <c r="E571" s="229"/>
      <c r="F571" s="229" t="s">
        <v>139</v>
      </c>
      <c r="G571" s="229" t="s">
        <v>82</v>
      </c>
      <c r="H571" s="229"/>
      <c r="I571" s="229" t="b">
        <v>0</v>
      </c>
      <c r="J571" s="229" t="b">
        <v>0</v>
      </c>
      <c r="K571" s="230" t="b">
        <v>1</v>
      </c>
      <c r="L571" s="229" t="s">
        <v>1871</v>
      </c>
      <c r="M571" s="229" t="s">
        <v>1871</v>
      </c>
      <c r="N571" s="229" t="s">
        <v>271</v>
      </c>
      <c r="O571" s="229" t="s">
        <v>929</v>
      </c>
      <c r="P571" s="231"/>
    </row>
    <row r="572" spans="1:16" ht="20.399999999999999" x14ac:dyDescent="0.25">
      <c r="A572" s="227" t="s">
        <v>4831</v>
      </c>
      <c r="B572" s="228"/>
      <c r="C572" s="228" t="s">
        <v>3555</v>
      </c>
      <c r="D572" s="228" t="s">
        <v>240</v>
      </c>
      <c r="E572" s="229"/>
      <c r="F572" s="229" t="s">
        <v>139</v>
      </c>
      <c r="G572" s="229" t="s">
        <v>82</v>
      </c>
      <c r="H572" s="229"/>
      <c r="I572" s="229" t="b">
        <v>0</v>
      </c>
      <c r="J572" s="229" t="b">
        <v>0</v>
      </c>
      <c r="K572" s="230" t="b">
        <v>1</v>
      </c>
      <c r="L572" s="229" t="s">
        <v>1871</v>
      </c>
      <c r="M572" s="229" t="s">
        <v>1871</v>
      </c>
      <c r="N572" s="229" t="s">
        <v>271</v>
      </c>
      <c r="O572" s="229" t="s">
        <v>929</v>
      </c>
      <c r="P572" s="231"/>
    </row>
    <row r="573" spans="1:16" ht="20.399999999999999" x14ac:dyDescent="0.25">
      <c r="A573" s="227" t="s">
        <v>4876</v>
      </c>
      <c r="B573" s="228"/>
      <c r="C573" s="228" t="s">
        <v>3555</v>
      </c>
      <c r="D573" s="228" t="s">
        <v>240</v>
      </c>
      <c r="E573" s="229"/>
      <c r="F573" s="229" t="s">
        <v>139</v>
      </c>
      <c r="G573" s="229" t="s">
        <v>82</v>
      </c>
      <c r="H573" s="229"/>
      <c r="I573" s="229" t="b">
        <v>0</v>
      </c>
      <c r="J573" s="229" t="b">
        <v>0</v>
      </c>
      <c r="K573" s="230" t="b">
        <v>1</v>
      </c>
      <c r="L573" s="229" t="s">
        <v>1871</v>
      </c>
      <c r="M573" s="229" t="s">
        <v>1871</v>
      </c>
      <c r="N573" s="229" t="s">
        <v>271</v>
      </c>
      <c r="O573" s="229" t="s">
        <v>929</v>
      </c>
      <c r="P573" s="231"/>
    </row>
    <row r="574" spans="1:16" ht="20.399999999999999" x14ac:dyDescent="0.25">
      <c r="A574" s="227" t="s">
        <v>4877</v>
      </c>
      <c r="B574" s="228"/>
      <c r="C574" s="228" t="s">
        <v>3555</v>
      </c>
      <c r="D574" s="228" t="s">
        <v>240</v>
      </c>
      <c r="E574" s="229"/>
      <c r="F574" s="229" t="s">
        <v>139</v>
      </c>
      <c r="G574" s="229" t="s">
        <v>82</v>
      </c>
      <c r="H574" s="229"/>
      <c r="I574" s="229" t="b">
        <v>0</v>
      </c>
      <c r="J574" s="229" t="b">
        <v>0</v>
      </c>
      <c r="K574" s="230" t="b">
        <v>1</v>
      </c>
      <c r="L574" s="229" t="s">
        <v>1871</v>
      </c>
      <c r="M574" s="229" t="s">
        <v>1871</v>
      </c>
      <c r="N574" s="229" t="s">
        <v>271</v>
      </c>
      <c r="O574" s="229" t="s">
        <v>929</v>
      </c>
      <c r="P574" s="231"/>
    </row>
    <row r="575" spans="1:16" x14ac:dyDescent="0.25">
      <c r="A575" s="227" t="s">
        <v>4837</v>
      </c>
      <c r="B575" s="228"/>
      <c r="C575" s="228" t="s">
        <v>3555</v>
      </c>
      <c r="D575" s="228" t="s">
        <v>240</v>
      </c>
      <c r="E575" s="229"/>
      <c r="F575" s="229" t="s">
        <v>139</v>
      </c>
      <c r="G575" s="229" t="s">
        <v>82</v>
      </c>
      <c r="H575" s="229"/>
      <c r="I575" s="229">
        <v>0</v>
      </c>
      <c r="J575" s="229">
        <v>0</v>
      </c>
      <c r="K575" s="230">
        <v>255</v>
      </c>
      <c r="L575" s="229">
        <v>1</v>
      </c>
      <c r="M575" s="229">
        <v>1</v>
      </c>
      <c r="N575" s="229" t="s">
        <v>271</v>
      </c>
      <c r="O575" s="229" t="s">
        <v>1003</v>
      </c>
      <c r="P575" s="231"/>
    </row>
    <row r="576" spans="1:16" x14ac:dyDescent="0.25">
      <c r="A576" s="227" t="s">
        <v>4838</v>
      </c>
      <c r="B576" s="228"/>
      <c r="C576" s="228" t="s">
        <v>3555</v>
      </c>
      <c r="D576" s="228" t="s">
        <v>240</v>
      </c>
      <c r="E576" s="229"/>
      <c r="F576" s="229" t="s">
        <v>139</v>
      </c>
      <c r="G576" s="229" t="s">
        <v>82</v>
      </c>
      <c r="H576" s="229"/>
      <c r="I576" s="229">
        <v>0</v>
      </c>
      <c r="J576" s="229">
        <v>0</v>
      </c>
      <c r="K576" s="230">
        <v>255</v>
      </c>
      <c r="L576" s="229">
        <v>1</v>
      </c>
      <c r="M576" s="229">
        <v>1</v>
      </c>
      <c r="N576" s="229" t="s">
        <v>271</v>
      </c>
      <c r="O576" s="229" t="s">
        <v>1003</v>
      </c>
      <c r="P576" s="231"/>
    </row>
    <row r="577" spans="1:16" ht="20.399999999999999" x14ac:dyDescent="0.25">
      <c r="A577" s="227" t="s">
        <v>4839</v>
      </c>
      <c r="B577" s="228"/>
      <c r="C577" s="228" t="s">
        <v>3555</v>
      </c>
      <c r="D577" s="228" t="s">
        <v>240</v>
      </c>
      <c r="E577" s="229"/>
      <c r="F577" s="229" t="s">
        <v>139</v>
      </c>
      <c r="G577" s="229" t="s">
        <v>82</v>
      </c>
      <c r="H577" s="229"/>
      <c r="I577" s="229">
        <v>0</v>
      </c>
      <c r="J577" s="229">
        <v>0</v>
      </c>
      <c r="K577" s="230">
        <v>255</v>
      </c>
      <c r="L577" s="229">
        <v>1</v>
      </c>
      <c r="M577" s="229">
        <v>1</v>
      </c>
      <c r="N577" s="229" t="s">
        <v>271</v>
      </c>
      <c r="O577" s="229" t="s">
        <v>1003</v>
      </c>
      <c r="P577" s="231"/>
    </row>
    <row r="578" spans="1:16" ht="20.399999999999999" x14ac:dyDescent="0.25">
      <c r="A578" s="227" t="s">
        <v>4840</v>
      </c>
      <c r="B578" s="228"/>
      <c r="C578" s="228" t="s">
        <v>3555</v>
      </c>
      <c r="D578" s="228" t="s">
        <v>240</v>
      </c>
      <c r="E578" s="229"/>
      <c r="F578" s="229" t="s">
        <v>139</v>
      </c>
      <c r="G578" s="229" t="s">
        <v>82</v>
      </c>
      <c r="H578" s="229"/>
      <c r="I578" s="229">
        <v>0</v>
      </c>
      <c r="J578" s="229">
        <v>0</v>
      </c>
      <c r="K578" s="230">
        <v>255</v>
      </c>
      <c r="L578" s="229">
        <v>1</v>
      </c>
      <c r="M578" s="229">
        <v>1</v>
      </c>
      <c r="N578" s="229" t="s">
        <v>271</v>
      </c>
      <c r="O578" s="229" t="s">
        <v>1003</v>
      </c>
      <c r="P578" s="231"/>
    </row>
    <row r="579" spans="1:16" ht="26.4" x14ac:dyDescent="0.25">
      <c r="A579" s="227" t="s">
        <v>4878</v>
      </c>
      <c r="B579" s="228"/>
      <c r="C579" s="228" t="s">
        <v>3555</v>
      </c>
      <c r="D579" s="228" t="s">
        <v>240</v>
      </c>
      <c r="E579" s="229"/>
      <c r="F579" s="229" t="s">
        <v>139</v>
      </c>
      <c r="G579" s="229" t="s">
        <v>82</v>
      </c>
      <c r="H579" s="229"/>
      <c r="I579" s="229">
        <v>0</v>
      </c>
      <c r="J579" s="229">
        <v>0</v>
      </c>
      <c r="K579" s="230">
        <v>2</v>
      </c>
      <c r="L579" s="229" t="s">
        <v>1871</v>
      </c>
      <c r="M579" s="229" t="s">
        <v>1871</v>
      </c>
      <c r="N579" s="229" t="s">
        <v>271</v>
      </c>
      <c r="O579" s="229" t="s">
        <v>4879</v>
      </c>
      <c r="P579" s="231"/>
    </row>
    <row r="580" spans="1:16" ht="26.4" x14ac:dyDescent="0.25">
      <c r="A580" s="227" t="s">
        <v>4880</v>
      </c>
      <c r="B580" s="228"/>
      <c r="C580" s="228" t="s">
        <v>3555</v>
      </c>
      <c r="D580" s="228" t="s">
        <v>240</v>
      </c>
      <c r="E580" s="229"/>
      <c r="F580" s="229" t="s">
        <v>139</v>
      </c>
      <c r="G580" s="229" t="s">
        <v>82</v>
      </c>
      <c r="H580" s="229"/>
      <c r="I580" s="229">
        <v>0</v>
      </c>
      <c r="J580" s="229">
        <v>0</v>
      </c>
      <c r="K580" s="230">
        <v>2</v>
      </c>
      <c r="L580" s="229" t="s">
        <v>1871</v>
      </c>
      <c r="M580" s="229" t="s">
        <v>1871</v>
      </c>
      <c r="N580" s="229" t="s">
        <v>271</v>
      </c>
      <c r="O580" s="229" t="s">
        <v>4879</v>
      </c>
      <c r="P580" s="231"/>
    </row>
    <row r="581" spans="1:16" ht="26.4" x14ac:dyDescent="0.25">
      <c r="A581" s="227" t="s">
        <v>4881</v>
      </c>
      <c r="B581" s="228"/>
      <c r="C581" s="228" t="s">
        <v>3555</v>
      </c>
      <c r="D581" s="228" t="s">
        <v>240</v>
      </c>
      <c r="E581" s="229"/>
      <c r="F581" s="229" t="s">
        <v>139</v>
      </c>
      <c r="G581" s="229" t="s">
        <v>82</v>
      </c>
      <c r="H581" s="229"/>
      <c r="I581" s="229">
        <v>0</v>
      </c>
      <c r="J581" s="229">
        <v>0</v>
      </c>
      <c r="K581" s="230">
        <v>2</v>
      </c>
      <c r="L581" s="229" t="s">
        <v>1871</v>
      </c>
      <c r="M581" s="229" t="s">
        <v>1871</v>
      </c>
      <c r="N581" s="229" t="s">
        <v>271</v>
      </c>
      <c r="O581" s="229" t="s">
        <v>4879</v>
      </c>
      <c r="P581" s="231"/>
    </row>
    <row r="582" spans="1:16" ht="26.4" x14ac:dyDescent="0.25">
      <c r="A582" s="227" t="s">
        <v>4882</v>
      </c>
      <c r="B582" s="228"/>
      <c r="C582" s="228" t="s">
        <v>3555</v>
      </c>
      <c r="D582" s="228" t="s">
        <v>240</v>
      </c>
      <c r="E582" s="229"/>
      <c r="F582" s="229" t="s">
        <v>139</v>
      </c>
      <c r="G582" s="229" t="s">
        <v>82</v>
      </c>
      <c r="H582" s="229"/>
      <c r="I582" s="229">
        <v>0</v>
      </c>
      <c r="J582" s="229">
        <v>0</v>
      </c>
      <c r="K582" s="230">
        <v>2</v>
      </c>
      <c r="L582" s="229" t="s">
        <v>1871</v>
      </c>
      <c r="M582" s="229" t="s">
        <v>1871</v>
      </c>
      <c r="N582" s="229" t="s">
        <v>271</v>
      </c>
      <c r="O582" s="229" t="s">
        <v>4879</v>
      </c>
      <c r="P582" s="231"/>
    </row>
    <row r="583" spans="1:16" ht="26.4" x14ac:dyDescent="0.25">
      <c r="A583" s="227" t="s">
        <v>4883</v>
      </c>
      <c r="B583" s="228"/>
      <c r="C583" s="228" t="s">
        <v>3555</v>
      </c>
      <c r="D583" s="228" t="s">
        <v>240</v>
      </c>
      <c r="E583" s="229"/>
      <c r="F583" s="229" t="s">
        <v>139</v>
      </c>
      <c r="G583" s="229" t="s">
        <v>82</v>
      </c>
      <c r="H583" s="229"/>
      <c r="I583" s="229">
        <v>0</v>
      </c>
      <c r="J583" s="229">
        <v>0</v>
      </c>
      <c r="K583" s="230">
        <v>2</v>
      </c>
      <c r="L583" s="229" t="s">
        <v>1871</v>
      </c>
      <c r="M583" s="229" t="s">
        <v>1871</v>
      </c>
      <c r="N583" s="229" t="s">
        <v>271</v>
      </c>
      <c r="O583" s="229" t="s">
        <v>4879</v>
      </c>
      <c r="P583" s="231"/>
    </row>
    <row r="584" spans="1:16" ht="26.4" x14ac:dyDescent="0.25">
      <c r="A584" s="227" t="s">
        <v>4884</v>
      </c>
      <c r="B584" s="228"/>
      <c r="C584" s="228" t="s">
        <v>3555</v>
      </c>
      <c r="D584" s="228" t="s">
        <v>240</v>
      </c>
      <c r="E584" s="229"/>
      <c r="F584" s="229" t="s">
        <v>139</v>
      </c>
      <c r="G584" s="229" t="s">
        <v>82</v>
      </c>
      <c r="H584" s="229"/>
      <c r="I584" s="229">
        <v>0</v>
      </c>
      <c r="J584" s="229">
        <v>0</v>
      </c>
      <c r="K584" s="230">
        <v>2</v>
      </c>
      <c r="L584" s="229" t="s">
        <v>1871</v>
      </c>
      <c r="M584" s="229" t="s">
        <v>1871</v>
      </c>
      <c r="N584" s="229" t="s">
        <v>271</v>
      </c>
      <c r="O584" s="229" t="s">
        <v>4879</v>
      </c>
      <c r="P584" s="231"/>
    </row>
    <row r="585" spans="1:16" x14ac:dyDescent="0.25">
      <c r="A585" s="227" t="s">
        <v>4885</v>
      </c>
      <c r="B585" s="228"/>
      <c r="C585" s="228" t="s">
        <v>3555</v>
      </c>
      <c r="D585" s="228" t="s">
        <v>240</v>
      </c>
      <c r="E585" s="229"/>
      <c r="F585" s="229" t="s">
        <v>136</v>
      </c>
      <c r="G585" s="229" t="s">
        <v>82</v>
      </c>
      <c r="H585" s="229"/>
      <c r="I585" s="229">
        <v>0</v>
      </c>
      <c r="J585" s="229">
        <v>0</v>
      </c>
      <c r="K585" s="230">
        <v>0.99998469999999995</v>
      </c>
      <c r="L585" s="229">
        <v>1.52587890625E-5</v>
      </c>
      <c r="M585" s="229"/>
      <c r="N585" s="229" t="s">
        <v>1353</v>
      </c>
      <c r="O585" s="229" t="s">
        <v>977</v>
      </c>
      <c r="P585" s="231"/>
    </row>
    <row r="586" spans="1:16" x14ac:dyDescent="0.25">
      <c r="A586" s="227" t="s">
        <v>4826</v>
      </c>
      <c r="B586" s="228"/>
      <c r="C586" s="228" t="s">
        <v>3555</v>
      </c>
      <c r="D586" s="228" t="s">
        <v>240</v>
      </c>
      <c r="E586" s="229"/>
      <c r="F586" s="229" t="s">
        <v>136</v>
      </c>
      <c r="G586" s="229" t="s">
        <v>82</v>
      </c>
      <c r="H586" s="229"/>
      <c r="I586" s="229">
        <v>0</v>
      </c>
      <c r="J586" s="229">
        <v>0</v>
      </c>
      <c r="K586" s="230">
        <v>65535</v>
      </c>
      <c r="L586" s="229">
        <v>1</v>
      </c>
      <c r="M586" s="229"/>
      <c r="N586" s="229" t="s">
        <v>271</v>
      </c>
      <c r="O586" s="229">
        <v>1</v>
      </c>
      <c r="P586" s="231"/>
    </row>
    <row r="587" spans="1:16" x14ac:dyDescent="0.25">
      <c r="A587" s="227" t="s">
        <v>4827</v>
      </c>
      <c r="B587" s="228"/>
      <c r="C587" s="228" t="s">
        <v>3555</v>
      </c>
      <c r="D587" s="228" t="s">
        <v>240</v>
      </c>
      <c r="E587" s="229"/>
      <c r="F587" s="229" t="s">
        <v>136</v>
      </c>
      <c r="G587" s="229" t="s">
        <v>82</v>
      </c>
      <c r="H587" s="229"/>
      <c r="I587" s="229">
        <v>0</v>
      </c>
      <c r="J587" s="229">
        <v>0</v>
      </c>
      <c r="K587" s="230">
        <v>65535</v>
      </c>
      <c r="L587" s="229">
        <v>1</v>
      </c>
      <c r="M587" s="229"/>
      <c r="N587" s="229" t="s">
        <v>271</v>
      </c>
      <c r="O587" s="229">
        <v>1</v>
      </c>
      <c r="P587" s="231"/>
    </row>
    <row r="588" spans="1:16" x14ac:dyDescent="0.25">
      <c r="A588" s="227" t="s">
        <v>4828</v>
      </c>
      <c r="B588" s="228"/>
      <c r="C588" s="228" t="s">
        <v>3555</v>
      </c>
      <c r="D588" s="228" t="s">
        <v>240</v>
      </c>
      <c r="E588" s="229"/>
      <c r="F588" s="229" t="s">
        <v>136</v>
      </c>
      <c r="G588" s="229" t="s">
        <v>82</v>
      </c>
      <c r="H588" s="229"/>
      <c r="I588" s="229">
        <v>0</v>
      </c>
      <c r="J588" s="229">
        <v>0</v>
      </c>
      <c r="K588" s="230">
        <v>65535</v>
      </c>
      <c r="L588" s="229">
        <v>1</v>
      </c>
      <c r="M588" s="229"/>
      <c r="N588" s="229" t="s">
        <v>271</v>
      </c>
      <c r="O588" s="229">
        <v>1</v>
      </c>
      <c r="P588" s="231"/>
    </row>
    <row r="589" spans="1:16" x14ac:dyDescent="0.25">
      <c r="A589" s="227" t="s">
        <v>4832</v>
      </c>
      <c r="B589" s="228"/>
      <c r="C589" s="228" t="s">
        <v>3555</v>
      </c>
      <c r="D589" s="228" t="s">
        <v>240</v>
      </c>
      <c r="E589" s="229"/>
      <c r="F589" s="229" t="s">
        <v>136</v>
      </c>
      <c r="G589" s="229" t="s">
        <v>82</v>
      </c>
      <c r="H589" s="229"/>
      <c r="I589" s="229">
        <v>0</v>
      </c>
      <c r="J589" s="229">
        <v>0</v>
      </c>
      <c r="K589" s="230">
        <v>65535</v>
      </c>
      <c r="L589" s="229">
        <v>1</v>
      </c>
      <c r="M589" s="229"/>
      <c r="N589" s="229" t="s">
        <v>271</v>
      </c>
      <c r="O589" s="229">
        <v>1</v>
      </c>
      <c r="P589" s="231"/>
    </row>
    <row r="590" spans="1:16" x14ac:dyDescent="0.25">
      <c r="A590" s="227" t="s">
        <v>4833</v>
      </c>
      <c r="B590" s="228"/>
      <c r="C590" s="228" t="s">
        <v>3555</v>
      </c>
      <c r="D590" s="228" t="s">
        <v>240</v>
      </c>
      <c r="E590" s="229"/>
      <c r="F590" s="229" t="s">
        <v>136</v>
      </c>
      <c r="G590" s="229" t="s">
        <v>82</v>
      </c>
      <c r="H590" s="229"/>
      <c r="I590" s="229">
        <v>0</v>
      </c>
      <c r="J590" s="229">
        <v>0</v>
      </c>
      <c r="K590" s="230">
        <v>65535</v>
      </c>
      <c r="L590" s="229">
        <v>1</v>
      </c>
      <c r="M590" s="229"/>
      <c r="N590" s="229" t="s">
        <v>271</v>
      </c>
      <c r="O590" s="229">
        <v>1</v>
      </c>
      <c r="P590" s="231"/>
    </row>
    <row r="591" spans="1:16" x14ac:dyDescent="0.25">
      <c r="A591" s="227" t="s">
        <v>4886</v>
      </c>
      <c r="B591" s="228"/>
      <c r="C591" s="228" t="s">
        <v>3555</v>
      </c>
      <c r="D591" s="228" t="s">
        <v>240</v>
      </c>
      <c r="E591" s="229"/>
      <c r="F591" s="229" t="s">
        <v>136</v>
      </c>
      <c r="G591" s="229" t="s">
        <v>82</v>
      </c>
      <c r="H591" s="229"/>
      <c r="I591" s="229">
        <v>0</v>
      </c>
      <c r="J591" s="229">
        <v>-277</v>
      </c>
      <c r="K591" s="230">
        <v>277</v>
      </c>
      <c r="L591" s="229" t="s">
        <v>4869</v>
      </c>
      <c r="M591" s="229"/>
      <c r="N591" s="229" t="s">
        <v>1353</v>
      </c>
      <c r="O591" s="229" t="s">
        <v>261</v>
      </c>
      <c r="P591" s="231"/>
    </row>
    <row r="592" spans="1:16" x14ac:dyDescent="0.25">
      <c r="A592" s="227" t="s">
        <v>4887</v>
      </c>
      <c r="B592" s="228"/>
      <c r="C592" s="228" t="s">
        <v>3555</v>
      </c>
      <c r="D592" s="228" t="s">
        <v>240</v>
      </c>
      <c r="E592" s="229"/>
      <c r="F592" s="229" t="s">
        <v>136</v>
      </c>
      <c r="G592" s="229" t="s">
        <v>82</v>
      </c>
      <c r="H592" s="229"/>
      <c r="I592" s="229">
        <v>0</v>
      </c>
      <c r="J592" s="229">
        <v>0</v>
      </c>
      <c r="K592" s="230">
        <v>65535</v>
      </c>
      <c r="L592" s="229">
        <v>1</v>
      </c>
      <c r="M592" s="229"/>
      <c r="N592" s="229" t="s">
        <v>271</v>
      </c>
      <c r="O592" s="229" t="s">
        <v>267</v>
      </c>
      <c r="P592" s="231"/>
    </row>
    <row r="593" spans="1:16" x14ac:dyDescent="0.25">
      <c r="A593" s="227" t="s">
        <v>4888</v>
      </c>
      <c r="B593" s="228"/>
      <c r="C593" s="228" t="s">
        <v>3555</v>
      </c>
      <c r="D593" s="228" t="s">
        <v>240</v>
      </c>
      <c r="E593" s="229"/>
      <c r="F593" s="229" t="s">
        <v>136</v>
      </c>
      <c r="G593" s="229" t="s">
        <v>82</v>
      </c>
      <c r="H593" s="229"/>
      <c r="I593" s="229">
        <v>0</v>
      </c>
      <c r="J593" s="229">
        <v>-1</v>
      </c>
      <c r="K593" s="230">
        <v>1</v>
      </c>
      <c r="L593" s="229">
        <v>1</v>
      </c>
      <c r="M593" s="229"/>
      <c r="N593" s="229" t="s">
        <v>271</v>
      </c>
      <c r="O593" s="229" t="s">
        <v>2265</v>
      </c>
      <c r="P593" s="231"/>
    </row>
    <row r="594" spans="1:16" x14ac:dyDescent="0.25">
      <c r="A594" s="227" t="s">
        <v>2976</v>
      </c>
      <c r="B594" s="228"/>
      <c r="C594" s="228" t="s">
        <v>3555</v>
      </c>
      <c r="D594" s="228" t="s">
        <v>240</v>
      </c>
      <c r="E594" s="229"/>
      <c r="F594" s="229" t="s">
        <v>136</v>
      </c>
      <c r="G594" s="229" t="s">
        <v>82</v>
      </c>
      <c r="H594" s="229"/>
      <c r="I594" s="229">
        <v>0</v>
      </c>
      <c r="J594" s="229">
        <v>-1</v>
      </c>
      <c r="K594" s="230">
        <v>1</v>
      </c>
      <c r="L594" s="229">
        <v>1</v>
      </c>
      <c r="M594" s="229"/>
      <c r="N594" s="229" t="s">
        <v>271</v>
      </c>
      <c r="O594" s="229" t="s">
        <v>2265</v>
      </c>
      <c r="P594" s="231"/>
    </row>
    <row r="595" spans="1:16" x14ac:dyDescent="0.25">
      <c r="A595" s="227" t="s">
        <v>4889</v>
      </c>
      <c r="B595" s="228"/>
      <c r="C595" s="228" t="s">
        <v>3555</v>
      </c>
      <c r="D595" s="228" t="s">
        <v>240</v>
      </c>
      <c r="E595" s="229"/>
      <c r="F595" s="229" t="s">
        <v>136</v>
      </c>
      <c r="G595" s="229" t="s">
        <v>82</v>
      </c>
      <c r="H595" s="229"/>
      <c r="I595" s="229">
        <v>0</v>
      </c>
      <c r="J595" s="229">
        <v>0</v>
      </c>
      <c r="K595" s="230">
        <v>0.99998469999999995</v>
      </c>
      <c r="L595" s="229">
        <v>1.52587890625E-5</v>
      </c>
      <c r="M595" s="229"/>
      <c r="N595" s="229" t="s">
        <v>1353</v>
      </c>
      <c r="O595" s="229" t="s">
        <v>977</v>
      </c>
      <c r="P595" s="231"/>
    </row>
    <row r="596" spans="1:16" x14ac:dyDescent="0.25">
      <c r="A596" s="227" t="s">
        <v>3784</v>
      </c>
      <c r="B596" s="228"/>
      <c r="C596" s="228" t="s">
        <v>3555</v>
      </c>
      <c r="D596" s="228" t="s">
        <v>240</v>
      </c>
      <c r="E596" s="229"/>
      <c r="F596" s="229" t="s">
        <v>136</v>
      </c>
      <c r="G596" s="229" t="s">
        <v>82</v>
      </c>
      <c r="H596" s="229"/>
      <c r="I596" s="229">
        <v>0</v>
      </c>
      <c r="J596" s="229">
        <v>-99720</v>
      </c>
      <c r="K596" s="230">
        <v>99720</v>
      </c>
      <c r="L596" s="229" t="s">
        <v>4869</v>
      </c>
      <c r="M596" s="229"/>
      <c r="N596" s="229" t="s">
        <v>1866</v>
      </c>
      <c r="O596" s="229" t="s">
        <v>261</v>
      </c>
      <c r="P596" s="231"/>
    </row>
    <row r="597" spans="1:16" x14ac:dyDescent="0.25">
      <c r="A597" s="227" t="s">
        <v>4890</v>
      </c>
      <c r="B597" s="228"/>
      <c r="C597" s="228" t="s">
        <v>3555</v>
      </c>
      <c r="D597" s="228" t="s">
        <v>240</v>
      </c>
      <c r="E597" s="229"/>
      <c r="F597" s="229" t="s">
        <v>138</v>
      </c>
      <c r="G597" s="229" t="s">
        <v>82</v>
      </c>
      <c r="H597" s="229"/>
      <c r="I597" s="229">
        <v>0</v>
      </c>
      <c r="J597" s="229">
        <v>-99720</v>
      </c>
      <c r="K597" s="230">
        <v>99720</v>
      </c>
      <c r="L597" s="229" t="s">
        <v>4869</v>
      </c>
      <c r="M597" s="229">
        <v>5.4931640625E-3</v>
      </c>
      <c r="N597" s="229" t="s">
        <v>1866</v>
      </c>
      <c r="O597" s="229" t="s">
        <v>261</v>
      </c>
      <c r="P597" s="231"/>
    </row>
    <row r="598" spans="1:16" x14ac:dyDescent="0.25">
      <c r="A598" s="227" t="s">
        <v>3781</v>
      </c>
      <c r="B598" s="228"/>
      <c r="C598" s="228" t="s">
        <v>3555</v>
      </c>
      <c r="D598" s="228" t="s">
        <v>240</v>
      </c>
      <c r="E598" s="229"/>
      <c r="F598" s="229" t="s">
        <v>138</v>
      </c>
      <c r="G598" s="229" t="s">
        <v>82</v>
      </c>
      <c r="H598" s="229"/>
      <c r="I598" s="229">
        <v>0</v>
      </c>
      <c r="J598" s="229">
        <v>-99720</v>
      </c>
      <c r="K598" s="230">
        <v>99720</v>
      </c>
      <c r="L598" s="229" t="s">
        <v>4869</v>
      </c>
      <c r="M598" s="229">
        <v>5.4931640625E-3</v>
      </c>
      <c r="N598" s="229" t="s">
        <v>1866</v>
      </c>
      <c r="O598" s="229" t="s">
        <v>261</v>
      </c>
      <c r="P598" s="231"/>
    </row>
    <row r="599" spans="1:16" x14ac:dyDescent="0.25">
      <c r="A599" s="227" t="s">
        <v>4024</v>
      </c>
      <c r="B599" s="228"/>
      <c r="C599" s="228" t="s">
        <v>3555</v>
      </c>
      <c r="D599" s="228" t="s">
        <v>240</v>
      </c>
      <c r="E599" s="229"/>
      <c r="F599" s="229" t="s">
        <v>138</v>
      </c>
      <c r="G599" s="229" t="s">
        <v>82</v>
      </c>
      <c r="H599" s="229"/>
      <c r="I599" s="229">
        <v>0</v>
      </c>
      <c r="J599" s="229">
        <v>-99720</v>
      </c>
      <c r="K599" s="230">
        <v>99720</v>
      </c>
      <c r="L599" s="229" t="s">
        <v>4869</v>
      </c>
      <c r="M599" s="229">
        <v>5.4931640625E-3</v>
      </c>
      <c r="N599" s="229" t="s">
        <v>1866</v>
      </c>
      <c r="O599" s="229" t="s">
        <v>261</v>
      </c>
      <c r="P599" s="231"/>
    </row>
    <row r="600" spans="1:16" x14ac:dyDescent="0.25">
      <c r="A600" s="227" t="s">
        <v>3603</v>
      </c>
      <c r="B600" s="228"/>
      <c r="C600" s="228" t="s">
        <v>3555</v>
      </c>
      <c r="D600" s="228" t="s">
        <v>240</v>
      </c>
      <c r="E600" s="229"/>
      <c r="F600" s="229" t="s">
        <v>138</v>
      </c>
      <c r="G600" s="229" t="s">
        <v>82</v>
      </c>
      <c r="H600" s="229"/>
      <c r="I600" s="229">
        <v>0</v>
      </c>
      <c r="J600" s="229">
        <v>0</v>
      </c>
      <c r="K600" s="230">
        <v>0.99998469999999995</v>
      </c>
      <c r="L600" s="229">
        <v>1.52587890625E-5</v>
      </c>
      <c r="M600" s="229">
        <v>1.52587890625E-5</v>
      </c>
      <c r="N600" s="229" t="s">
        <v>1353</v>
      </c>
      <c r="O600" s="229" t="s">
        <v>977</v>
      </c>
      <c r="P600" s="231"/>
    </row>
    <row r="601" spans="1:16" x14ac:dyDescent="0.25">
      <c r="A601" s="227" t="s">
        <v>4891</v>
      </c>
      <c r="B601" s="228"/>
      <c r="C601" s="228" t="s">
        <v>3555</v>
      </c>
      <c r="D601" s="228" t="s">
        <v>240</v>
      </c>
      <c r="E601" s="229"/>
      <c r="F601" s="229" t="s">
        <v>138</v>
      </c>
      <c r="G601" s="229" t="s">
        <v>82</v>
      </c>
      <c r="H601" s="229"/>
      <c r="I601" s="229">
        <v>0</v>
      </c>
      <c r="J601" s="229">
        <v>-99720</v>
      </c>
      <c r="K601" s="230">
        <v>99720</v>
      </c>
      <c r="L601" s="229" t="s">
        <v>4869</v>
      </c>
      <c r="M601" s="229">
        <v>5.4931640625E-3</v>
      </c>
      <c r="N601" s="229" t="s">
        <v>1866</v>
      </c>
      <c r="O601" s="229" t="s">
        <v>261</v>
      </c>
      <c r="P601" s="231"/>
    </row>
    <row r="602" spans="1:16" x14ac:dyDescent="0.25">
      <c r="A602" s="227" t="s">
        <v>4892</v>
      </c>
      <c r="B602" s="228"/>
      <c r="C602" s="228" t="s">
        <v>3555</v>
      </c>
      <c r="D602" s="228" t="s">
        <v>240</v>
      </c>
      <c r="E602" s="229"/>
      <c r="F602" s="229" t="s">
        <v>138</v>
      </c>
      <c r="G602" s="229" t="s">
        <v>82</v>
      </c>
      <c r="H602" s="229"/>
      <c r="I602" s="229">
        <v>0</v>
      </c>
      <c r="J602" s="229">
        <v>0</v>
      </c>
      <c r="K602" s="230">
        <v>255</v>
      </c>
      <c r="L602" s="229">
        <v>1</v>
      </c>
      <c r="M602" s="229">
        <v>1</v>
      </c>
      <c r="N602" s="229" t="s">
        <v>271</v>
      </c>
      <c r="O602" s="229" t="s">
        <v>1003</v>
      </c>
      <c r="P602" s="231"/>
    </row>
    <row r="603" spans="1:16" x14ac:dyDescent="0.25">
      <c r="A603" s="227" t="s">
        <v>4893</v>
      </c>
      <c r="B603" s="228"/>
      <c r="C603" s="228" t="s">
        <v>3555</v>
      </c>
      <c r="D603" s="228" t="s">
        <v>240</v>
      </c>
      <c r="E603" s="229"/>
      <c r="F603" s="229" t="s">
        <v>138</v>
      </c>
      <c r="G603" s="229" t="s">
        <v>82</v>
      </c>
      <c r="H603" s="229"/>
      <c r="I603" s="229">
        <v>0</v>
      </c>
      <c r="J603" s="229">
        <v>0</v>
      </c>
      <c r="K603" s="230">
        <v>255</v>
      </c>
      <c r="L603" s="229">
        <v>1</v>
      </c>
      <c r="M603" s="229">
        <v>1</v>
      </c>
      <c r="N603" s="229" t="s">
        <v>271</v>
      </c>
      <c r="O603" s="229" t="s">
        <v>1003</v>
      </c>
      <c r="P603" s="231"/>
    </row>
    <row r="604" spans="1:16" ht="26.4" x14ac:dyDescent="0.25">
      <c r="A604" s="227" t="s">
        <v>4894</v>
      </c>
      <c r="B604" s="228"/>
      <c r="C604" s="228" t="s">
        <v>3555</v>
      </c>
      <c r="D604" s="228" t="s">
        <v>240</v>
      </c>
      <c r="E604" s="229"/>
      <c r="F604" s="229" t="s">
        <v>136</v>
      </c>
      <c r="G604" s="229" t="s">
        <v>82</v>
      </c>
      <c r="H604" s="229"/>
      <c r="I604" s="229">
        <v>0</v>
      </c>
      <c r="J604" s="229" t="s">
        <v>1871</v>
      </c>
      <c r="K604" s="230" t="s">
        <v>1871</v>
      </c>
      <c r="L604" s="229" t="s">
        <v>1871</v>
      </c>
      <c r="M604" s="229"/>
      <c r="N604" s="229" t="s">
        <v>4895</v>
      </c>
      <c r="O604" s="229" t="s">
        <v>1871</v>
      </c>
      <c r="P604" s="231"/>
    </row>
    <row r="605" spans="1:16" x14ac:dyDescent="0.25">
      <c r="A605" s="227" t="s">
        <v>3602</v>
      </c>
      <c r="B605" s="228"/>
      <c r="C605" s="228" t="s">
        <v>3555</v>
      </c>
      <c r="D605" s="228" t="s">
        <v>240</v>
      </c>
      <c r="E605" s="229"/>
      <c r="F605" s="229" t="s">
        <v>138</v>
      </c>
      <c r="G605" s="229" t="s">
        <v>82</v>
      </c>
      <c r="H605" s="229"/>
      <c r="I605" s="229">
        <v>0</v>
      </c>
      <c r="J605" s="229">
        <v>0</v>
      </c>
      <c r="K605" s="230">
        <v>0.99998469999999995</v>
      </c>
      <c r="L605" s="229">
        <v>1.52587890625E-5</v>
      </c>
      <c r="M605" s="229">
        <v>1.52587890625E-5</v>
      </c>
      <c r="N605" s="229" t="s">
        <v>1353</v>
      </c>
      <c r="O605" s="229" t="s">
        <v>977</v>
      </c>
      <c r="P605" s="231"/>
    </row>
    <row r="606" spans="1:16" x14ac:dyDescent="0.25">
      <c r="A606" s="227" t="s">
        <v>4896</v>
      </c>
      <c r="B606" s="228"/>
      <c r="C606" s="228" t="s">
        <v>3555</v>
      </c>
      <c r="D606" s="228" t="s">
        <v>240</v>
      </c>
      <c r="E606" s="229"/>
      <c r="F606" s="229" t="s">
        <v>138</v>
      </c>
      <c r="G606" s="229" t="s">
        <v>82</v>
      </c>
      <c r="H606" s="229"/>
      <c r="I606" s="229">
        <v>0</v>
      </c>
      <c r="J606" s="229">
        <v>0</v>
      </c>
      <c r="K606" s="230">
        <v>0.99998469999999995</v>
      </c>
      <c r="L606" s="229">
        <v>1.52587890625E-5</v>
      </c>
      <c r="M606" s="229">
        <v>1.52587890625E-5</v>
      </c>
      <c r="N606" s="229" t="s">
        <v>1353</v>
      </c>
      <c r="O606" s="229" t="s">
        <v>977</v>
      </c>
      <c r="P606" s="231"/>
    </row>
    <row r="607" spans="1:16" x14ac:dyDescent="0.25">
      <c r="A607" s="227" t="s">
        <v>4897</v>
      </c>
      <c r="B607" s="228"/>
      <c r="C607" s="228" t="s">
        <v>3555</v>
      </c>
      <c r="D607" s="228" t="s">
        <v>240</v>
      </c>
      <c r="E607" s="229"/>
      <c r="F607" s="229" t="s">
        <v>138</v>
      </c>
      <c r="G607" s="229" t="s">
        <v>82</v>
      </c>
      <c r="H607" s="229"/>
      <c r="I607" s="229">
        <v>0</v>
      </c>
      <c r="J607" s="229">
        <v>0</v>
      </c>
      <c r="K607" s="230">
        <v>0.99998469999999995</v>
      </c>
      <c r="L607" s="229">
        <v>1.52587890625E-5</v>
      </c>
      <c r="M607" s="229">
        <v>1.52587890625E-5</v>
      </c>
      <c r="N607" s="229" t="s">
        <v>1353</v>
      </c>
      <c r="O607" s="229" t="s">
        <v>977</v>
      </c>
      <c r="P607" s="231"/>
    </row>
    <row r="608" spans="1:16" x14ac:dyDescent="0.25">
      <c r="A608" s="227" t="s">
        <v>4898</v>
      </c>
      <c r="B608" s="228"/>
      <c r="C608" s="228" t="s">
        <v>3555</v>
      </c>
      <c r="D608" s="228" t="s">
        <v>240</v>
      </c>
      <c r="E608" s="229"/>
      <c r="F608" s="229" t="s">
        <v>138</v>
      </c>
      <c r="G608" s="229" t="s">
        <v>82</v>
      </c>
      <c r="H608" s="229"/>
      <c r="I608" s="229">
        <v>0</v>
      </c>
      <c r="J608" s="229">
        <v>0</v>
      </c>
      <c r="K608" s="230" t="s">
        <v>909</v>
      </c>
      <c r="L608" s="229">
        <v>1</v>
      </c>
      <c r="M608" s="229">
        <v>1</v>
      </c>
      <c r="N608" s="229" t="s">
        <v>651</v>
      </c>
      <c r="O608" s="229" t="s">
        <v>321</v>
      </c>
      <c r="P608" s="231"/>
    </row>
    <row r="609" spans="1:16" x14ac:dyDescent="0.25">
      <c r="A609" s="227" t="s">
        <v>4899</v>
      </c>
      <c r="B609" s="228"/>
      <c r="C609" s="228" t="s">
        <v>3555</v>
      </c>
      <c r="D609" s="228" t="s">
        <v>240</v>
      </c>
      <c r="E609" s="229"/>
      <c r="F609" s="229" t="s">
        <v>138</v>
      </c>
      <c r="G609" s="229" t="s">
        <v>82</v>
      </c>
      <c r="H609" s="229"/>
      <c r="I609" s="229">
        <v>0</v>
      </c>
      <c r="J609" s="229">
        <v>0</v>
      </c>
      <c r="K609" s="230" t="s">
        <v>909</v>
      </c>
      <c r="L609" s="229">
        <v>1</v>
      </c>
      <c r="M609" s="229">
        <v>1</v>
      </c>
      <c r="N609" s="229" t="s">
        <v>651</v>
      </c>
      <c r="O609" s="229" t="s">
        <v>321</v>
      </c>
      <c r="P609" s="231"/>
    </row>
    <row r="610" spans="1:16" x14ac:dyDescent="0.25">
      <c r="A610" s="227" t="s">
        <v>4889</v>
      </c>
      <c r="B610" s="228"/>
      <c r="C610" s="228" t="s">
        <v>3555</v>
      </c>
      <c r="D610" s="228" t="s">
        <v>240</v>
      </c>
      <c r="E610" s="229"/>
      <c r="F610" s="229" t="s">
        <v>138</v>
      </c>
      <c r="G610" s="229" t="s">
        <v>82</v>
      </c>
      <c r="H610" s="229"/>
      <c r="I610" s="229">
        <v>0</v>
      </c>
      <c r="J610" s="229">
        <v>0</v>
      </c>
      <c r="K610" s="230">
        <v>0.99998469999999995</v>
      </c>
      <c r="L610" s="229">
        <v>1.52587890625E-5</v>
      </c>
      <c r="M610" s="229">
        <v>1.52587890625E-5</v>
      </c>
      <c r="N610" s="229" t="s">
        <v>1353</v>
      </c>
      <c r="O610" s="229" t="s">
        <v>977</v>
      </c>
      <c r="P610" s="231"/>
    </row>
    <row r="611" spans="1:16" x14ac:dyDescent="0.25">
      <c r="A611" s="227" t="s">
        <v>4885</v>
      </c>
      <c r="B611" s="228"/>
      <c r="C611" s="228" t="s">
        <v>3555</v>
      </c>
      <c r="D611" s="228" t="s">
        <v>240</v>
      </c>
      <c r="E611" s="229"/>
      <c r="F611" s="229" t="s">
        <v>138</v>
      </c>
      <c r="G611" s="229" t="s">
        <v>82</v>
      </c>
      <c r="H611" s="229"/>
      <c r="I611" s="229">
        <v>0</v>
      </c>
      <c r="J611" s="229">
        <v>0</v>
      </c>
      <c r="K611" s="230">
        <v>0.99998469999999995</v>
      </c>
      <c r="L611" s="229">
        <v>1.52587890625E-5</v>
      </c>
      <c r="M611" s="229">
        <v>1.52587890625E-5</v>
      </c>
      <c r="N611" s="229" t="s">
        <v>1353</v>
      </c>
      <c r="O611" s="229" t="s">
        <v>977</v>
      </c>
      <c r="P611" s="231"/>
    </row>
    <row r="612" spans="1:16" x14ac:dyDescent="0.25">
      <c r="A612" s="227" t="s">
        <v>4900</v>
      </c>
      <c r="B612" s="228"/>
      <c r="C612" s="228" t="s">
        <v>3555</v>
      </c>
      <c r="D612" s="228" t="s">
        <v>240</v>
      </c>
      <c r="E612" s="229"/>
      <c r="F612" s="229" t="s">
        <v>138</v>
      </c>
      <c r="G612" s="229" t="s">
        <v>82</v>
      </c>
      <c r="H612" s="229"/>
      <c r="I612" s="229">
        <v>0</v>
      </c>
      <c r="J612" s="229">
        <v>-277</v>
      </c>
      <c r="K612" s="230">
        <v>277</v>
      </c>
      <c r="L612" s="229">
        <v>1.52587890625E-5</v>
      </c>
      <c r="M612" s="229">
        <v>1.52587890625E-5</v>
      </c>
      <c r="N612" s="229" t="s">
        <v>1353</v>
      </c>
      <c r="O612" s="229" t="s">
        <v>2378</v>
      </c>
      <c r="P612" s="231"/>
    </row>
    <row r="613" spans="1:16" x14ac:dyDescent="0.25">
      <c r="A613" s="227" t="s">
        <v>4832</v>
      </c>
      <c r="B613" s="228"/>
      <c r="C613" s="228" t="s">
        <v>3555</v>
      </c>
      <c r="D613" s="228" t="s">
        <v>240</v>
      </c>
      <c r="E613" s="229"/>
      <c r="F613" s="229" t="s">
        <v>138</v>
      </c>
      <c r="G613" s="229" t="s">
        <v>82</v>
      </c>
      <c r="H613" s="229"/>
      <c r="I613" s="229">
        <v>0</v>
      </c>
      <c r="J613" s="229">
        <v>0</v>
      </c>
      <c r="K613" s="230">
        <v>65535</v>
      </c>
      <c r="L613" s="229">
        <v>1</v>
      </c>
      <c r="M613" s="229">
        <v>1</v>
      </c>
      <c r="N613" s="229" t="s">
        <v>271</v>
      </c>
      <c r="O613" s="229" t="s">
        <v>267</v>
      </c>
      <c r="P613" s="231"/>
    </row>
    <row r="614" spans="1:16" x14ac:dyDescent="0.25">
      <c r="A614" s="227" t="s">
        <v>4826</v>
      </c>
      <c r="B614" s="228"/>
      <c r="C614" s="228" t="s">
        <v>3555</v>
      </c>
      <c r="D614" s="228" t="s">
        <v>240</v>
      </c>
      <c r="E614" s="229"/>
      <c r="F614" s="229" t="s">
        <v>138</v>
      </c>
      <c r="G614" s="229" t="s">
        <v>82</v>
      </c>
      <c r="H614" s="229"/>
      <c r="I614" s="229">
        <v>0</v>
      </c>
      <c r="J614" s="229">
        <v>0</v>
      </c>
      <c r="K614" s="230">
        <v>65535</v>
      </c>
      <c r="L614" s="229">
        <v>1</v>
      </c>
      <c r="M614" s="229">
        <v>1</v>
      </c>
      <c r="N614" s="229" t="s">
        <v>271</v>
      </c>
      <c r="O614" s="229" t="s">
        <v>267</v>
      </c>
      <c r="P614" s="231"/>
    </row>
    <row r="615" spans="1:16" x14ac:dyDescent="0.25">
      <c r="A615" s="227" t="s">
        <v>4833</v>
      </c>
      <c r="B615" s="228"/>
      <c r="C615" s="228" t="s">
        <v>3555</v>
      </c>
      <c r="D615" s="228" t="s">
        <v>240</v>
      </c>
      <c r="E615" s="229"/>
      <c r="F615" s="229" t="s">
        <v>138</v>
      </c>
      <c r="G615" s="229" t="s">
        <v>82</v>
      </c>
      <c r="H615" s="229"/>
      <c r="I615" s="229">
        <v>0</v>
      </c>
      <c r="J615" s="229">
        <v>0</v>
      </c>
      <c r="K615" s="230">
        <v>65535</v>
      </c>
      <c r="L615" s="229">
        <v>1</v>
      </c>
      <c r="M615" s="229">
        <v>1</v>
      </c>
      <c r="N615" s="229" t="s">
        <v>271</v>
      </c>
      <c r="O615" s="229" t="s">
        <v>267</v>
      </c>
      <c r="P615" s="231"/>
    </row>
    <row r="616" spans="1:16" x14ac:dyDescent="0.25">
      <c r="A616" s="227" t="s">
        <v>4827</v>
      </c>
      <c r="B616" s="228"/>
      <c r="C616" s="228" t="s">
        <v>3555</v>
      </c>
      <c r="D616" s="228" t="s">
        <v>240</v>
      </c>
      <c r="E616" s="229"/>
      <c r="F616" s="229" t="s">
        <v>138</v>
      </c>
      <c r="G616" s="229" t="s">
        <v>82</v>
      </c>
      <c r="H616" s="229"/>
      <c r="I616" s="229">
        <v>0</v>
      </c>
      <c r="J616" s="229">
        <v>0</v>
      </c>
      <c r="K616" s="230">
        <v>65535</v>
      </c>
      <c r="L616" s="229">
        <v>1</v>
      </c>
      <c r="M616" s="229">
        <v>1</v>
      </c>
      <c r="N616" s="229" t="s">
        <v>271</v>
      </c>
      <c r="O616" s="229" t="s">
        <v>267</v>
      </c>
      <c r="P616" s="231"/>
    </row>
    <row r="617" spans="1:16" x14ac:dyDescent="0.25">
      <c r="A617" s="227" t="s">
        <v>4834</v>
      </c>
      <c r="B617" s="228"/>
      <c r="C617" s="228" t="s">
        <v>3555</v>
      </c>
      <c r="D617" s="228" t="s">
        <v>240</v>
      </c>
      <c r="E617" s="229"/>
      <c r="F617" s="229" t="s">
        <v>138</v>
      </c>
      <c r="G617" s="229" t="s">
        <v>82</v>
      </c>
      <c r="H617" s="229"/>
      <c r="I617" s="229">
        <v>0</v>
      </c>
      <c r="J617" s="229">
        <v>0</v>
      </c>
      <c r="K617" s="230">
        <v>65535</v>
      </c>
      <c r="L617" s="229">
        <v>1</v>
      </c>
      <c r="M617" s="229">
        <v>1</v>
      </c>
      <c r="N617" s="229" t="s">
        <v>271</v>
      </c>
      <c r="O617" s="229" t="s">
        <v>267</v>
      </c>
      <c r="P617" s="231"/>
    </row>
    <row r="618" spans="1:16" x14ac:dyDescent="0.25">
      <c r="A618" s="227" t="s">
        <v>4828</v>
      </c>
      <c r="B618" s="228"/>
      <c r="C618" s="228" t="s">
        <v>3555</v>
      </c>
      <c r="D618" s="228" t="s">
        <v>240</v>
      </c>
      <c r="E618" s="229"/>
      <c r="F618" s="229" t="s">
        <v>138</v>
      </c>
      <c r="G618" s="229" t="s">
        <v>82</v>
      </c>
      <c r="H618" s="229"/>
      <c r="I618" s="229">
        <v>0</v>
      </c>
      <c r="J618" s="229">
        <v>0</v>
      </c>
      <c r="K618" s="230">
        <v>65535</v>
      </c>
      <c r="L618" s="229">
        <v>1</v>
      </c>
      <c r="M618" s="229">
        <v>1</v>
      </c>
      <c r="N618" s="229" t="s">
        <v>271</v>
      </c>
      <c r="O618" s="229" t="s">
        <v>267</v>
      </c>
      <c r="P618" s="231"/>
    </row>
    <row r="619" spans="1:16" x14ac:dyDescent="0.25">
      <c r="A619" s="227" t="s">
        <v>4901</v>
      </c>
      <c r="B619" s="228"/>
      <c r="C619" s="228" t="s">
        <v>3555</v>
      </c>
      <c r="D619" s="228" t="s">
        <v>240</v>
      </c>
      <c r="E619" s="229"/>
      <c r="F619" s="229" t="s">
        <v>138</v>
      </c>
      <c r="G619" s="229" t="s">
        <v>82</v>
      </c>
      <c r="H619" s="229"/>
      <c r="I619" s="229">
        <v>0</v>
      </c>
      <c r="J619" s="229">
        <v>0</v>
      </c>
      <c r="K619" s="230">
        <v>65535</v>
      </c>
      <c r="L619" s="229">
        <v>1</v>
      </c>
      <c r="M619" s="229">
        <v>1</v>
      </c>
      <c r="N619" s="229" t="s">
        <v>271</v>
      </c>
      <c r="O619" s="229" t="s">
        <v>267</v>
      </c>
      <c r="P619" s="231"/>
    </row>
    <row r="620" spans="1:16" ht="20.399999999999999" x14ac:dyDescent="0.25">
      <c r="A620" s="227" t="s">
        <v>4902</v>
      </c>
      <c r="B620" s="228"/>
      <c r="C620" s="228" t="s">
        <v>3555</v>
      </c>
      <c r="D620" s="228" t="s">
        <v>240</v>
      </c>
      <c r="E620" s="229"/>
      <c r="F620" s="229" t="s">
        <v>141</v>
      </c>
      <c r="G620" s="229" t="s">
        <v>82</v>
      </c>
      <c r="H620" s="229"/>
      <c r="I620" s="229">
        <v>0</v>
      </c>
      <c r="J620" s="229">
        <v>0</v>
      </c>
      <c r="K620" s="230">
        <v>0.99998469999999995</v>
      </c>
      <c r="L620" s="229">
        <v>1.52587890625E-5</v>
      </c>
      <c r="M620" s="229">
        <v>1.52587890625E-5</v>
      </c>
      <c r="N620" s="229" t="s">
        <v>1353</v>
      </c>
      <c r="O620" s="229" t="s">
        <v>977</v>
      </c>
      <c r="P620" s="231"/>
    </row>
    <row r="621" spans="1:16" x14ac:dyDescent="0.25">
      <c r="A621" s="227" t="s">
        <v>5069</v>
      </c>
      <c r="B621" s="228"/>
      <c r="C621" s="228" t="s">
        <v>3555</v>
      </c>
      <c r="D621" s="228" t="s">
        <v>240</v>
      </c>
      <c r="E621" s="229"/>
      <c r="F621" s="229" t="s">
        <v>138</v>
      </c>
      <c r="G621" s="229" t="s">
        <v>82</v>
      </c>
      <c r="H621" s="229"/>
      <c r="I621" s="229">
        <v>0</v>
      </c>
      <c r="J621" s="229">
        <v>0</v>
      </c>
      <c r="K621" s="230">
        <v>65535</v>
      </c>
      <c r="L621" s="229">
        <v>1</v>
      </c>
      <c r="M621" s="229">
        <v>1</v>
      </c>
      <c r="N621" s="229" t="s">
        <v>271</v>
      </c>
      <c r="O621" s="229" t="s">
        <v>267</v>
      </c>
      <c r="P621" s="231"/>
    </row>
    <row r="622" spans="1:16" x14ac:dyDescent="0.25">
      <c r="A622" s="227" t="s">
        <v>5070</v>
      </c>
      <c r="B622" s="228"/>
      <c r="C622" s="228" t="s">
        <v>3555</v>
      </c>
      <c r="D622" s="228" t="s">
        <v>240</v>
      </c>
      <c r="E622" s="229"/>
      <c r="F622" s="229" t="s">
        <v>136</v>
      </c>
      <c r="G622" s="229" t="s">
        <v>82</v>
      </c>
      <c r="H622" s="229"/>
      <c r="I622" s="229">
        <v>0</v>
      </c>
      <c r="J622" s="229">
        <v>0</v>
      </c>
      <c r="K622" s="230">
        <v>65535</v>
      </c>
      <c r="L622" s="229">
        <v>1</v>
      </c>
      <c r="M622" s="229">
        <v>1</v>
      </c>
      <c r="N622" s="229" t="s">
        <v>271</v>
      </c>
      <c r="O622" s="229" t="s">
        <v>267</v>
      </c>
      <c r="P622" s="231"/>
    </row>
    <row r="623" spans="1:16" ht="20.399999999999999" x14ac:dyDescent="0.25">
      <c r="A623" s="227" t="s">
        <v>5071</v>
      </c>
      <c r="B623" s="228"/>
      <c r="C623" s="228" t="s">
        <v>3555</v>
      </c>
      <c r="D623" s="228" t="s">
        <v>240</v>
      </c>
      <c r="E623" s="229"/>
      <c r="F623" s="229" t="s">
        <v>139</v>
      </c>
      <c r="G623" s="229" t="s">
        <v>82</v>
      </c>
      <c r="H623" s="229"/>
      <c r="I623" s="229">
        <v>0</v>
      </c>
      <c r="J623" s="229">
        <v>0</v>
      </c>
      <c r="K623" s="230">
        <v>65535</v>
      </c>
      <c r="L623" s="229">
        <v>1</v>
      </c>
      <c r="M623" s="229">
        <v>1</v>
      </c>
      <c r="N623" s="229" t="s">
        <v>271</v>
      </c>
      <c r="O623" s="229" t="s">
        <v>267</v>
      </c>
      <c r="P623" s="231"/>
    </row>
    <row r="624" spans="1:16" ht="20.399999999999999" x14ac:dyDescent="0.25">
      <c r="A624" s="227" t="s">
        <v>5072</v>
      </c>
      <c r="B624" s="228"/>
      <c r="C624" s="228" t="s">
        <v>3555</v>
      </c>
      <c r="D624" s="228" t="s">
        <v>240</v>
      </c>
      <c r="E624" s="229"/>
      <c r="F624" s="229" t="s">
        <v>139</v>
      </c>
      <c r="G624" s="229" t="s">
        <v>82</v>
      </c>
      <c r="H624" s="229"/>
      <c r="I624" s="229">
        <v>0</v>
      </c>
      <c r="J624" s="229">
        <v>0</v>
      </c>
      <c r="K624" s="230">
        <v>65535</v>
      </c>
      <c r="L624" s="229">
        <v>1</v>
      </c>
      <c r="M624" s="229">
        <v>1</v>
      </c>
      <c r="N624" s="229" t="s">
        <v>271</v>
      </c>
      <c r="O624" s="229" t="s">
        <v>267</v>
      </c>
      <c r="P624" s="231"/>
    </row>
    <row r="625" spans="1:16" ht="20.399999999999999" x14ac:dyDescent="0.25">
      <c r="A625" s="227" t="s">
        <v>5073</v>
      </c>
      <c r="B625" s="228"/>
      <c r="C625" s="228" t="s">
        <v>3555</v>
      </c>
      <c r="D625" s="228" t="s">
        <v>240</v>
      </c>
      <c r="E625" s="229"/>
      <c r="F625" s="229" t="s">
        <v>139</v>
      </c>
      <c r="G625" s="229" t="s">
        <v>82</v>
      </c>
      <c r="H625" s="229"/>
      <c r="I625" s="229">
        <v>0</v>
      </c>
      <c r="J625" s="229">
        <v>0</v>
      </c>
      <c r="K625" s="230">
        <v>65535</v>
      </c>
      <c r="L625" s="229">
        <v>1</v>
      </c>
      <c r="M625" s="229">
        <v>1</v>
      </c>
      <c r="N625" s="229" t="s">
        <v>271</v>
      </c>
      <c r="O625" s="229" t="s">
        <v>267</v>
      </c>
      <c r="P625" s="231"/>
    </row>
    <row r="626" spans="1:16" ht="26.4" x14ac:dyDescent="0.25">
      <c r="A626" s="227" t="s">
        <v>4737</v>
      </c>
      <c r="B626" s="228"/>
      <c r="C626" s="228" t="s">
        <v>4738</v>
      </c>
      <c r="D626" s="228" t="s">
        <v>4739</v>
      </c>
      <c r="E626" s="229" t="s">
        <v>4740</v>
      </c>
      <c r="F626" s="229" t="s">
        <v>139</v>
      </c>
      <c r="G626" s="229" t="s">
        <v>82</v>
      </c>
      <c r="H626" s="229"/>
      <c r="I626" s="229"/>
      <c r="J626" s="229"/>
      <c r="K626" s="230"/>
      <c r="L626" s="229"/>
      <c r="M626" s="229"/>
      <c r="N626" s="229"/>
      <c r="O626" s="229" t="s">
        <v>4741</v>
      </c>
      <c r="P626" s="231"/>
    </row>
    <row r="627" spans="1:16" ht="26.4" x14ac:dyDescent="0.25">
      <c r="A627" s="227" t="s">
        <v>5074</v>
      </c>
      <c r="B627" s="228"/>
      <c r="C627" s="228" t="s">
        <v>4738</v>
      </c>
      <c r="D627" s="228" t="s">
        <v>4739</v>
      </c>
      <c r="E627" s="229" t="s">
        <v>5075</v>
      </c>
      <c r="F627" s="229"/>
      <c r="G627" s="229"/>
      <c r="H627" s="229"/>
      <c r="I627" s="229">
        <v>0</v>
      </c>
      <c r="J627" s="229" t="s">
        <v>909</v>
      </c>
      <c r="K627" s="230" t="s">
        <v>909</v>
      </c>
      <c r="L627" s="229" t="s">
        <v>5076</v>
      </c>
      <c r="M627" s="229">
        <v>0</v>
      </c>
      <c r="N627" s="229" t="s">
        <v>260</v>
      </c>
      <c r="O627" s="229" t="s">
        <v>5077</v>
      </c>
      <c r="P627" s="231"/>
    </row>
    <row r="628" spans="1:16" x14ac:dyDescent="0.25">
      <c r="A628" s="227" t="s">
        <v>4742</v>
      </c>
      <c r="B628" s="228"/>
      <c r="C628" s="228" t="s">
        <v>4738</v>
      </c>
      <c r="D628" s="228" t="s">
        <v>4739</v>
      </c>
      <c r="E628" s="229" t="s">
        <v>4743</v>
      </c>
      <c r="F628" s="229"/>
      <c r="G628" s="229"/>
      <c r="H628" s="229"/>
      <c r="I628" s="229">
        <v>0</v>
      </c>
      <c r="J628" s="229">
        <v>0</v>
      </c>
      <c r="K628" s="230">
        <v>65535</v>
      </c>
      <c r="L628" s="229">
        <v>1</v>
      </c>
      <c r="M628" s="229">
        <v>0</v>
      </c>
      <c r="N628" s="229" t="s">
        <v>424</v>
      </c>
      <c r="O628" s="229" t="s">
        <v>267</v>
      </c>
      <c r="P628" s="231"/>
    </row>
    <row r="629" spans="1:16" x14ac:dyDescent="0.25">
      <c r="A629" s="227" t="s">
        <v>4744</v>
      </c>
      <c r="B629" s="228"/>
      <c r="C629" s="228" t="s">
        <v>4738</v>
      </c>
      <c r="D629" s="228" t="s">
        <v>4739</v>
      </c>
      <c r="E629" s="229" t="s">
        <v>4745</v>
      </c>
      <c r="F629" s="229"/>
      <c r="G629" s="229"/>
      <c r="H629" s="229"/>
      <c r="I629" s="229">
        <v>0</v>
      </c>
      <c r="J629" s="229">
        <v>0</v>
      </c>
      <c r="K629" s="230">
        <v>65535</v>
      </c>
      <c r="L629" s="229">
        <v>1</v>
      </c>
      <c r="M629" s="229">
        <v>0</v>
      </c>
      <c r="N629" s="229" t="s">
        <v>424</v>
      </c>
      <c r="O629" s="229" t="s">
        <v>267</v>
      </c>
      <c r="P629" s="231"/>
    </row>
    <row r="630" spans="1:16" x14ac:dyDescent="0.25">
      <c r="A630" s="227" t="s">
        <v>4746</v>
      </c>
      <c r="B630" s="228"/>
      <c r="C630" s="228" t="s">
        <v>4738</v>
      </c>
      <c r="D630" s="228" t="s">
        <v>4739</v>
      </c>
      <c r="E630" s="229" t="s">
        <v>4747</v>
      </c>
      <c r="F630" s="229"/>
      <c r="G630" s="229"/>
      <c r="H630" s="229"/>
      <c r="I630" s="229">
        <v>0</v>
      </c>
      <c r="J630" s="229">
        <v>0</v>
      </c>
      <c r="K630" s="230">
        <v>65535</v>
      </c>
      <c r="L630" s="229">
        <v>1</v>
      </c>
      <c r="M630" s="229">
        <v>0</v>
      </c>
      <c r="N630" s="229" t="s">
        <v>424</v>
      </c>
      <c r="O630" s="229" t="s">
        <v>267</v>
      </c>
      <c r="P630" s="231"/>
    </row>
    <row r="631" spans="1:16" x14ac:dyDescent="0.25">
      <c r="A631" s="227" t="s">
        <v>4748</v>
      </c>
      <c r="B631" s="228"/>
      <c r="C631" s="228" t="s">
        <v>4738</v>
      </c>
      <c r="D631" s="228" t="s">
        <v>4739</v>
      </c>
      <c r="E631" s="229" t="s">
        <v>4749</v>
      </c>
      <c r="F631" s="229"/>
      <c r="G631" s="229"/>
      <c r="H631" s="229"/>
      <c r="I631" s="229">
        <v>0</v>
      </c>
      <c r="J631" s="229">
        <v>0</v>
      </c>
      <c r="K631" s="230">
        <v>65535</v>
      </c>
      <c r="L631" s="229">
        <v>1</v>
      </c>
      <c r="M631" s="229">
        <v>0</v>
      </c>
      <c r="N631" s="229" t="s">
        <v>424</v>
      </c>
      <c r="O631" s="229" t="s">
        <v>267</v>
      </c>
      <c r="P631" s="231"/>
    </row>
    <row r="632" spans="1:16" ht="26.4" x14ac:dyDescent="0.25">
      <c r="A632" s="227" t="s">
        <v>4750</v>
      </c>
      <c r="B632" s="228"/>
      <c r="C632" s="228" t="s">
        <v>4738</v>
      </c>
      <c r="D632" s="228" t="s">
        <v>4739</v>
      </c>
      <c r="E632" s="229" t="s">
        <v>4751</v>
      </c>
      <c r="F632" s="229"/>
      <c r="G632" s="229"/>
      <c r="H632" s="229"/>
      <c r="I632" s="229" t="s">
        <v>4752</v>
      </c>
      <c r="J632" s="229">
        <v>0</v>
      </c>
      <c r="K632" s="230">
        <v>65535</v>
      </c>
      <c r="L632" s="229">
        <v>1</v>
      </c>
      <c r="M632" s="229">
        <v>0</v>
      </c>
      <c r="N632" s="229" t="s">
        <v>424</v>
      </c>
      <c r="O632" s="229" t="s">
        <v>267</v>
      </c>
      <c r="P632" s="231"/>
    </row>
    <row r="633" spans="1:16" x14ac:dyDescent="0.25">
      <c r="A633" s="227" t="s">
        <v>4753</v>
      </c>
      <c r="B633" s="228"/>
      <c r="C633" s="228" t="s">
        <v>4738</v>
      </c>
      <c r="D633" s="228" t="s">
        <v>4739</v>
      </c>
      <c r="E633" s="229" t="s">
        <v>4754</v>
      </c>
      <c r="F633" s="229"/>
      <c r="G633" s="229"/>
      <c r="H633" s="229"/>
      <c r="I633" s="229">
        <v>0</v>
      </c>
      <c r="J633" s="229">
        <v>0</v>
      </c>
      <c r="K633" s="230">
        <v>4294967295</v>
      </c>
      <c r="L633" s="229">
        <v>1</v>
      </c>
      <c r="M633" s="229">
        <v>0</v>
      </c>
      <c r="N633" s="229" t="s">
        <v>424</v>
      </c>
      <c r="O633" s="229" t="s">
        <v>321</v>
      </c>
      <c r="P633" s="231"/>
    </row>
    <row r="634" spans="1:16" x14ac:dyDescent="0.25">
      <c r="A634" s="227" t="s">
        <v>5078</v>
      </c>
      <c r="B634" s="228" t="s">
        <v>5079</v>
      </c>
      <c r="C634" s="228" t="s">
        <v>4738</v>
      </c>
      <c r="D634" s="228" t="s">
        <v>4739</v>
      </c>
      <c r="E634" s="229" t="s">
        <v>5080</v>
      </c>
      <c r="F634" s="229" t="s">
        <v>138</v>
      </c>
      <c r="G634" s="229"/>
      <c r="H634" s="229"/>
      <c r="I634" s="229" t="b">
        <v>0</v>
      </c>
      <c r="J634" s="229" t="b">
        <v>0</v>
      </c>
      <c r="K634" s="230" t="b">
        <v>1</v>
      </c>
      <c r="L634" s="229" t="s">
        <v>501</v>
      </c>
      <c r="M634" s="229">
        <v>0</v>
      </c>
      <c r="N634" s="229" t="s">
        <v>424</v>
      </c>
      <c r="O634" s="229" t="s">
        <v>501</v>
      </c>
      <c r="P634" s="231"/>
    </row>
    <row r="635" spans="1:16" ht="26.4" x14ac:dyDescent="0.25">
      <c r="A635" s="227" t="s">
        <v>2290</v>
      </c>
      <c r="B635" s="228" t="s">
        <v>2218</v>
      </c>
      <c r="C635" s="228" t="s">
        <v>920</v>
      </c>
      <c r="D635" s="228" t="s">
        <v>199</v>
      </c>
      <c r="E635" s="229"/>
      <c r="F635" s="229" t="s">
        <v>136</v>
      </c>
      <c r="G635" s="229" t="s">
        <v>82</v>
      </c>
      <c r="H635" s="229"/>
      <c r="I635" s="229">
        <v>0</v>
      </c>
      <c r="J635" s="229">
        <v>5</v>
      </c>
      <c r="K635" s="230">
        <v>31</v>
      </c>
      <c r="L635" s="229" t="s">
        <v>2283</v>
      </c>
      <c r="M635" s="229" t="s">
        <v>2435</v>
      </c>
      <c r="N635" s="229" t="s">
        <v>654</v>
      </c>
      <c r="O635" s="229" t="s">
        <v>261</v>
      </c>
      <c r="P635" s="231"/>
    </row>
    <row r="636" spans="1:16" ht="26.4" x14ac:dyDescent="0.25">
      <c r="A636" s="227" t="s">
        <v>2436</v>
      </c>
      <c r="B636" s="228" t="s">
        <v>2437</v>
      </c>
      <c r="C636" s="228" t="s">
        <v>920</v>
      </c>
      <c r="D636" s="228" t="s">
        <v>199</v>
      </c>
      <c r="E636" s="229"/>
      <c r="F636" s="229" t="s">
        <v>136</v>
      </c>
      <c r="G636" s="229" t="s">
        <v>82</v>
      </c>
      <c r="H636" s="229"/>
      <c r="I636" s="229">
        <v>0</v>
      </c>
      <c r="J636" s="229">
        <v>-20</v>
      </c>
      <c r="K636" s="230">
        <v>20</v>
      </c>
      <c r="L636" s="229" t="s">
        <v>2283</v>
      </c>
      <c r="M636" s="229" t="s">
        <v>2435</v>
      </c>
      <c r="N636" s="229" t="s">
        <v>654</v>
      </c>
      <c r="O636" s="229" t="s">
        <v>261</v>
      </c>
      <c r="P636" s="231"/>
    </row>
    <row r="637" spans="1:16" ht="26.4" x14ac:dyDescent="0.25">
      <c r="A637" s="227" t="s">
        <v>2438</v>
      </c>
      <c r="B637" s="228" t="s">
        <v>2439</v>
      </c>
      <c r="C637" s="228" t="s">
        <v>920</v>
      </c>
      <c r="D637" s="228" t="s">
        <v>199</v>
      </c>
      <c r="E637" s="229"/>
      <c r="F637" s="229" t="s">
        <v>136</v>
      </c>
      <c r="G637" s="229" t="s">
        <v>82</v>
      </c>
      <c r="H637" s="229"/>
      <c r="I637" s="229">
        <v>0</v>
      </c>
      <c r="J637" s="229">
        <v>-20</v>
      </c>
      <c r="K637" s="230">
        <v>20</v>
      </c>
      <c r="L637" s="229" t="s">
        <v>2440</v>
      </c>
      <c r="M637" s="229" t="s">
        <v>2435</v>
      </c>
      <c r="N637" s="229" t="s">
        <v>654</v>
      </c>
      <c r="O637" s="229" t="s">
        <v>261</v>
      </c>
      <c r="P637" s="231"/>
    </row>
    <row r="638" spans="1:16" ht="26.4" x14ac:dyDescent="0.25">
      <c r="A638" s="227" t="s">
        <v>2441</v>
      </c>
      <c r="B638" s="228" t="s">
        <v>2442</v>
      </c>
      <c r="C638" s="228" t="s">
        <v>920</v>
      </c>
      <c r="D638" s="228" t="s">
        <v>199</v>
      </c>
      <c r="E638" s="229"/>
      <c r="F638" s="229" t="s">
        <v>136</v>
      </c>
      <c r="G638" s="229" t="s">
        <v>82</v>
      </c>
      <c r="H638" s="229"/>
      <c r="I638" s="229">
        <v>0</v>
      </c>
      <c r="J638" s="229">
        <v>0</v>
      </c>
      <c r="K638" s="230">
        <v>220</v>
      </c>
      <c r="L638" s="229" t="s">
        <v>2283</v>
      </c>
      <c r="M638" s="229" t="s">
        <v>2435</v>
      </c>
      <c r="N638" s="229" t="s">
        <v>648</v>
      </c>
      <c r="O638" s="229" t="s">
        <v>261</v>
      </c>
      <c r="P638" s="231"/>
    </row>
    <row r="639" spans="1:16" ht="26.4" x14ac:dyDescent="0.25">
      <c r="A639" s="227" t="s">
        <v>2443</v>
      </c>
      <c r="B639" s="228" t="s">
        <v>2444</v>
      </c>
      <c r="C639" s="228" t="s">
        <v>920</v>
      </c>
      <c r="D639" s="228" t="s">
        <v>199</v>
      </c>
      <c r="E639" s="229"/>
      <c r="F639" s="229" t="s">
        <v>136</v>
      </c>
      <c r="G639" s="229" t="s">
        <v>82</v>
      </c>
      <c r="H639" s="229"/>
      <c r="I639" s="229">
        <v>0</v>
      </c>
      <c r="J639" s="229">
        <v>-220</v>
      </c>
      <c r="K639" s="230">
        <v>220</v>
      </c>
      <c r="L639" s="229" t="s">
        <v>2283</v>
      </c>
      <c r="M639" s="229" t="s">
        <v>2435</v>
      </c>
      <c r="N639" s="229" t="s">
        <v>648</v>
      </c>
      <c r="O639" s="229" t="s">
        <v>261</v>
      </c>
      <c r="P639" s="231"/>
    </row>
    <row r="640" spans="1:16" ht="26.4" x14ac:dyDescent="0.25">
      <c r="A640" s="227" t="s">
        <v>2445</v>
      </c>
      <c r="B640" s="228" t="s">
        <v>2446</v>
      </c>
      <c r="C640" s="228" t="s">
        <v>920</v>
      </c>
      <c r="D640" s="228" t="s">
        <v>199</v>
      </c>
      <c r="E640" s="229"/>
      <c r="F640" s="229" t="s">
        <v>138</v>
      </c>
      <c r="G640" s="229" t="s">
        <v>82</v>
      </c>
      <c r="H640" s="229"/>
      <c r="I640" s="229">
        <v>0</v>
      </c>
      <c r="J640" s="229">
        <v>-2000</v>
      </c>
      <c r="K640" s="230">
        <v>2000</v>
      </c>
      <c r="L640" s="229" t="s">
        <v>2283</v>
      </c>
      <c r="M640" s="229">
        <v>0.125</v>
      </c>
      <c r="N640" s="229" t="s">
        <v>925</v>
      </c>
      <c r="O640" s="229" t="s">
        <v>261</v>
      </c>
      <c r="P640" s="231"/>
    </row>
    <row r="641" spans="1:16" ht="26.4" x14ac:dyDescent="0.25">
      <c r="A641" s="227" t="s">
        <v>2447</v>
      </c>
      <c r="B641" s="228" t="s">
        <v>2448</v>
      </c>
      <c r="C641" s="228" t="s">
        <v>920</v>
      </c>
      <c r="D641" s="228" t="s">
        <v>199</v>
      </c>
      <c r="E641" s="229"/>
      <c r="F641" s="229" t="s">
        <v>138</v>
      </c>
      <c r="G641" s="229" t="s">
        <v>82</v>
      </c>
      <c r="H641" s="229"/>
      <c r="I641" s="229">
        <v>0</v>
      </c>
      <c r="J641" s="229">
        <v>-200</v>
      </c>
      <c r="K641" s="230">
        <v>200</v>
      </c>
      <c r="L641" s="229" t="s">
        <v>2283</v>
      </c>
      <c r="M641" s="229">
        <v>6.25E-2</v>
      </c>
      <c r="N641" s="229" t="s">
        <v>648</v>
      </c>
      <c r="O641" s="229" t="s">
        <v>261</v>
      </c>
      <c r="P641" s="231"/>
    </row>
    <row r="642" spans="1:16" ht="26.4" x14ac:dyDescent="0.25">
      <c r="A642" s="227" t="s">
        <v>4959</v>
      </c>
      <c r="B642" s="228" t="s">
        <v>2449</v>
      </c>
      <c r="C642" s="228" t="s">
        <v>920</v>
      </c>
      <c r="D642" s="228" t="s">
        <v>199</v>
      </c>
      <c r="E642" s="229"/>
      <c r="F642" s="229" t="s">
        <v>141</v>
      </c>
      <c r="G642" s="229" t="s">
        <v>82</v>
      </c>
      <c r="H642" s="229"/>
      <c r="I642" s="229">
        <v>0</v>
      </c>
      <c r="J642" s="229">
        <v>-2000</v>
      </c>
      <c r="K642" s="230">
        <v>2000</v>
      </c>
      <c r="L642" s="229" t="s">
        <v>2283</v>
      </c>
      <c r="M642" s="229" t="s">
        <v>2435</v>
      </c>
      <c r="N642" s="229" t="s">
        <v>925</v>
      </c>
      <c r="O642" s="229" t="s">
        <v>261</v>
      </c>
      <c r="P642" s="231"/>
    </row>
    <row r="643" spans="1:16" ht="26.4" x14ac:dyDescent="0.25">
      <c r="A643" s="227" t="s">
        <v>4960</v>
      </c>
      <c r="B643" s="228" t="s">
        <v>2450</v>
      </c>
      <c r="C643" s="228" t="s">
        <v>920</v>
      </c>
      <c r="D643" s="228" t="s">
        <v>199</v>
      </c>
      <c r="E643" s="229"/>
      <c r="F643" s="229" t="s">
        <v>141</v>
      </c>
      <c r="G643" s="229" t="s">
        <v>82</v>
      </c>
      <c r="H643" s="229"/>
      <c r="I643" s="229">
        <v>0</v>
      </c>
      <c r="J643" s="229">
        <v>-200</v>
      </c>
      <c r="K643" s="230">
        <v>200</v>
      </c>
      <c r="L643" s="229" t="s">
        <v>2283</v>
      </c>
      <c r="M643" s="229" t="s">
        <v>2435</v>
      </c>
      <c r="N643" s="229" t="s">
        <v>925</v>
      </c>
      <c r="O643" s="229" t="s">
        <v>261</v>
      </c>
      <c r="P643" s="231"/>
    </row>
    <row r="644" spans="1:16" x14ac:dyDescent="0.25">
      <c r="A644" s="227" t="s">
        <v>1884</v>
      </c>
      <c r="B644" s="228" t="s">
        <v>1885</v>
      </c>
      <c r="C644" s="228" t="s">
        <v>928</v>
      </c>
      <c r="D644" s="228" t="s">
        <v>208</v>
      </c>
      <c r="E644" s="229"/>
      <c r="F644" s="229" t="s">
        <v>136</v>
      </c>
      <c r="G644" s="229" t="s">
        <v>82</v>
      </c>
      <c r="H644" s="229"/>
      <c r="I644" s="229" t="s">
        <v>2451</v>
      </c>
      <c r="J644" s="229">
        <v>-10</v>
      </c>
      <c r="K644" s="230">
        <v>10</v>
      </c>
      <c r="L644" s="229" t="s">
        <v>1865</v>
      </c>
      <c r="M644" s="229"/>
      <c r="N644" s="229" t="s">
        <v>265</v>
      </c>
      <c r="O644" s="229" t="s">
        <v>261</v>
      </c>
      <c r="P644" s="231"/>
    </row>
    <row r="645" spans="1:16" x14ac:dyDescent="0.25">
      <c r="A645" s="227" t="s">
        <v>2452</v>
      </c>
      <c r="B645" s="228" t="s">
        <v>2453</v>
      </c>
      <c r="C645" s="228" t="s">
        <v>928</v>
      </c>
      <c r="D645" s="228" t="s">
        <v>208</v>
      </c>
      <c r="E645" s="229"/>
      <c r="F645" s="229" t="s">
        <v>136</v>
      </c>
      <c r="G645" s="229" t="s">
        <v>82</v>
      </c>
      <c r="H645" s="229"/>
      <c r="I645" s="229" t="s">
        <v>2451</v>
      </c>
      <c r="J645" s="229">
        <v>0</v>
      </c>
      <c r="K645" s="230">
        <v>1440.11</v>
      </c>
      <c r="L645" s="229" t="s">
        <v>1865</v>
      </c>
      <c r="M645" s="229"/>
      <c r="N645" s="229" t="s">
        <v>268</v>
      </c>
      <c r="O645" s="229" t="s">
        <v>261</v>
      </c>
      <c r="P645" s="231"/>
    </row>
    <row r="646" spans="1:16" x14ac:dyDescent="0.25">
      <c r="A646" s="227" t="s">
        <v>2454</v>
      </c>
      <c r="B646" s="228" t="s">
        <v>2455</v>
      </c>
      <c r="C646" s="228" t="s">
        <v>928</v>
      </c>
      <c r="D646" s="228" t="s">
        <v>208</v>
      </c>
      <c r="E646" s="229"/>
      <c r="F646" s="229" t="s">
        <v>136</v>
      </c>
      <c r="G646" s="229" t="s">
        <v>82</v>
      </c>
      <c r="H646" s="229"/>
      <c r="I646" s="229" t="s">
        <v>2451</v>
      </c>
      <c r="J646" s="229">
        <v>-1440.11</v>
      </c>
      <c r="K646" s="230">
        <v>0</v>
      </c>
      <c r="L646" s="229" t="s">
        <v>1865</v>
      </c>
      <c r="M646" s="229"/>
      <c r="N646" s="229" t="s">
        <v>268</v>
      </c>
      <c r="O646" s="229" t="s">
        <v>261</v>
      </c>
      <c r="P646" s="231"/>
    </row>
    <row r="647" spans="1:16" x14ac:dyDescent="0.25">
      <c r="A647" s="227" t="s">
        <v>2456</v>
      </c>
      <c r="B647" s="228" t="s">
        <v>2457</v>
      </c>
      <c r="C647" s="228" t="s">
        <v>928</v>
      </c>
      <c r="D647" s="228" t="s">
        <v>208</v>
      </c>
      <c r="E647" s="229"/>
      <c r="F647" s="229" t="s">
        <v>136</v>
      </c>
      <c r="G647" s="229" t="s">
        <v>82</v>
      </c>
      <c r="H647" s="229"/>
      <c r="I647" s="229" t="b">
        <v>0</v>
      </c>
      <c r="J647" s="229" t="b">
        <v>0</v>
      </c>
      <c r="K647" s="230" t="b">
        <v>1</v>
      </c>
      <c r="L647" s="229" t="s">
        <v>1871</v>
      </c>
      <c r="M647" s="229"/>
      <c r="N647" s="229" t="s">
        <v>271</v>
      </c>
      <c r="O647" s="229" t="s">
        <v>501</v>
      </c>
      <c r="P647" s="231"/>
    </row>
    <row r="648" spans="1:16" x14ac:dyDescent="0.25">
      <c r="A648" s="227" t="s">
        <v>2458</v>
      </c>
      <c r="B648" s="228" t="s">
        <v>2459</v>
      </c>
      <c r="C648" s="228" t="s">
        <v>928</v>
      </c>
      <c r="D648" s="228" t="s">
        <v>208</v>
      </c>
      <c r="E648" s="229"/>
      <c r="F648" s="229" t="s">
        <v>136</v>
      </c>
      <c r="G648" s="229" t="s">
        <v>82</v>
      </c>
      <c r="H648" s="229"/>
      <c r="I648" s="229" t="b">
        <v>0</v>
      </c>
      <c r="J648" s="229" t="b">
        <v>0</v>
      </c>
      <c r="K648" s="230" t="b">
        <v>1</v>
      </c>
      <c r="L648" s="229" t="s">
        <v>1871</v>
      </c>
      <c r="M648" s="229"/>
      <c r="N648" s="229" t="s">
        <v>271</v>
      </c>
      <c r="O648" s="229" t="s">
        <v>501</v>
      </c>
      <c r="P648" s="231"/>
    </row>
    <row r="649" spans="1:16" x14ac:dyDescent="0.25">
      <c r="A649" s="227" t="s">
        <v>2460</v>
      </c>
      <c r="B649" s="228" t="s">
        <v>1880</v>
      </c>
      <c r="C649" s="228" t="s">
        <v>928</v>
      </c>
      <c r="D649" s="228" t="s">
        <v>208</v>
      </c>
      <c r="E649" s="229"/>
      <c r="F649" s="229" t="s">
        <v>136</v>
      </c>
      <c r="G649" s="229" t="s">
        <v>82</v>
      </c>
      <c r="H649" s="229"/>
      <c r="I649" s="229" t="s">
        <v>2451</v>
      </c>
      <c r="J649" s="229">
        <v>-1440.11</v>
      </c>
      <c r="K649" s="230">
        <v>1440.11</v>
      </c>
      <c r="L649" s="229" t="s">
        <v>1865</v>
      </c>
      <c r="M649" s="229"/>
      <c r="N649" s="229" t="s">
        <v>268</v>
      </c>
      <c r="O649" s="229" t="s">
        <v>261</v>
      </c>
      <c r="P649" s="231"/>
    </row>
    <row r="650" spans="1:16" x14ac:dyDescent="0.25">
      <c r="A650" s="227" t="s">
        <v>2461</v>
      </c>
      <c r="B650" s="228" t="s">
        <v>1878</v>
      </c>
      <c r="C650" s="228" t="s">
        <v>928</v>
      </c>
      <c r="D650" s="228" t="s">
        <v>208</v>
      </c>
      <c r="E650" s="229"/>
      <c r="F650" s="229" t="s">
        <v>136</v>
      </c>
      <c r="G650" s="229" t="s">
        <v>82</v>
      </c>
      <c r="H650" s="229"/>
      <c r="I650" s="229" t="s">
        <v>2451</v>
      </c>
      <c r="J650" s="229">
        <v>0</v>
      </c>
      <c r="K650" s="230">
        <v>1</v>
      </c>
      <c r="L650" s="229" t="s">
        <v>1865</v>
      </c>
      <c r="M650" s="229"/>
      <c r="N650" s="229" t="s">
        <v>260</v>
      </c>
      <c r="O650" s="229" t="s">
        <v>261</v>
      </c>
      <c r="P650" s="231"/>
    </row>
    <row r="651" spans="1:16" x14ac:dyDescent="0.25">
      <c r="A651" s="227" t="s">
        <v>2462</v>
      </c>
      <c r="B651" s="228" t="s">
        <v>1869</v>
      </c>
      <c r="C651" s="228" t="s">
        <v>928</v>
      </c>
      <c r="D651" s="228" t="s">
        <v>208</v>
      </c>
      <c r="E651" s="229"/>
      <c r="F651" s="229" t="s">
        <v>136</v>
      </c>
      <c r="G651" s="229" t="s">
        <v>82</v>
      </c>
      <c r="H651" s="229"/>
      <c r="I651" s="229" t="s">
        <v>2451</v>
      </c>
      <c r="J651" s="229">
        <v>-1350</v>
      </c>
      <c r="K651" s="230">
        <v>1350</v>
      </c>
      <c r="L651" s="229" t="s">
        <v>1865</v>
      </c>
      <c r="M651" s="229"/>
      <c r="N651" s="229" t="s">
        <v>263</v>
      </c>
      <c r="O651" s="229" t="s">
        <v>261</v>
      </c>
      <c r="P651" s="231"/>
    </row>
    <row r="652" spans="1:16" x14ac:dyDescent="0.25">
      <c r="A652" s="227" t="s">
        <v>1875</v>
      </c>
      <c r="B652" s="228" t="s">
        <v>1876</v>
      </c>
      <c r="C652" s="228" t="s">
        <v>928</v>
      </c>
      <c r="D652" s="228" t="s">
        <v>208</v>
      </c>
      <c r="E652" s="229"/>
      <c r="F652" s="229" t="s">
        <v>136</v>
      </c>
      <c r="G652" s="229" t="s">
        <v>82</v>
      </c>
      <c r="H652" s="229"/>
      <c r="I652" s="229" t="s">
        <v>2451</v>
      </c>
      <c r="J652" s="229">
        <v>0</v>
      </c>
      <c r="K652" s="230">
        <v>511.9921875</v>
      </c>
      <c r="L652" s="229" t="s">
        <v>1865</v>
      </c>
      <c r="M652" s="229"/>
      <c r="N652" s="229" t="s">
        <v>311</v>
      </c>
      <c r="O652" s="229" t="s">
        <v>261</v>
      </c>
      <c r="P652" s="231"/>
    </row>
    <row r="653" spans="1:16" x14ac:dyDescent="0.25">
      <c r="A653" s="227" t="s">
        <v>2143</v>
      </c>
      <c r="B653" s="228" t="s">
        <v>2144</v>
      </c>
      <c r="C653" s="228" t="s">
        <v>928</v>
      </c>
      <c r="D653" s="228" t="s">
        <v>208</v>
      </c>
      <c r="E653" s="229"/>
      <c r="F653" s="229" t="s">
        <v>136</v>
      </c>
      <c r="G653" s="229" t="s">
        <v>82</v>
      </c>
      <c r="H653" s="229"/>
      <c r="I653" s="229" t="s">
        <v>2451</v>
      </c>
      <c r="J653" s="229">
        <v>-8.8000000000000007</v>
      </c>
      <c r="K653" s="230">
        <v>8.8000000000000007</v>
      </c>
      <c r="L653" s="229" t="s">
        <v>1865</v>
      </c>
      <c r="M653" s="229"/>
      <c r="N653" s="229" t="s">
        <v>256</v>
      </c>
      <c r="O653" s="229" t="s">
        <v>261</v>
      </c>
      <c r="P653" s="231"/>
    </row>
    <row r="654" spans="1:16" x14ac:dyDescent="0.25">
      <c r="A654" s="227" t="s">
        <v>2463</v>
      </c>
      <c r="B654" s="228" t="s">
        <v>2464</v>
      </c>
      <c r="C654" s="228" t="s">
        <v>928</v>
      </c>
      <c r="D654" s="228" t="s">
        <v>208</v>
      </c>
      <c r="E654" s="229"/>
      <c r="F654" s="229" t="s">
        <v>136</v>
      </c>
      <c r="G654" s="229" t="s">
        <v>82</v>
      </c>
      <c r="H654" s="229"/>
      <c r="I654" s="229" t="b">
        <v>0</v>
      </c>
      <c r="J654" s="229" t="b">
        <v>0</v>
      </c>
      <c r="K654" s="230" t="b">
        <v>1</v>
      </c>
      <c r="L654" s="229" t="s">
        <v>1871</v>
      </c>
      <c r="M654" s="229"/>
      <c r="N654" s="229" t="s">
        <v>271</v>
      </c>
      <c r="O654" s="229" t="s">
        <v>501</v>
      </c>
      <c r="P654" s="231"/>
    </row>
    <row r="655" spans="1:16" x14ac:dyDescent="0.25">
      <c r="A655" s="227" t="s">
        <v>2081</v>
      </c>
      <c r="B655" s="228" t="s">
        <v>2082</v>
      </c>
      <c r="C655" s="228" t="s">
        <v>928</v>
      </c>
      <c r="D655" s="228" t="s">
        <v>208</v>
      </c>
      <c r="E655" s="229"/>
      <c r="F655" s="229" t="s">
        <v>138</v>
      </c>
      <c r="G655" s="229" t="s">
        <v>82</v>
      </c>
      <c r="H655" s="229"/>
      <c r="I655" s="229" t="s">
        <v>2451</v>
      </c>
      <c r="J655" s="229">
        <v>0</v>
      </c>
      <c r="K655" s="230">
        <v>8.8000000000000007</v>
      </c>
      <c r="L655" s="229" t="s">
        <v>1865</v>
      </c>
      <c r="M655" s="229">
        <v>4.8828125E-4</v>
      </c>
      <c r="N655" s="229" t="s">
        <v>256</v>
      </c>
      <c r="O655" s="229" t="s">
        <v>261</v>
      </c>
      <c r="P655" s="231"/>
    </row>
    <row r="656" spans="1:16" x14ac:dyDescent="0.25">
      <c r="A656" s="227" t="s">
        <v>2078</v>
      </c>
      <c r="B656" s="228" t="s">
        <v>2079</v>
      </c>
      <c r="C656" s="228" t="s">
        <v>928</v>
      </c>
      <c r="D656" s="228" t="s">
        <v>208</v>
      </c>
      <c r="E656" s="229"/>
      <c r="F656" s="229" t="s">
        <v>138</v>
      </c>
      <c r="G656" s="229" t="s">
        <v>82</v>
      </c>
      <c r="H656" s="229"/>
      <c r="I656" s="229" t="s">
        <v>2465</v>
      </c>
      <c r="J656" s="229">
        <v>0</v>
      </c>
      <c r="K656" s="230">
        <v>1</v>
      </c>
      <c r="L656" s="229" t="s">
        <v>1865</v>
      </c>
      <c r="M656" s="229">
        <v>3.9062500000000001E-5</v>
      </c>
      <c r="N656" s="229" t="s">
        <v>256</v>
      </c>
      <c r="O656" s="229" t="s">
        <v>261</v>
      </c>
      <c r="P656" s="231"/>
    </row>
    <row r="657" spans="1:16" x14ac:dyDescent="0.25">
      <c r="A657" s="227" t="s">
        <v>2075</v>
      </c>
      <c r="B657" s="228" t="s">
        <v>2076</v>
      </c>
      <c r="C657" s="228" t="s">
        <v>928</v>
      </c>
      <c r="D657" s="228" t="s">
        <v>208</v>
      </c>
      <c r="E657" s="229"/>
      <c r="F657" s="229" t="s">
        <v>138</v>
      </c>
      <c r="G657" s="229" t="s">
        <v>82</v>
      </c>
      <c r="H657" s="229"/>
      <c r="I657" s="229" t="s">
        <v>2451</v>
      </c>
      <c r="J657" s="229">
        <v>-8.8000000000000007</v>
      </c>
      <c r="K657" s="230">
        <v>8.8000000000000007</v>
      </c>
      <c r="L657" s="229" t="s">
        <v>1865</v>
      </c>
      <c r="M657" s="229">
        <v>4.8828125E-4</v>
      </c>
      <c r="N657" s="229" t="s">
        <v>256</v>
      </c>
      <c r="O657" s="229" t="s">
        <v>261</v>
      </c>
      <c r="P657" s="231"/>
    </row>
    <row r="658" spans="1:16" x14ac:dyDescent="0.25">
      <c r="A658" s="227" t="s">
        <v>4567</v>
      </c>
      <c r="B658" s="228" t="s">
        <v>2466</v>
      </c>
      <c r="C658" s="228" t="s">
        <v>928</v>
      </c>
      <c r="D658" s="228" t="s">
        <v>208</v>
      </c>
      <c r="E658" s="229"/>
      <c r="F658" s="229" t="s">
        <v>141</v>
      </c>
      <c r="G658" s="229" t="s">
        <v>82</v>
      </c>
      <c r="H658" s="229"/>
      <c r="I658" s="229" t="s">
        <v>1871</v>
      </c>
      <c r="J658" s="229" t="b">
        <v>0</v>
      </c>
      <c r="K658" s="230" t="b">
        <v>1</v>
      </c>
      <c r="L658" s="229" t="s">
        <v>1871</v>
      </c>
      <c r="M658" s="229" t="s">
        <v>1871</v>
      </c>
      <c r="N658" s="229" t="s">
        <v>271</v>
      </c>
      <c r="O658" s="229" t="s">
        <v>501</v>
      </c>
      <c r="P658" s="231"/>
    </row>
    <row r="659" spans="1:16" ht="39.6" x14ac:dyDescent="0.25">
      <c r="A659" s="227" t="s">
        <v>4568</v>
      </c>
      <c r="B659" s="228" t="s">
        <v>2467</v>
      </c>
      <c r="C659" s="228" t="s">
        <v>928</v>
      </c>
      <c r="D659" s="228" t="s">
        <v>208</v>
      </c>
      <c r="E659" s="229"/>
      <c r="F659" s="229" t="s">
        <v>141</v>
      </c>
      <c r="G659" s="229" t="s">
        <v>82</v>
      </c>
      <c r="H659" s="229" t="s">
        <v>2468</v>
      </c>
      <c r="I659" s="229" t="s">
        <v>1871</v>
      </c>
      <c r="J659" s="229">
        <v>0</v>
      </c>
      <c r="K659" s="230">
        <v>1440.11</v>
      </c>
      <c r="L659" s="229" t="s">
        <v>1865</v>
      </c>
      <c r="M659" s="229" t="s">
        <v>1871</v>
      </c>
      <c r="N659" s="229" t="s">
        <v>268</v>
      </c>
      <c r="O659" s="229" t="s">
        <v>261</v>
      </c>
      <c r="P659" s="231"/>
    </row>
    <row r="660" spans="1:16" ht="20.399999999999999" x14ac:dyDescent="0.25">
      <c r="A660" s="227" t="s">
        <v>4569</v>
      </c>
      <c r="B660" s="228" t="s">
        <v>2469</v>
      </c>
      <c r="C660" s="228" t="s">
        <v>928</v>
      </c>
      <c r="D660" s="228" t="s">
        <v>208</v>
      </c>
      <c r="E660" s="229"/>
      <c r="F660" s="229" t="s">
        <v>141</v>
      </c>
      <c r="G660" s="229" t="s">
        <v>82</v>
      </c>
      <c r="H660" s="229"/>
      <c r="I660" s="229" t="s">
        <v>1871</v>
      </c>
      <c r="J660" s="229">
        <v>-1440.11</v>
      </c>
      <c r="K660" s="230">
        <v>1440.11</v>
      </c>
      <c r="L660" s="229" t="s">
        <v>1865</v>
      </c>
      <c r="M660" s="229" t="s">
        <v>1871</v>
      </c>
      <c r="N660" s="229" t="s">
        <v>268</v>
      </c>
      <c r="O660" s="229" t="s">
        <v>261</v>
      </c>
      <c r="P660" s="231"/>
    </row>
    <row r="661" spans="1:16" ht="20.399999999999999" x14ac:dyDescent="0.25">
      <c r="A661" s="227" t="s">
        <v>4570</v>
      </c>
      <c r="B661" s="228" t="s">
        <v>2470</v>
      </c>
      <c r="C661" s="228" t="s">
        <v>928</v>
      </c>
      <c r="D661" s="228" t="s">
        <v>208</v>
      </c>
      <c r="E661" s="229"/>
      <c r="F661" s="229" t="s">
        <v>141</v>
      </c>
      <c r="G661" s="229" t="s">
        <v>82</v>
      </c>
      <c r="H661" s="229"/>
      <c r="I661" s="229" t="s">
        <v>1871</v>
      </c>
      <c r="J661" s="229">
        <v>0</v>
      </c>
      <c r="K661" s="230">
        <v>1</v>
      </c>
      <c r="L661" s="229" t="s">
        <v>1865</v>
      </c>
      <c r="M661" s="229" t="s">
        <v>1871</v>
      </c>
      <c r="N661" s="229" t="s">
        <v>260</v>
      </c>
      <c r="O661" s="229" t="s">
        <v>261</v>
      </c>
      <c r="P661" s="231"/>
    </row>
    <row r="662" spans="1:16" x14ac:dyDescent="0.25">
      <c r="A662" s="227" t="s">
        <v>4571</v>
      </c>
      <c r="B662" s="228" t="s">
        <v>2471</v>
      </c>
      <c r="C662" s="228" t="s">
        <v>928</v>
      </c>
      <c r="D662" s="228" t="s">
        <v>208</v>
      </c>
      <c r="E662" s="229"/>
      <c r="F662" s="229" t="s">
        <v>141</v>
      </c>
      <c r="G662" s="229" t="s">
        <v>82</v>
      </c>
      <c r="H662" s="229"/>
      <c r="I662" s="229" t="s">
        <v>1871</v>
      </c>
      <c r="J662" s="229">
        <v>0</v>
      </c>
      <c r="K662" s="230">
        <v>1</v>
      </c>
      <c r="L662" s="229" t="s">
        <v>1865</v>
      </c>
      <c r="M662" s="229" t="s">
        <v>1871</v>
      </c>
      <c r="N662" s="229" t="s">
        <v>260</v>
      </c>
      <c r="O662" s="229" t="s">
        <v>261</v>
      </c>
      <c r="P662" s="231"/>
    </row>
    <row r="663" spans="1:16" x14ac:dyDescent="0.25">
      <c r="A663" s="227" t="s">
        <v>4572</v>
      </c>
      <c r="B663" s="228" t="s">
        <v>2472</v>
      </c>
      <c r="C663" s="228" t="s">
        <v>928</v>
      </c>
      <c r="D663" s="228" t="s">
        <v>208</v>
      </c>
      <c r="E663" s="229"/>
      <c r="F663" s="229" t="s">
        <v>141</v>
      </c>
      <c r="G663" s="229" t="s">
        <v>82</v>
      </c>
      <c r="H663" s="229"/>
      <c r="I663" s="229" t="s">
        <v>1871</v>
      </c>
      <c r="J663" s="229">
        <v>0</v>
      </c>
      <c r="K663" s="230">
        <v>1</v>
      </c>
      <c r="L663" s="229" t="s">
        <v>1865</v>
      </c>
      <c r="M663" s="229" t="s">
        <v>1871</v>
      </c>
      <c r="N663" s="229" t="s">
        <v>260</v>
      </c>
      <c r="O663" s="229" t="s">
        <v>261</v>
      </c>
      <c r="P663" s="231"/>
    </row>
    <row r="664" spans="1:16" x14ac:dyDescent="0.25">
      <c r="A664" s="227" t="s">
        <v>4573</v>
      </c>
      <c r="B664" s="228" t="s">
        <v>2473</v>
      </c>
      <c r="C664" s="228" t="s">
        <v>928</v>
      </c>
      <c r="D664" s="228" t="s">
        <v>208</v>
      </c>
      <c r="E664" s="229"/>
      <c r="F664" s="229" t="s">
        <v>141</v>
      </c>
      <c r="G664" s="229" t="s">
        <v>82</v>
      </c>
      <c r="H664" s="229"/>
      <c r="I664" s="229" t="s">
        <v>1871</v>
      </c>
      <c r="J664" s="229">
        <v>0</v>
      </c>
      <c r="K664" s="230">
        <v>1</v>
      </c>
      <c r="L664" s="229" t="s">
        <v>1865</v>
      </c>
      <c r="M664" s="229" t="s">
        <v>1871</v>
      </c>
      <c r="N664" s="229" t="s">
        <v>260</v>
      </c>
      <c r="O664" s="229" t="s">
        <v>261</v>
      </c>
      <c r="P664" s="231"/>
    </row>
    <row r="665" spans="1:16" ht="20.399999999999999" x14ac:dyDescent="0.25">
      <c r="A665" s="227" t="s">
        <v>4574</v>
      </c>
      <c r="B665" s="228" t="s">
        <v>2474</v>
      </c>
      <c r="C665" s="228" t="s">
        <v>928</v>
      </c>
      <c r="D665" s="228" t="s">
        <v>208</v>
      </c>
      <c r="E665" s="229"/>
      <c r="F665" s="229" t="s">
        <v>141</v>
      </c>
      <c r="G665" s="229" t="s">
        <v>82</v>
      </c>
      <c r="H665" s="229"/>
      <c r="I665" s="229" t="s">
        <v>1871</v>
      </c>
      <c r="J665" s="229">
        <v>-20.25</v>
      </c>
      <c r="K665" s="230">
        <v>20.25</v>
      </c>
      <c r="L665" s="229" t="s">
        <v>1865</v>
      </c>
      <c r="M665" s="229" t="s">
        <v>1871</v>
      </c>
      <c r="N665" s="229" t="s">
        <v>256</v>
      </c>
      <c r="O665" s="229" t="s">
        <v>261</v>
      </c>
      <c r="P665" s="231"/>
    </row>
    <row r="666" spans="1:16" ht="20.399999999999999" x14ac:dyDescent="0.25">
      <c r="A666" s="227" t="s">
        <v>4575</v>
      </c>
      <c r="B666" s="228" t="s">
        <v>2475</v>
      </c>
      <c r="C666" s="228" t="s">
        <v>928</v>
      </c>
      <c r="D666" s="228" t="s">
        <v>208</v>
      </c>
      <c r="E666" s="229"/>
      <c r="F666" s="229" t="s">
        <v>139</v>
      </c>
      <c r="G666" s="229" t="s">
        <v>82</v>
      </c>
      <c r="H666" s="229"/>
      <c r="I666" s="229">
        <v>0</v>
      </c>
      <c r="J666" s="229">
        <v>0</v>
      </c>
      <c r="K666" s="230">
        <v>1440.11</v>
      </c>
      <c r="L666" s="229" t="s">
        <v>1865</v>
      </c>
      <c r="M666" s="229">
        <v>3.9062500000000001E-5</v>
      </c>
      <c r="N666" s="229" t="s">
        <v>256</v>
      </c>
      <c r="O666" s="229" t="s">
        <v>261</v>
      </c>
      <c r="P666" s="231"/>
    </row>
    <row r="667" spans="1:16" ht="52.8" x14ac:dyDescent="0.25">
      <c r="A667" s="227" t="s">
        <v>4576</v>
      </c>
      <c r="B667" s="228" t="s">
        <v>1871</v>
      </c>
      <c r="C667" s="228" t="s">
        <v>928</v>
      </c>
      <c r="D667" s="228" t="s">
        <v>208</v>
      </c>
      <c r="E667" s="229" t="s">
        <v>2476</v>
      </c>
      <c r="F667" s="229" t="s">
        <v>139</v>
      </c>
      <c r="G667" s="229" t="s">
        <v>82</v>
      </c>
      <c r="H667" s="229"/>
      <c r="I667" s="229">
        <v>0</v>
      </c>
      <c r="J667" s="229">
        <v>0</v>
      </c>
      <c r="K667" s="230">
        <v>1</v>
      </c>
      <c r="L667" s="229" t="s">
        <v>1865</v>
      </c>
      <c r="M667" s="229">
        <v>6.25E-2</v>
      </c>
      <c r="N667" s="229" t="s">
        <v>268</v>
      </c>
      <c r="O667" s="229" t="s">
        <v>261</v>
      </c>
      <c r="P667" s="231"/>
    </row>
    <row r="668" spans="1:16" ht="20.399999999999999" x14ac:dyDescent="0.25">
      <c r="A668" s="227" t="s">
        <v>4577</v>
      </c>
      <c r="B668" s="228" t="s">
        <v>1871</v>
      </c>
      <c r="C668" s="228" t="s">
        <v>928</v>
      </c>
      <c r="D668" s="228" t="s">
        <v>208</v>
      </c>
      <c r="E668" s="229"/>
      <c r="F668" s="229" t="s">
        <v>139</v>
      </c>
      <c r="G668" s="229" t="s">
        <v>82</v>
      </c>
      <c r="H668" s="229"/>
      <c r="I668" s="229">
        <v>0</v>
      </c>
      <c r="J668" s="229">
        <v>-10</v>
      </c>
      <c r="K668" s="230">
        <v>10</v>
      </c>
      <c r="L668" s="229" t="s">
        <v>2376</v>
      </c>
      <c r="M668" s="229">
        <v>5.9604644775390625E-8</v>
      </c>
      <c r="N668" s="229" t="s">
        <v>265</v>
      </c>
      <c r="O668" s="229" t="s">
        <v>2477</v>
      </c>
      <c r="P668" s="231"/>
    </row>
    <row r="669" spans="1:16" ht="20.399999999999999" x14ac:dyDescent="0.25">
      <c r="A669" s="227" t="s">
        <v>4578</v>
      </c>
      <c r="B669" s="228" t="s">
        <v>1871</v>
      </c>
      <c r="C669" s="228" t="s">
        <v>928</v>
      </c>
      <c r="D669" s="228" t="s">
        <v>208</v>
      </c>
      <c r="E669" s="229"/>
      <c r="F669" s="229" t="s">
        <v>139</v>
      </c>
      <c r="G669" s="229" t="s">
        <v>82</v>
      </c>
      <c r="H669" s="229"/>
      <c r="I669" s="229">
        <v>0</v>
      </c>
      <c r="J669" s="229">
        <v>0</v>
      </c>
      <c r="K669" s="230">
        <v>3</v>
      </c>
      <c r="L669" s="229" t="s">
        <v>2478</v>
      </c>
      <c r="M669" s="229" t="s">
        <v>1871</v>
      </c>
      <c r="N669" s="229" t="s">
        <v>1871</v>
      </c>
      <c r="O669" s="229" t="s">
        <v>2265</v>
      </c>
      <c r="P669" s="231"/>
    </row>
    <row r="670" spans="1:16" ht="20.399999999999999" x14ac:dyDescent="0.25">
      <c r="A670" s="227" t="s">
        <v>4579</v>
      </c>
      <c r="B670" s="228" t="s">
        <v>1871</v>
      </c>
      <c r="C670" s="228" t="s">
        <v>928</v>
      </c>
      <c r="D670" s="228" t="s">
        <v>208</v>
      </c>
      <c r="E670" s="229"/>
      <c r="F670" s="229" t="s">
        <v>139</v>
      </c>
      <c r="G670" s="229" t="s">
        <v>82</v>
      </c>
      <c r="H670" s="229"/>
      <c r="I670" s="229">
        <v>0</v>
      </c>
      <c r="J670" s="229">
        <v>0</v>
      </c>
      <c r="K670" s="230">
        <v>1</v>
      </c>
      <c r="L670" s="229" t="s">
        <v>321</v>
      </c>
      <c r="M670" s="229">
        <v>4.6566128730773926E-10</v>
      </c>
      <c r="N670" s="229" t="s">
        <v>265</v>
      </c>
      <c r="O670" s="229" t="s">
        <v>2479</v>
      </c>
      <c r="P670" s="231"/>
    </row>
    <row r="671" spans="1:16" x14ac:dyDescent="0.25">
      <c r="A671" s="227" t="s">
        <v>4580</v>
      </c>
      <c r="B671" s="228" t="s">
        <v>1871</v>
      </c>
      <c r="C671" s="228" t="s">
        <v>928</v>
      </c>
      <c r="D671" s="228" t="s">
        <v>208</v>
      </c>
      <c r="E671" s="229"/>
      <c r="F671" s="229" t="s">
        <v>139</v>
      </c>
      <c r="G671" s="229" t="s">
        <v>82</v>
      </c>
      <c r="H671" s="229"/>
      <c r="I671" s="229">
        <v>0</v>
      </c>
      <c r="J671" s="229">
        <v>-20.5</v>
      </c>
      <c r="K671" s="230">
        <v>20.5</v>
      </c>
      <c r="L671" s="229" t="s">
        <v>1865</v>
      </c>
      <c r="M671" s="229">
        <v>3.9062500000000001E-5</v>
      </c>
      <c r="N671" s="229" t="s">
        <v>256</v>
      </c>
      <c r="O671" s="229" t="s">
        <v>261</v>
      </c>
      <c r="P671" s="231"/>
    </row>
    <row r="672" spans="1:16" ht="39.6" x14ac:dyDescent="0.25">
      <c r="A672" s="227" t="s">
        <v>3698</v>
      </c>
      <c r="B672" s="228" t="s">
        <v>2480</v>
      </c>
      <c r="C672" s="228" t="s">
        <v>993</v>
      </c>
      <c r="D672" s="228" t="s">
        <v>178</v>
      </c>
      <c r="E672" s="229" t="s">
        <v>2481</v>
      </c>
      <c r="F672" s="229" t="s">
        <v>136</v>
      </c>
      <c r="G672" s="229" t="s">
        <v>82</v>
      </c>
      <c r="H672" s="229"/>
      <c r="I672" s="229" t="s">
        <v>3699</v>
      </c>
      <c r="J672" s="229">
        <v>0</v>
      </c>
      <c r="K672" s="230">
        <v>7150</v>
      </c>
      <c r="L672" s="229">
        <v>1</v>
      </c>
      <c r="M672" s="229">
        <v>1</v>
      </c>
      <c r="N672" s="229" t="s">
        <v>607</v>
      </c>
      <c r="O672" s="229" t="s">
        <v>267</v>
      </c>
      <c r="P672" s="231"/>
    </row>
    <row r="673" spans="1:16" ht="39.6" x14ac:dyDescent="0.25">
      <c r="A673" s="227" t="s">
        <v>3700</v>
      </c>
      <c r="B673" s="228" t="s">
        <v>2482</v>
      </c>
      <c r="C673" s="228" t="s">
        <v>993</v>
      </c>
      <c r="D673" s="228" t="s">
        <v>178</v>
      </c>
      <c r="E673" s="229" t="s">
        <v>2483</v>
      </c>
      <c r="F673" s="229" t="s">
        <v>136</v>
      </c>
      <c r="G673" s="229" t="s">
        <v>82</v>
      </c>
      <c r="H673" s="229"/>
      <c r="I673" s="229">
        <v>0</v>
      </c>
      <c r="J673" s="229">
        <v>2950</v>
      </c>
      <c r="K673" s="230">
        <v>7150</v>
      </c>
      <c r="L673" s="229">
        <v>1</v>
      </c>
      <c r="M673" s="229">
        <v>1</v>
      </c>
      <c r="N673" s="229" t="s">
        <v>607</v>
      </c>
      <c r="O673" s="229" t="s">
        <v>267</v>
      </c>
      <c r="P673" s="231"/>
    </row>
    <row r="674" spans="1:16" ht="26.4" x14ac:dyDescent="0.25">
      <c r="A674" s="227" t="s">
        <v>5081</v>
      </c>
      <c r="B674" s="228" t="s">
        <v>2279</v>
      </c>
      <c r="C674" s="228" t="s">
        <v>993</v>
      </c>
      <c r="D674" s="228" t="s">
        <v>186</v>
      </c>
      <c r="E674" s="229" t="s">
        <v>5082</v>
      </c>
      <c r="F674" s="229" t="s">
        <v>136</v>
      </c>
      <c r="G674" s="229" t="s">
        <v>82</v>
      </c>
      <c r="H674" s="229"/>
      <c r="I674" s="229">
        <v>0</v>
      </c>
      <c r="J674" s="229">
        <v>-8.8000000000000007</v>
      </c>
      <c r="K674" s="230">
        <v>8.8000000000000007</v>
      </c>
      <c r="L674" s="229" t="s">
        <v>1865</v>
      </c>
      <c r="M674" s="229"/>
      <c r="N674" s="229" t="s">
        <v>256</v>
      </c>
      <c r="O674" s="229" t="s">
        <v>261</v>
      </c>
      <c r="P674" s="231"/>
    </row>
    <row r="675" spans="1:16" ht="52.8" x14ac:dyDescent="0.25">
      <c r="A675" s="227" t="s">
        <v>2262</v>
      </c>
      <c r="B675" s="228" t="s">
        <v>2262</v>
      </c>
      <c r="C675" s="228" t="s">
        <v>993</v>
      </c>
      <c r="D675" s="228" t="s">
        <v>186</v>
      </c>
      <c r="E675" s="229" t="s">
        <v>5083</v>
      </c>
      <c r="F675" s="229" t="s">
        <v>136</v>
      </c>
      <c r="G675" s="229" t="s">
        <v>82</v>
      </c>
      <c r="H675" s="229"/>
      <c r="I675" s="229" t="b">
        <v>0</v>
      </c>
      <c r="J675" s="229" t="b">
        <v>0</v>
      </c>
      <c r="K675" s="230" t="b">
        <v>1</v>
      </c>
      <c r="L675" s="229" t="s">
        <v>501</v>
      </c>
      <c r="M675" s="229"/>
      <c r="N675" s="229" t="s">
        <v>607</v>
      </c>
      <c r="O675" s="229" t="s">
        <v>501</v>
      </c>
      <c r="P675" s="231"/>
    </row>
    <row r="676" spans="1:16" ht="52.8" x14ac:dyDescent="0.25">
      <c r="A676" s="227" t="s">
        <v>5084</v>
      </c>
      <c r="B676" s="228" t="s">
        <v>5084</v>
      </c>
      <c r="C676" s="228" t="s">
        <v>993</v>
      </c>
      <c r="D676" s="228" t="s">
        <v>186</v>
      </c>
      <c r="E676" s="229" t="s">
        <v>5085</v>
      </c>
      <c r="F676" s="229" t="s">
        <v>136</v>
      </c>
      <c r="G676" s="229" t="s">
        <v>82</v>
      </c>
      <c r="H676" s="229"/>
      <c r="I676" s="229" t="b">
        <v>0</v>
      </c>
      <c r="J676" s="229" t="b">
        <v>0</v>
      </c>
      <c r="K676" s="230" t="b">
        <v>1</v>
      </c>
      <c r="L676" s="229" t="s">
        <v>501</v>
      </c>
      <c r="M676" s="229"/>
      <c r="N676" s="229" t="s">
        <v>607</v>
      </c>
      <c r="O676" s="229" t="s">
        <v>501</v>
      </c>
      <c r="P676" s="231"/>
    </row>
    <row r="677" spans="1:16" ht="52.8" x14ac:dyDescent="0.25">
      <c r="A677" s="227" t="s">
        <v>3233</v>
      </c>
      <c r="B677" s="228" t="s">
        <v>5086</v>
      </c>
      <c r="C677" s="228" t="s">
        <v>993</v>
      </c>
      <c r="D677" s="228" t="s">
        <v>186</v>
      </c>
      <c r="E677" s="229" t="s">
        <v>5087</v>
      </c>
      <c r="F677" s="229" t="s">
        <v>136</v>
      </c>
      <c r="G677" s="229" t="s">
        <v>82</v>
      </c>
      <c r="H677" s="229"/>
      <c r="I677" s="229" t="b">
        <v>0</v>
      </c>
      <c r="J677" s="229" t="b">
        <v>0</v>
      </c>
      <c r="K677" s="230" t="b">
        <v>1</v>
      </c>
      <c r="L677" s="229" t="s">
        <v>501</v>
      </c>
      <c r="M677" s="229"/>
      <c r="N677" s="229" t="s">
        <v>607</v>
      </c>
      <c r="O677" s="229" t="s">
        <v>501</v>
      </c>
      <c r="P677" s="231"/>
    </row>
    <row r="678" spans="1:16" x14ac:dyDescent="0.25">
      <c r="A678" s="227" t="s">
        <v>5088</v>
      </c>
      <c r="B678" s="228" t="s">
        <v>5089</v>
      </c>
      <c r="C678" s="228" t="s">
        <v>993</v>
      </c>
      <c r="D678" s="228" t="s">
        <v>186</v>
      </c>
      <c r="E678" s="229" t="s">
        <v>5090</v>
      </c>
      <c r="F678" s="229" t="s">
        <v>138</v>
      </c>
      <c r="G678" s="229" t="s">
        <v>82</v>
      </c>
      <c r="H678" s="229"/>
      <c r="I678" s="229">
        <v>0</v>
      </c>
      <c r="J678" s="229">
        <v>2952</v>
      </c>
      <c r="K678" s="230">
        <v>7152</v>
      </c>
      <c r="L678" s="229">
        <v>1</v>
      </c>
      <c r="M678" s="229">
        <v>1</v>
      </c>
      <c r="N678" s="229" t="s">
        <v>607</v>
      </c>
      <c r="O678" s="229" t="s">
        <v>267</v>
      </c>
      <c r="P678" s="231"/>
    </row>
    <row r="679" spans="1:16" x14ac:dyDescent="0.25">
      <c r="A679" s="227" t="s">
        <v>4617</v>
      </c>
      <c r="B679" s="228"/>
      <c r="C679" s="228" t="s">
        <v>993</v>
      </c>
      <c r="D679" s="228" t="s">
        <v>186</v>
      </c>
      <c r="E679" s="229"/>
      <c r="F679" s="229" t="s">
        <v>139</v>
      </c>
      <c r="G679" s="229" t="s">
        <v>82</v>
      </c>
      <c r="H679" s="229"/>
      <c r="I679" s="229">
        <v>0</v>
      </c>
      <c r="J679" s="229">
        <v>0</v>
      </c>
      <c r="K679" s="230">
        <v>127</v>
      </c>
      <c r="L679" s="229">
        <v>1</v>
      </c>
      <c r="M679" s="229">
        <v>1</v>
      </c>
      <c r="N679" s="229" t="s">
        <v>607</v>
      </c>
      <c r="O679" s="229" t="s">
        <v>1003</v>
      </c>
      <c r="P679" s="231"/>
    </row>
    <row r="680" spans="1:16" x14ac:dyDescent="0.25">
      <c r="A680" s="227" t="s">
        <v>4618</v>
      </c>
      <c r="B680" s="228"/>
      <c r="C680" s="228" t="s">
        <v>993</v>
      </c>
      <c r="D680" s="228" t="s">
        <v>186</v>
      </c>
      <c r="E680" s="229"/>
      <c r="F680" s="229" t="s">
        <v>139</v>
      </c>
      <c r="G680" s="229" t="s">
        <v>82</v>
      </c>
      <c r="H680" s="229"/>
      <c r="I680" s="229">
        <v>0</v>
      </c>
      <c r="J680" s="229">
        <v>0</v>
      </c>
      <c r="K680" s="230">
        <v>127</v>
      </c>
      <c r="L680" s="229">
        <v>1</v>
      </c>
      <c r="M680" s="229">
        <v>1</v>
      </c>
      <c r="N680" s="229" t="s">
        <v>607</v>
      </c>
      <c r="O680" s="229" t="s">
        <v>1003</v>
      </c>
      <c r="P680" s="231"/>
    </row>
    <row r="681" spans="1:16" x14ac:dyDescent="0.25">
      <c r="A681" s="227" t="s">
        <v>4619</v>
      </c>
      <c r="B681" s="228"/>
      <c r="C681" s="228" t="s">
        <v>993</v>
      </c>
      <c r="D681" s="228" t="s">
        <v>186</v>
      </c>
      <c r="E681" s="229"/>
      <c r="F681" s="229" t="s">
        <v>139</v>
      </c>
      <c r="G681" s="229" t="s">
        <v>82</v>
      </c>
      <c r="H681" s="229"/>
      <c r="I681" s="229">
        <v>0</v>
      </c>
      <c r="J681" s="229">
        <v>0</v>
      </c>
      <c r="K681" s="230">
        <v>50</v>
      </c>
      <c r="L681" s="229">
        <v>1</v>
      </c>
      <c r="M681" s="229">
        <v>1</v>
      </c>
      <c r="N681" s="229" t="s">
        <v>607</v>
      </c>
      <c r="O681" s="229" t="s">
        <v>267</v>
      </c>
      <c r="P681" s="231"/>
    </row>
    <row r="682" spans="1:16" x14ac:dyDescent="0.25">
      <c r="A682" s="227" t="s">
        <v>4620</v>
      </c>
      <c r="B682" s="228"/>
      <c r="C682" s="228" t="s">
        <v>993</v>
      </c>
      <c r="D682" s="228" t="s">
        <v>186</v>
      </c>
      <c r="E682" s="229"/>
      <c r="F682" s="229" t="s">
        <v>139</v>
      </c>
      <c r="G682" s="229" t="s">
        <v>82</v>
      </c>
      <c r="H682" s="229"/>
      <c r="I682" s="229">
        <v>0</v>
      </c>
      <c r="J682" s="229">
        <v>0</v>
      </c>
      <c r="K682" s="230">
        <v>50</v>
      </c>
      <c r="L682" s="229">
        <v>1</v>
      </c>
      <c r="M682" s="229">
        <v>1</v>
      </c>
      <c r="N682" s="229" t="s">
        <v>607</v>
      </c>
      <c r="O682" s="229" t="s">
        <v>267</v>
      </c>
      <c r="P682" s="231"/>
    </row>
    <row r="683" spans="1:16" x14ac:dyDescent="0.25">
      <c r="A683" s="227" t="s">
        <v>4621</v>
      </c>
      <c r="B683" s="228"/>
      <c r="C683" s="228" t="s">
        <v>993</v>
      </c>
      <c r="D683" s="228" t="s">
        <v>186</v>
      </c>
      <c r="E683" s="229"/>
      <c r="F683" s="229" t="s">
        <v>139</v>
      </c>
      <c r="G683" s="229" t="s">
        <v>82</v>
      </c>
      <c r="H683" s="229"/>
      <c r="I683" s="229">
        <v>0</v>
      </c>
      <c r="J683" s="229">
        <v>-10</v>
      </c>
      <c r="K683" s="230">
        <v>10</v>
      </c>
      <c r="L683" s="229" t="s">
        <v>1865</v>
      </c>
      <c r="M683" s="229">
        <v>2.44140625E-4</v>
      </c>
      <c r="N683" s="229" t="s">
        <v>265</v>
      </c>
      <c r="O683" s="229" t="s">
        <v>261</v>
      </c>
      <c r="P683" s="231"/>
    </row>
    <row r="684" spans="1:16" x14ac:dyDescent="0.25">
      <c r="A684" s="227" t="s">
        <v>4622</v>
      </c>
      <c r="B684" s="228"/>
      <c r="C684" s="228" t="s">
        <v>993</v>
      </c>
      <c r="D684" s="228" t="s">
        <v>186</v>
      </c>
      <c r="E684" s="229"/>
      <c r="F684" s="229" t="s">
        <v>139</v>
      </c>
      <c r="G684" s="229" t="s">
        <v>82</v>
      </c>
      <c r="H684" s="229"/>
      <c r="I684" s="229">
        <v>0</v>
      </c>
      <c r="J684" s="229">
        <v>-10</v>
      </c>
      <c r="K684" s="230">
        <v>10</v>
      </c>
      <c r="L684" s="229" t="s">
        <v>1865</v>
      </c>
      <c r="M684" s="229">
        <v>2.44140625E-4</v>
      </c>
      <c r="N684" s="229" t="s">
        <v>265</v>
      </c>
      <c r="O684" s="229" t="s">
        <v>261</v>
      </c>
      <c r="P684" s="231"/>
    </row>
    <row r="685" spans="1:16" x14ac:dyDescent="0.25">
      <c r="A685" s="227" t="s">
        <v>3701</v>
      </c>
      <c r="B685" s="228"/>
      <c r="C685" s="228" t="s">
        <v>993</v>
      </c>
      <c r="D685" s="228" t="s">
        <v>186</v>
      </c>
      <c r="E685" s="229"/>
      <c r="F685" s="229" t="s">
        <v>138</v>
      </c>
      <c r="G685" s="229" t="s">
        <v>82</v>
      </c>
      <c r="H685" s="229"/>
      <c r="I685" s="229">
        <v>0</v>
      </c>
      <c r="J685" s="229">
        <v>-10</v>
      </c>
      <c r="K685" s="230">
        <v>10</v>
      </c>
      <c r="L685" s="229" t="s">
        <v>1865</v>
      </c>
      <c r="M685" s="229">
        <v>2.44140625E-4</v>
      </c>
      <c r="N685" s="229" t="s">
        <v>265</v>
      </c>
      <c r="O685" s="229" t="s">
        <v>261</v>
      </c>
      <c r="P685" s="231"/>
    </row>
    <row r="686" spans="1:16" x14ac:dyDescent="0.25">
      <c r="A686" s="227" t="s">
        <v>3702</v>
      </c>
      <c r="B686" s="228"/>
      <c r="C686" s="228" t="s">
        <v>993</v>
      </c>
      <c r="D686" s="228" t="s">
        <v>186</v>
      </c>
      <c r="E686" s="229"/>
      <c r="F686" s="229" t="s">
        <v>138</v>
      </c>
      <c r="G686" s="229" t="s">
        <v>82</v>
      </c>
      <c r="H686" s="229"/>
      <c r="I686" s="229">
        <v>0</v>
      </c>
      <c r="J686" s="229">
        <v>-10</v>
      </c>
      <c r="K686" s="230">
        <v>10</v>
      </c>
      <c r="L686" s="229" t="s">
        <v>1865</v>
      </c>
      <c r="M686" s="229">
        <v>2.44140625E-4</v>
      </c>
      <c r="N686" s="229" t="s">
        <v>265</v>
      </c>
      <c r="O686" s="229" t="s">
        <v>261</v>
      </c>
      <c r="P686" s="231"/>
    </row>
    <row r="687" spans="1:16" x14ac:dyDescent="0.25">
      <c r="A687" s="227" t="s">
        <v>4623</v>
      </c>
      <c r="B687" s="228"/>
      <c r="C687" s="228" t="s">
        <v>993</v>
      </c>
      <c r="D687" s="228" t="s">
        <v>186</v>
      </c>
      <c r="E687" s="229"/>
      <c r="F687" s="229" t="s">
        <v>139</v>
      </c>
      <c r="G687" s="229" t="s">
        <v>82</v>
      </c>
      <c r="H687" s="229"/>
      <c r="I687" s="229" t="s">
        <v>1871</v>
      </c>
      <c r="J687" s="229" t="s">
        <v>1871</v>
      </c>
      <c r="K687" s="230" t="s">
        <v>1871</v>
      </c>
      <c r="L687" s="229">
        <v>1</v>
      </c>
      <c r="M687" s="229">
        <v>1</v>
      </c>
      <c r="N687" s="229" t="s">
        <v>607</v>
      </c>
      <c r="O687" s="229" t="s">
        <v>4624</v>
      </c>
      <c r="P687" s="231"/>
    </row>
    <row r="688" spans="1:16" x14ac:dyDescent="0.25">
      <c r="A688" s="227" t="s">
        <v>4625</v>
      </c>
      <c r="B688" s="228"/>
      <c r="C688" s="228" t="s">
        <v>993</v>
      </c>
      <c r="D688" s="228" t="s">
        <v>186</v>
      </c>
      <c r="E688" s="229"/>
      <c r="F688" s="229" t="s">
        <v>139</v>
      </c>
      <c r="G688" s="229" t="s">
        <v>82</v>
      </c>
      <c r="H688" s="229"/>
      <c r="I688" s="229">
        <v>0</v>
      </c>
      <c r="J688" s="229">
        <v>0</v>
      </c>
      <c r="K688" s="230" t="s">
        <v>909</v>
      </c>
      <c r="L688" s="229">
        <v>1</v>
      </c>
      <c r="M688" s="229">
        <v>1</v>
      </c>
      <c r="N688" s="229" t="s">
        <v>607</v>
      </c>
      <c r="O688" s="229" t="s">
        <v>321</v>
      </c>
      <c r="P688" s="231"/>
    </row>
    <row r="689" spans="1:16" x14ac:dyDescent="0.25">
      <c r="A689" s="227" t="s">
        <v>4626</v>
      </c>
      <c r="B689" s="228"/>
      <c r="C689" s="228" t="s">
        <v>993</v>
      </c>
      <c r="D689" s="228" t="s">
        <v>186</v>
      </c>
      <c r="E689" s="229"/>
      <c r="F689" s="229" t="s">
        <v>139</v>
      </c>
      <c r="G689" s="229" t="s">
        <v>82</v>
      </c>
      <c r="H689" s="229"/>
      <c r="I689" s="229">
        <v>0</v>
      </c>
      <c r="J689" s="229">
        <v>0</v>
      </c>
      <c r="K689" s="230" t="s">
        <v>909</v>
      </c>
      <c r="L689" s="229">
        <v>1</v>
      </c>
      <c r="M689" s="229">
        <v>1</v>
      </c>
      <c r="N689" s="229" t="s">
        <v>607</v>
      </c>
      <c r="O689" s="229" t="s">
        <v>321</v>
      </c>
      <c r="P689" s="231"/>
    </row>
    <row r="690" spans="1:16" x14ac:dyDescent="0.25">
      <c r="A690" s="227" t="s">
        <v>4627</v>
      </c>
      <c r="B690" s="228"/>
      <c r="C690" s="228" t="s">
        <v>993</v>
      </c>
      <c r="D690" s="228" t="s">
        <v>186</v>
      </c>
      <c r="E690" s="229"/>
      <c r="F690" s="229" t="s">
        <v>139</v>
      </c>
      <c r="G690" s="229" t="s">
        <v>82</v>
      </c>
      <c r="H690" s="229"/>
      <c r="I690" s="229">
        <v>0</v>
      </c>
      <c r="J690" s="229">
        <v>0</v>
      </c>
      <c r="K690" s="230" t="s">
        <v>909</v>
      </c>
      <c r="L690" s="229">
        <v>1</v>
      </c>
      <c r="M690" s="229">
        <v>1</v>
      </c>
      <c r="N690" s="229" t="s">
        <v>607</v>
      </c>
      <c r="O690" s="229" t="s">
        <v>321</v>
      </c>
      <c r="P690" s="231"/>
    </row>
    <row r="691" spans="1:16" x14ac:dyDescent="0.25">
      <c r="A691" s="227" t="s">
        <v>4628</v>
      </c>
      <c r="B691" s="228"/>
      <c r="C691" s="228" t="s">
        <v>993</v>
      </c>
      <c r="D691" s="228" t="s">
        <v>186</v>
      </c>
      <c r="E691" s="229"/>
      <c r="F691" s="229" t="s">
        <v>139</v>
      </c>
      <c r="G691" s="229" t="s">
        <v>82</v>
      </c>
      <c r="H691" s="229"/>
      <c r="I691" s="229">
        <v>0</v>
      </c>
      <c r="J691" s="229">
        <v>0</v>
      </c>
      <c r="K691" s="230" t="s">
        <v>909</v>
      </c>
      <c r="L691" s="229">
        <v>1</v>
      </c>
      <c r="M691" s="229">
        <v>1</v>
      </c>
      <c r="N691" s="229" t="s">
        <v>607</v>
      </c>
      <c r="O691" s="229" t="s">
        <v>321</v>
      </c>
      <c r="P691" s="231"/>
    </row>
    <row r="692" spans="1:16" x14ac:dyDescent="0.25">
      <c r="A692" s="227" t="s">
        <v>4629</v>
      </c>
      <c r="B692" s="228"/>
      <c r="C692" s="228" t="s">
        <v>993</v>
      </c>
      <c r="D692" s="228" t="s">
        <v>186</v>
      </c>
      <c r="E692" s="229"/>
      <c r="F692" s="229" t="s">
        <v>139</v>
      </c>
      <c r="G692" s="229" t="s">
        <v>82</v>
      </c>
      <c r="H692" s="229"/>
      <c r="I692" s="229">
        <v>0</v>
      </c>
      <c r="J692" s="229">
        <v>0</v>
      </c>
      <c r="K692" s="230" t="s">
        <v>909</v>
      </c>
      <c r="L692" s="229">
        <v>1</v>
      </c>
      <c r="M692" s="229">
        <v>1</v>
      </c>
      <c r="N692" s="229" t="s">
        <v>607</v>
      </c>
      <c r="O692" s="229" t="s">
        <v>321</v>
      </c>
      <c r="P692" s="231"/>
    </row>
    <row r="693" spans="1:16" x14ac:dyDescent="0.25">
      <c r="A693" s="227" t="s">
        <v>4630</v>
      </c>
      <c r="B693" s="228"/>
      <c r="C693" s="228" t="s">
        <v>993</v>
      </c>
      <c r="D693" s="228" t="s">
        <v>186</v>
      </c>
      <c r="E693" s="229"/>
      <c r="F693" s="229" t="s">
        <v>141</v>
      </c>
      <c r="G693" s="229" t="s">
        <v>82</v>
      </c>
      <c r="H693" s="229"/>
      <c r="I693" s="229">
        <v>0</v>
      </c>
      <c r="J693" s="229">
        <v>0</v>
      </c>
      <c r="K693" s="230" t="s">
        <v>909</v>
      </c>
      <c r="L693" s="229">
        <v>1</v>
      </c>
      <c r="M693" s="229">
        <v>1</v>
      </c>
      <c r="N693" s="229" t="s">
        <v>607</v>
      </c>
      <c r="O693" s="229" t="s">
        <v>1003</v>
      </c>
      <c r="P693" s="231"/>
    </row>
    <row r="694" spans="1:16" x14ac:dyDescent="0.25">
      <c r="A694" s="227" t="s">
        <v>4631</v>
      </c>
      <c r="B694" s="228"/>
      <c r="C694" s="228" t="s">
        <v>993</v>
      </c>
      <c r="D694" s="228" t="s">
        <v>186</v>
      </c>
      <c r="E694" s="229"/>
      <c r="F694" s="229" t="s">
        <v>141</v>
      </c>
      <c r="G694" s="229" t="s">
        <v>82</v>
      </c>
      <c r="H694" s="229"/>
      <c r="I694" s="229">
        <v>0</v>
      </c>
      <c r="J694" s="229">
        <v>0</v>
      </c>
      <c r="K694" s="230" t="s">
        <v>909</v>
      </c>
      <c r="L694" s="229">
        <v>1</v>
      </c>
      <c r="M694" s="229">
        <v>1</v>
      </c>
      <c r="N694" s="229" t="s">
        <v>607</v>
      </c>
      <c r="O694" s="229" t="s">
        <v>1003</v>
      </c>
      <c r="P694" s="231"/>
    </row>
    <row r="695" spans="1:16" x14ac:dyDescent="0.25">
      <c r="A695" s="227" t="s">
        <v>5091</v>
      </c>
      <c r="B695" s="228" t="s">
        <v>5092</v>
      </c>
      <c r="C695" s="228" t="s">
        <v>993</v>
      </c>
      <c r="D695" s="228" t="s">
        <v>186</v>
      </c>
      <c r="E695" s="229"/>
      <c r="F695" s="229" t="s">
        <v>138</v>
      </c>
      <c r="G695" s="229" t="s">
        <v>82</v>
      </c>
      <c r="H695" s="229"/>
      <c r="I695" s="229" t="b">
        <v>0</v>
      </c>
      <c r="J695" s="229" t="b">
        <v>0</v>
      </c>
      <c r="K695" s="230" t="b">
        <v>1</v>
      </c>
      <c r="L695" s="229" t="s">
        <v>501</v>
      </c>
      <c r="M695" s="229">
        <v>0</v>
      </c>
      <c r="N695" s="229" t="s">
        <v>607</v>
      </c>
      <c r="O695" s="229" t="s">
        <v>501</v>
      </c>
      <c r="P695" s="231"/>
    </row>
    <row r="696" spans="1:16" x14ac:dyDescent="0.25">
      <c r="A696" s="227" t="s">
        <v>2075</v>
      </c>
      <c r="B696" s="228" t="s">
        <v>2076</v>
      </c>
      <c r="C696" s="228" t="s">
        <v>3481</v>
      </c>
      <c r="D696" s="228" t="s">
        <v>244</v>
      </c>
      <c r="E696" s="229"/>
      <c r="F696" s="229" t="s">
        <v>136</v>
      </c>
      <c r="G696" s="229" t="s">
        <v>82</v>
      </c>
      <c r="H696" s="229"/>
      <c r="I696" s="229">
        <v>0</v>
      </c>
      <c r="J696" s="229">
        <v>-8.8000000000000007</v>
      </c>
      <c r="K696" s="230">
        <v>8.8000000000000007</v>
      </c>
      <c r="L696" s="229" t="s">
        <v>1865</v>
      </c>
      <c r="M696" s="229"/>
      <c r="N696" s="229" t="s">
        <v>256</v>
      </c>
      <c r="O696" s="229" t="s">
        <v>261</v>
      </c>
      <c r="P696" s="231"/>
    </row>
    <row r="697" spans="1:16" x14ac:dyDescent="0.25">
      <c r="A697" s="227" t="s">
        <v>1868</v>
      </c>
      <c r="B697" s="228" t="s">
        <v>2361</v>
      </c>
      <c r="C697" s="228" t="s">
        <v>3481</v>
      </c>
      <c r="D697" s="228" t="s">
        <v>244</v>
      </c>
      <c r="E697" s="229"/>
      <c r="F697" s="229" t="s">
        <v>136</v>
      </c>
      <c r="G697" s="229" t="s">
        <v>82</v>
      </c>
      <c r="H697" s="229"/>
      <c r="I697" s="229">
        <v>0</v>
      </c>
      <c r="J697" s="229">
        <v>-1118</v>
      </c>
      <c r="K697" s="230">
        <v>1118</v>
      </c>
      <c r="L697" s="229" t="s">
        <v>1865</v>
      </c>
      <c r="M697" s="229"/>
      <c r="N697" s="229" t="s">
        <v>256</v>
      </c>
      <c r="O697" s="229" t="s">
        <v>261</v>
      </c>
      <c r="P697" s="231"/>
    </row>
    <row r="698" spans="1:16" x14ac:dyDescent="0.25">
      <c r="A698" s="227" t="s">
        <v>1889</v>
      </c>
      <c r="B698" s="228" t="s">
        <v>1878</v>
      </c>
      <c r="C698" s="228" t="s">
        <v>3481</v>
      </c>
      <c r="D698" s="228" t="s">
        <v>244</v>
      </c>
      <c r="E698" s="229"/>
      <c r="F698" s="229" t="s">
        <v>136</v>
      </c>
      <c r="G698" s="229" t="s">
        <v>82</v>
      </c>
      <c r="H698" s="229"/>
      <c r="I698" s="229">
        <v>0</v>
      </c>
      <c r="J698" s="229">
        <v>0</v>
      </c>
      <c r="K698" s="230">
        <v>1</v>
      </c>
      <c r="L698" s="229" t="s">
        <v>1865</v>
      </c>
      <c r="M698" s="229"/>
      <c r="N698" s="229" t="s">
        <v>260</v>
      </c>
      <c r="O698" s="229" t="s">
        <v>261</v>
      </c>
      <c r="P698" s="231"/>
    </row>
    <row r="699" spans="1:16" x14ac:dyDescent="0.25">
      <c r="A699" s="227" t="s">
        <v>1887</v>
      </c>
      <c r="B699" s="228" t="s">
        <v>1880</v>
      </c>
      <c r="C699" s="228" t="s">
        <v>3481</v>
      </c>
      <c r="D699" s="228" t="s">
        <v>244</v>
      </c>
      <c r="E699" s="229"/>
      <c r="F699" s="229" t="s">
        <v>136</v>
      </c>
      <c r="G699" s="229" t="s">
        <v>82</v>
      </c>
      <c r="H699" s="229"/>
      <c r="I699" s="229">
        <v>0</v>
      </c>
      <c r="J699" s="229">
        <v>-1600</v>
      </c>
      <c r="K699" s="230">
        <v>1600</v>
      </c>
      <c r="L699" s="229" t="s">
        <v>1865</v>
      </c>
      <c r="M699" s="229"/>
      <c r="N699" s="229" t="s">
        <v>268</v>
      </c>
      <c r="O699" s="229" t="s">
        <v>261</v>
      </c>
      <c r="P699" s="231"/>
    </row>
    <row r="700" spans="1:16" x14ac:dyDescent="0.25">
      <c r="A700" s="227" t="s">
        <v>3604</v>
      </c>
      <c r="B700" s="228" t="s">
        <v>3605</v>
      </c>
      <c r="C700" s="228" t="s">
        <v>3481</v>
      </c>
      <c r="D700" s="228" t="s">
        <v>244</v>
      </c>
      <c r="E700" s="229"/>
      <c r="F700" s="229" t="s">
        <v>138</v>
      </c>
      <c r="G700" s="229" t="s">
        <v>82</v>
      </c>
      <c r="H700" s="229"/>
      <c r="I700" s="229">
        <v>0</v>
      </c>
      <c r="J700" s="229">
        <v>-8.8000000000000007</v>
      </c>
      <c r="K700" s="230">
        <v>8.8000000000000007</v>
      </c>
      <c r="L700" s="229" t="s">
        <v>1865</v>
      </c>
      <c r="M700" s="229">
        <v>4.8828100000000002E-4</v>
      </c>
      <c r="N700" s="229" t="s">
        <v>256</v>
      </c>
      <c r="O700" s="229" t="s">
        <v>261</v>
      </c>
      <c r="P700" s="231"/>
    </row>
    <row r="701" spans="1:16" x14ac:dyDescent="0.25">
      <c r="A701" s="227" t="s">
        <v>3606</v>
      </c>
      <c r="B701" s="228" t="s">
        <v>3607</v>
      </c>
      <c r="C701" s="228" t="s">
        <v>3481</v>
      </c>
      <c r="D701" s="228" t="s">
        <v>244</v>
      </c>
      <c r="E701" s="229"/>
      <c r="F701" s="229" t="s">
        <v>141</v>
      </c>
      <c r="G701" s="229" t="s">
        <v>82</v>
      </c>
      <c r="H701" s="229"/>
      <c r="I701" s="229">
        <v>0</v>
      </c>
      <c r="J701" s="229">
        <v>-16</v>
      </c>
      <c r="K701" s="230">
        <v>16</v>
      </c>
      <c r="L701" s="229" t="s">
        <v>1865</v>
      </c>
      <c r="M701" s="229">
        <v>4.8828100000000002E-4</v>
      </c>
      <c r="N701" s="229" t="s">
        <v>256</v>
      </c>
      <c r="O701" s="229" t="s">
        <v>261</v>
      </c>
      <c r="P701" s="231"/>
    </row>
    <row r="702" spans="1:16" x14ac:dyDescent="0.25">
      <c r="A702" s="227" t="s">
        <v>3608</v>
      </c>
      <c r="B702" s="228" t="s">
        <v>3609</v>
      </c>
      <c r="C702" s="228" t="s">
        <v>3481</v>
      </c>
      <c r="D702" s="228" t="s">
        <v>244</v>
      </c>
      <c r="E702" s="229"/>
      <c r="F702" s="229" t="s">
        <v>141</v>
      </c>
      <c r="G702" s="229" t="s">
        <v>82</v>
      </c>
      <c r="H702" s="229"/>
      <c r="I702" s="229">
        <v>0</v>
      </c>
      <c r="J702" s="229">
        <v>-8.8000000000000007</v>
      </c>
      <c r="K702" s="230">
        <v>8.8000000000000007</v>
      </c>
      <c r="L702" s="229" t="s">
        <v>1865</v>
      </c>
      <c r="M702" s="229">
        <v>4.8828100000000002E-4</v>
      </c>
      <c r="N702" s="229" t="s">
        <v>256</v>
      </c>
      <c r="O702" s="229" t="s">
        <v>261</v>
      </c>
      <c r="P702" s="231"/>
    </row>
    <row r="703" spans="1:16" x14ac:dyDescent="0.25">
      <c r="A703" s="227" t="s">
        <v>3610</v>
      </c>
      <c r="B703" s="228" t="s">
        <v>3611</v>
      </c>
      <c r="C703" s="228" t="s">
        <v>3481</v>
      </c>
      <c r="D703" s="228" t="s">
        <v>244</v>
      </c>
      <c r="E703" s="229"/>
      <c r="F703" s="229" t="s">
        <v>141</v>
      </c>
      <c r="G703" s="229" t="s">
        <v>82</v>
      </c>
      <c r="H703" s="229"/>
      <c r="I703" s="229">
        <v>0</v>
      </c>
      <c r="J703" s="229">
        <v>-16</v>
      </c>
      <c r="K703" s="230">
        <v>16</v>
      </c>
      <c r="L703" s="229" t="s">
        <v>1865</v>
      </c>
      <c r="M703" s="229">
        <v>4.8828100000000002E-4</v>
      </c>
      <c r="N703" s="229" t="s">
        <v>256</v>
      </c>
      <c r="O703" s="229" t="s">
        <v>261</v>
      </c>
      <c r="P703" s="231"/>
    </row>
    <row r="704" spans="1:16" x14ac:dyDescent="0.25">
      <c r="A704" s="227" t="s">
        <v>3612</v>
      </c>
      <c r="B704" s="228" t="s">
        <v>3613</v>
      </c>
      <c r="C704" s="228" t="s">
        <v>3481</v>
      </c>
      <c r="D704" s="228" t="s">
        <v>244</v>
      </c>
      <c r="E704" s="229"/>
      <c r="F704" s="229" t="s">
        <v>141</v>
      </c>
      <c r="G704" s="229" t="s">
        <v>82</v>
      </c>
      <c r="H704" s="229"/>
      <c r="I704" s="229">
        <v>0</v>
      </c>
      <c r="J704" s="229">
        <v>-16</v>
      </c>
      <c r="K704" s="230">
        <v>16</v>
      </c>
      <c r="L704" s="229" t="s">
        <v>1865</v>
      </c>
      <c r="M704" s="229">
        <v>4.8828100000000002E-4</v>
      </c>
      <c r="N704" s="229" t="s">
        <v>256</v>
      </c>
      <c r="O704" s="229" t="s">
        <v>261</v>
      </c>
      <c r="P704" s="231"/>
    </row>
    <row r="705" spans="1:16" x14ac:dyDescent="0.25">
      <c r="A705" s="227" t="s">
        <v>3614</v>
      </c>
      <c r="B705" s="228" t="s">
        <v>3615</v>
      </c>
      <c r="C705" s="228" t="s">
        <v>3481</v>
      </c>
      <c r="D705" s="228" t="s">
        <v>244</v>
      </c>
      <c r="E705" s="229"/>
      <c r="F705" s="229" t="s">
        <v>141</v>
      </c>
      <c r="G705" s="229" t="s">
        <v>82</v>
      </c>
      <c r="H705" s="229"/>
      <c r="I705" s="229" t="b">
        <v>0</v>
      </c>
      <c r="J705" s="229" t="b">
        <v>0</v>
      </c>
      <c r="K705" s="230" t="b">
        <v>1</v>
      </c>
      <c r="L705" s="229" t="s">
        <v>1871</v>
      </c>
      <c r="M705" s="229" t="s">
        <v>1871</v>
      </c>
      <c r="N705" s="229" t="s">
        <v>271</v>
      </c>
      <c r="O705" s="229" t="s">
        <v>501</v>
      </c>
      <c r="P705" s="231"/>
    </row>
    <row r="706" spans="1:16" x14ac:dyDescent="0.25">
      <c r="A706" s="227" t="s">
        <v>3616</v>
      </c>
      <c r="B706" s="228" t="s">
        <v>3617</v>
      </c>
      <c r="C706" s="228" t="s">
        <v>3481</v>
      </c>
      <c r="D706" s="228" t="s">
        <v>244</v>
      </c>
      <c r="E706" s="229"/>
      <c r="F706" s="229" t="s">
        <v>141</v>
      </c>
      <c r="G706" s="229" t="s">
        <v>82</v>
      </c>
      <c r="H706" s="229"/>
      <c r="I706" s="229" t="b">
        <v>0</v>
      </c>
      <c r="J706" s="229" t="b">
        <v>0</v>
      </c>
      <c r="K706" s="230" t="b">
        <v>1</v>
      </c>
      <c r="L706" s="229" t="s">
        <v>1871</v>
      </c>
      <c r="M706" s="229" t="s">
        <v>1871</v>
      </c>
      <c r="N706" s="229" t="s">
        <v>271</v>
      </c>
      <c r="O706" s="229" t="s">
        <v>501</v>
      </c>
      <c r="P706" s="231"/>
    </row>
    <row r="707" spans="1:16" ht="52.8" x14ac:dyDescent="0.25">
      <c r="A707" s="227" t="s">
        <v>3618</v>
      </c>
      <c r="B707" s="228" t="s">
        <v>2171</v>
      </c>
      <c r="C707" s="228" t="s">
        <v>3481</v>
      </c>
      <c r="D707" s="228" t="s">
        <v>244</v>
      </c>
      <c r="E707" s="229" t="s">
        <v>1981</v>
      </c>
      <c r="F707" s="229" t="s">
        <v>136</v>
      </c>
      <c r="G707" s="229" t="s">
        <v>82</v>
      </c>
      <c r="H707" s="229" t="s">
        <v>3619</v>
      </c>
      <c r="I707" s="229">
        <v>0</v>
      </c>
      <c r="J707" s="229">
        <v>0</v>
      </c>
      <c r="K707" s="230">
        <v>255</v>
      </c>
      <c r="L707" s="229" t="s">
        <v>1865</v>
      </c>
      <c r="M707" s="229"/>
      <c r="N707" s="229" t="s">
        <v>311</v>
      </c>
      <c r="O707" s="229" t="s">
        <v>261</v>
      </c>
      <c r="P707" s="231"/>
    </row>
    <row r="708" spans="1:16" x14ac:dyDescent="0.25">
      <c r="A708" s="227" t="s">
        <v>3620</v>
      </c>
      <c r="B708" s="228" t="s">
        <v>2464</v>
      </c>
      <c r="C708" s="228" t="s">
        <v>3481</v>
      </c>
      <c r="D708" s="228" t="s">
        <v>244</v>
      </c>
      <c r="E708" s="229"/>
      <c r="F708" s="229" t="s">
        <v>136</v>
      </c>
      <c r="G708" s="229"/>
      <c r="H708" s="229"/>
      <c r="I708" s="229" t="b">
        <v>0</v>
      </c>
      <c r="J708" s="229" t="b">
        <v>0</v>
      </c>
      <c r="K708" s="230" t="b">
        <v>1</v>
      </c>
      <c r="L708" s="229" t="s">
        <v>1871</v>
      </c>
      <c r="M708" s="229" t="s">
        <v>1871</v>
      </c>
      <c r="N708" s="229" t="s">
        <v>271</v>
      </c>
      <c r="O708" s="229" t="s">
        <v>929</v>
      </c>
      <c r="P708" s="231"/>
    </row>
    <row r="709" spans="1:16" ht="52.8" x14ac:dyDescent="0.25">
      <c r="A709" s="227" t="s">
        <v>2068</v>
      </c>
      <c r="B709" s="228" t="s">
        <v>2069</v>
      </c>
      <c r="C709" s="228" t="s">
        <v>3481</v>
      </c>
      <c r="D709" s="228" t="s">
        <v>244</v>
      </c>
      <c r="E709" s="229" t="s">
        <v>2070</v>
      </c>
      <c r="F709" s="229" t="s">
        <v>136</v>
      </c>
      <c r="G709" s="229" t="s">
        <v>82</v>
      </c>
      <c r="H709" s="229"/>
      <c r="I709" s="229">
        <v>0</v>
      </c>
      <c r="J709" s="229">
        <v>0</v>
      </c>
      <c r="K709" s="230">
        <v>2</v>
      </c>
      <c r="L709" s="229">
        <v>1</v>
      </c>
      <c r="M709" s="229"/>
      <c r="N709" s="229" t="s">
        <v>271</v>
      </c>
      <c r="O709" s="229" t="s">
        <v>2071</v>
      </c>
      <c r="P709" s="231"/>
    </row>
    <row r="710" spans="1:16" x14ac:dyDescent="0.25">
      <c r="A710" s="227" t="s">
        <v>3621</v>
      </c>
      <c r="B710" s="228" t="s">
        <v>3622</v>
      </c>
      <c r="C710" s="228" t="s">
        <v>3481</v>
      </c>
      <c r="D710" s="228" t="s">
        <v>244</v>
      </c>
      <c r="E710" s="229"/>
      <c r="F710" s="229" t="s">
        <v>139</v>
      </c>
      <c r="G710" s="229" t="s">
        <v>82</v>
      </c>
      <c r="H710" s="229"/>
      <c r="I710" s="229">
        <v>0</v>
      </c>
      <c r="J710" s="229">
        <v>0</v>
      </c>
      <c r="K710" s="230">
        <v>2</v>
      </c>
      <c r="L710" s="229">
        <v>1</v>
      </c>
      <c r="M710" s="229" t="s">
        <v>1871</v>
      </c>
      <c r="N710" s="229" t="s">
        <v>271</v>
      </c>
      <c r="O710" s="229" t="s">
        <v>1003</v>
      </c>
      <c r="P710" s="231"/>
    </row>
    <row r="711" spans="1:16" ht="39.6" x14ac:dyDescent="0.25">
      <c r="A711" s="227" t="s">
        <v>2297</v>
      </c>
      <c r="B711" s="228" t="s">
        <v>1869</v>
      </c>
      <c r="C711" s="228" t="s">
        <v>3946</v>
      </c>
      <c r="D711" s="228" t="s">
        <v>242</v>
      </c>
      <c r="E711" s="229" t="s">
        <v>2362</v>
      </c>
      <c r="F711" s="229" t="s">
        <v>136</v>
      </c>
      <c r="G711" s="229" t="s">
        <v>82</v>
      </c>
      <c r="H711" s="229"/>
      <c r="I711" s="229">
        <v>0</v>
      </c>
      <c r="J711" s="229">
        <v>-1118</v>
      </c>
      <c r="K711" s="230">
        <v>1118</v>
      </c>
      <c r="L711" s="229" t="s">
        <v>1865</v>
      </c>
      <c r="M711" s="229"/>
      <c r="N711" s="229" t="s">
        <v>263</v>
      </c>
      <c r="O711" s="229" t="s">
        <v>261</v>
      </c>
      <c r="P711" s="231"/>
    </row>
    <row r="712" spans="1:16" ht="92.4" x14ac:dyDescent="0.25">
      <c r="A712" s="227" t="s">
        <v>3947</v>
      </c>
      <c r="B712" s="228" t="s">
        <v>3948</v>
      </c>
      <c r="C712" s="228" t="s">
        <v>3946</v>
      </c>
      <c r="D712" s="228" t="s">
        <v>242</v>
      </c>
      <c r="E712" s="229" t="s">
        <v>3949</v>
      </c>
      <c r="F712" s="229" t="s">
        <v>139</v>
      </c>
      <c r="G712" s="229" t="s">
        <v>82</v>
      </c>
      <c r="H712" s="229"/>
      <c r="I712" s="229" t="s">
        <v>3950</v>
      </c>
      <c r="J712" s="229"/>
      <c r="K712" s="230"/>
      <c r="L712" s="229"/>
      <c r="M712" s="229"/>
      <c r="N712" s="229"/>
      <c r="O712" s="229" t="s">
        <v>3951</v>
      </c>
      <c r="P712" s="231"/>
    </row>
    <row r="713" spans="1:16" ht="79.2" x14ac:dyDescent="0.25">
      <c r="A713" s="227" t="s">
        <v>3952</v>
      </c>
      <c r="B713" s="228" t="s">
        <v>3953</v>
      </c>
      <c r="C713" s="228" t="s">
        <v>3946</v>
      </c>
      <c r="D713" s="228" t="s">
        <v>242</v>
      </c>
      <c r="E713" s="229" t="s">
        <v>3954</v>
      </c>
      <c r="F713" s="229" t="s">
        <v>139</v>
      </c>
      <c r="G713" s="229" t="s">
        <v>82</v>
      </c>
      <c r="H713" s="229"/>
      <c r="I713" s="229">
        <v>0</v>
      </c>
      <c r="J713" s="229">
        <v>0</v>
      </c>
      <c r="K713" s="230">
        <v>255</v>
      </c>
      <c r="L713" s="229">
        <v>1</v>
      </c>
      <c r="M713" s="229">
        <v>1</v>
      </c>
      <c r="N713" s="229" t="s">
        <v>424</v>
      </c>
      <c r="O713" s="229" t="s">
        <v>1003</v>
      </c>
      <c r="P713" s="231"/>
    </row>
    <row r="714" spans="1:16" ht="66" x14ac:dyDescent="0.25">
      <c r="A714" s="227" t="s">
        <v>3955</v>
      </c>
      <c r="B714" s="228" t="s">
        <v>3956</v>
      </c>
      <c r="C714" s="228" t="s">
        <v>3946</v>
      </c>
      <c r="D714" s="228" t="s">
        <v>242</v>
      </c>
      <c r="E714" s="229" t="s">
        <v>3957</v>
      </c>
      <c r="F714" s="229" t="s">
        <v>139</v>
      </c>
      <c r="G714" s="229" t="s">
        <v>82</v>
      </c>
      <c r="H714" s="229"/>
      <c r="I714" s="229">
        <v>0</v>
      </c>
      <c r="J714" s="229">
        <v>0</v>
      </c>
      <c r="K714" s="230">
        <v>5</v>
      </c>
      <c r="L714" s="229" t="s">
        <v>1865</v>
      </c>
      <c r="M714" s="229">
        <v>1.220703125E-4</v>
      </c>
      <c r="N714" s="229" t="s">
        <v>300</v>
      </c>
      <c r="O714" s="229" t="s">
        <v>261</v>
      </c>
      <c r="P714" s="231"/>
    </row>
    <row r="715" spans="1:16" ht="92.4" x14ac:dyDescent="0.25">
      <c r="A715" s="227" t="s">
        <v>3958</v>
      </c>
      <c r="B715" s="228" t="s">
        <v>3959</v>
      </c>
      <c r="C715" s="228" t="s">
        <v>3946</v>
      </c>
      <c r="D715" s="228" t="s">
        <v>242</v>
      </c>
      <c r="E715" s="229" t="s">
        <v>3960</v>
      </c>
      <c r="F715" s="229" t="s">
        <v>139</v>
      </c>
      <c r="G715" s="229" t="s">
        <v>82</v>
      </c>
      <c r="H715" s="229"/>
      <c r="I715" s="229">
        <v>0</v>
      </c>
      <c r="J715" s="229">
        <v>-15</v>
      </c>
      <c r="K715" s="230">
        <v>15</v>
      </c>
      <c r="L715" s="229" t="s">
        <v>1865</v>
      </c>
      <c r="M715" s="229">
        <v>9.765625E-4</v>
      </c>
      <c r="N715" s="229" t="s">
        <v>300</v>
      </c>
      <c r="O715" s="229" t="s">
        <v>261</v>
      </c>
      <c r="P715" s="231"/>
    </row>
    <row r="716" spans="1:16" ht="39.6" x14ac:dyDescent="0.25">
      <c r="A716" s="227" t="s">
        <v>3961</v>
      </c>
      <c r="B716" s="228" t="s">
        <v>3962</v>
      </c>
      <c r="C716" s="228" t="s">
        <v>3946</v>
      </c>
      <c r="D716" s="228" t="s">
        <v>242</v>
      </c>
      <c r="E716" s="229" t="s">
        <v>3963</v>
      </c>
      <c r="F716" s="229" t="s">
        <v>139</v>
      </c>
      <c r="G716" s="229" t="s">
        <v>82</v>
      </c>
      <c r="H716" s="229"/>
      <c r="I716" s="229">
        <v>0</v>
      </c>
      <c r="J716" s="229">
        <v>0.1</v>
      </c>
      <c r="K716" s="230">
        <v>20</v>
      </c>
      <c r="L716" s="229" t="s">
        <v>1865</v>
      </c>
      <c r="M716" s="229">
        <v>9.765625E-4</v>
      </c>
      <c r="N716" s="229" t="s">
        <v>262</v>
      </c>
      <c r="O716" s="229" t="s">
        <v>261</v>
      </c>
      <c r="P716" s="231"/>
    </row>
    <row r="717" spans="1:16" ht="52.8" x14ac:dyDescent="0.25">
      <c r="A717" s="227" t="s">
        <v>3964</v>
      </c>
      <c r="B717" s="228" t="s">
        <v>3965</v>
      </c>
      <c r="C717" s="228" t="s">
        <v>3946</v>
      </c>
      <c r="D717" s="228" t="s">
        <v>242</v>
      </c>
      <c r="E717" s="229" t="s">
        <v>3966</v>
      </c>
      <c r="F717" s="229" t="s">
        <v>139</v>
      </c>
      <c r="G717" s="229" t="s">
        <v>82</v>
      </c>
      <c r="H717" s="229"/>
      <c r="I717" s="229">
        <v>0</v>
      </c>
      <c r="J717" s="229">
        <v>0</v>
      </c>
      <c r="K717" s="230">
        <v>15</v>
      </c>
      <c r="L717" s="229" t="s">
        <v>1865</v>
      </c>
      <c r="M717" s="229">
        <v>2.44140625E-4</v>
      </c>
      <c r="N717" s="229" t="s">
        <v>300</v>
      </c>
      <c r="O717" s="229" t="s">
        <v>261</v>
      </c>
      <c r="P717" s="231"/>
    </row>
    <row r="718" spans="1:16" ht="118.8" x14ac:dyDescent="0.25">
      <c r="A718" s="227" t="s">
        <v>3967</v>
      </c>
      <c r="B718" s="228" t="s">
        <v>3968</v>
      </c>
      <c r="C718" s="228" t="s">
        <v>3946</v>
      </c>
      <c r="D718" s="228" t="s">
        <v>242</v>
      </c>
      <c r="E718" s="229" t="s">
        <v>3969</v>
      </c>
      <c r="F718" s="229" t="s">
        <v>139</v>
      </c>
      <c r="G718" s="229" t="s">
        <v>82</v>
      </c>
      <c r="H718" s="229"/>
      <c r="I718" s="229">
        <v>0</v>
      </c>
      <c r="J718" s="229">
        <v>0</v>
      </c>
      <c r="K718" s="230">
        <v>800</v>
      </c>
      <c r="L718" s="229" t="s">
        <v>1865</v>
      </c>
      <c r="M718" s="229">
        <v>1.5625E-2</v>
      </c>
      <c r="N718" s="229" t="s">
        <v>263</v>
      </c>
      <c r="O718" s="229" t="s">
        <v>261</v>
      </c>
      <c r="P718" s="231"/>
    </row>
    <row r="719" spans="1:16" ht="145.19999999999999" x14ac:dyDescent="0.25">
      <c r="A719" s="227" t="s">
        <v>3970</v>
      </c>
      <c r="B719" s="228" t="s">
        <v>3971</v>
      </c>
      <c r="C719" s="228" t="s">
        <v>3946</v>
      </c>
      <c r="D719" s="228" t="s">
        <v>242</v>
      </c>
      <c r="E719" s="229" t="s">
        <v>3972</v>
      </c>
      <c r="F719" s="229" t="s">
        <v>139</v>
      </c>
      <c r="G719" s="229" t="s">
        <v>82</v>
      </c>
      <c r="H719" s="229"/>
      <c r="I719" s="229" t="b">
        <v>0</v>
      </c>
      <c r="J719" s="229" t="b">
        <v>0</v>
      </c>
      <c r="K719" s="230" t="b">
        <v>1</v>
      </c>
      <c r="L719" s="229" t="s">
        <v>1883</v>
      </c>
      <c r="M719" s="229" t="s">
        <v>1883</v>
      </c>
      <c r="N719" s="229" t="s">
        <v>424</v>
      </c>
      <c r="O719" s="229" t="s">
        <v>501</v>
      </c>
      <c r="P719" s="231"/>
    </row>
    <row r="720" spans="1:16" ht="39.6" x14ac:dyDescent="0.25">
      <c r="A720" s="227" t="s">
        <v>3973</v>
      </c>
      <c r="B720" s="228" t="s">
        <v>3974</v>
      </c>
      <c r="C720" s="228" t="s">
        <v>3946</v>
      </c>
      <c r="D720" s="228" t="s">
        <v>242</v>
      </c>
      <c r="E720" s="229" t="s">
        <v>3975</v>
      </c>
      <c r="F720" s="229" t="s">
        <v>139</v>
      </c>
      <c r="G720" s="229" t="s">
        <v>82</v>
      </c>
      <c r="H720" s="229"/>
      <c r="I720" s="229">
        <v>0</v>
      </c>
      <c r="J720" s="229">
        <v>0</v>
      </c>
      <c r="K720" s="230">
        <v>10000</v>
      </c>
      <c r="L720" s="229">
        <v>1</v>
      </c>
      <c r="M720" s="229">
        <v>1</v>
      </c>
      <c r="N720" s="229" t="s">
        <v>273</v>
      </c>
      <c r="O720" s="229" t="s">
        <v>321</v>
      </c>
      <c r="P720" s="231"/>
    </row>
    <row r="721" spans="1:16" ht="105.6" x14ac:dyDescent="0.25">
      <c r="A721" s="227" t="s">
        <v>3976</v>
      </c>
      <c r="B721" s="228" t="s">
        <v>3977</v>
      </c>
      <c r="C721" s="228" t="s">
        <v>3946</v>
      </c>
      <c r="D721" s="228" t="s">
        <v>242</v>
      </c>
      <c r="E721" s="229" t="s">
        <v>3978</v>
      </c>
      <c r="F721" s="229" t="s">
        <v>139</v>
      </c>
      <c r="G721" s="229" t="s">
        <v>82</v>
      </c>
      <c r="H721" s="229"/>
      <c r="I721" s="229">
        <v>0</v>
      </c>
      <c r="J721" s="229">
        <v>1</v>
      </c>
      <c r="K721" s="230">
        <v>2</v>
      </c>
      <c r="L721" s="229" t="s">
        <v>1865</v>
      </c>
      <c r="M721" s="229">
        <v>6.103515625E-5</v>
      </c>
      <c r="N721" s="229" t="s">
        <v>300</v>
      </c>
      <c r="O721" s="229" t="s">
        <v>261</v>
      </c>
      <c r="P721" s="231"/>
    </row>
    <row r="722" spans="1:16" x14ac:dyDescent="0.25">
      <c r="A722" s="227" t="s">
        <v>3979</v>
      </c>
      <c r="B722" s="228" t="s">
        <v>3980</v>
      </c>
      <c r="C722" s="228" t="s">
        <v>3946</v>
      </c>
      <c r="D722" s="228" t="s">
        <v>242</v>
      </c>
      <c r="E722" s="229"/>
      <c r="F722" s="229" t="s">
        <v>139</v>
      </c>
      <c r="G722" s="229" t="s">
        <v>82</v>
      </c>
      <c r="H722" s="229"/>
      <c r="I722" s="229" t="b">
        <v>0</v>
      </c>
      <c r="J722" s="229" t="b">
        <v>0</v>
      </c>
      <c r="K722" s="230" t="b">
        <v>1</v>
      </c>
      <c r="L722" s="229" t="s">
        <v>1883</v>
      </c>
      <c r="M722" s="229" t="s">
        <v>1883</v>
      </c>
      <c r="N722" s="229" t="s">
        <v>424</v>
      </c>
      <c r="O722" s="229" t="s">
        <v>501</v>
      </c>
      <c r="P722" s="231"/>
    </row>
    <row r="723" spans="1:16" x14ac:dyDescent="0.25">
      <c r="A723" s="227" t="s">
        <v>3981</v>
      </c>
      <c r="B723" s="228"/>
      <c r="C723" s="228" t="s">
        <v>3946</v>
      </c>
      <c r="D723" s="228" t="s">
        <v>242</v>
      </c>
      <c r="E723" s="229"/>
      <c r="F723" s="229" t="s">
        <v>139</v>
      </c>
      <c r="G723" s="229" t="s">
        <v>82</v>
      </c>
      <c r="H723" s="229"/>
      <c r="I723" s="229" t="b">
        <v>0</v>
      </c>
      <c r="J723" s="229" t="b">
        <v>0</v>
      </c>
      <c r="K723" s="230" t="b">
        <v>1</v>
      </c>
      <c r="L723" s="229" t="s">
        <v>1883</v>
      </c>
      <c r="M723" s="229" t="s">
        <v>1883</v>
      </c>
      <c r="N723" s="229" t="s">
        <v>424</v>
      </c>
      <c r="O723" s="229" t="s">
        <v>501</v>
      </c>
      <c r="P723" s="231"/>
    </row>
    <row r="724" spans="1:16" x14ac:dyDescent="0.25">
      <c r="A724" s="227" t="s">
        <v>3982</v>
      </c>
      <c r="B724" s="228" t="s">
        <v>3953</v>
      </c>
      <c r="C724" s="228" t="s">
        <v>3946</v>
      </c>
      <c r="D724" s="228" t="s">
        <v>242</v>
      </c>
      <c r="E724" s="229"/>
      <c r="F724" s="229" t="s">
        <v>139</v>
      </c>
      <c r="G724" s="229" t="s">
        <v>82</v>
      </c>
      <c r="H724" s="229"/>
      <c r="I724" s="229">
        <v>0</v>
      </c>
      <c r="J724" s="229">
        <v>0</v>
      </c>
      <c r="K724" s="230">
        <v>255</v>
      </c>
      <c r="L724" s="229">
        <v>1</v>
      </c>
      <c r="M724" s="229">
        <v>1</v>
      </c>
      <c r="N724" s="229" t="s">
        <v>424</v>
      </c>
      <c r="O724" s="229" t="s">
        <v>1003</v>
      </c>
      <c r="P724" s="231"/>
    </row>
    <row r="725" spans="1:16" x14ac:dyDescent="0.25">
      <c r="A725" s="227" t="s">
        <v>3983</v>
      </c>
      <c r="B725" s="228" t="s">
        <v>3984</v>
      </c>
      <c r="C725" s="228" t="s">
        <v>3946</v>
      </c>
      <c r="D725" s="228" t="s">
        <v>242</v>
      </c>
      <c r="E725" s="229"/>
      <c r="F725" s="229" t="s">
        <v>139</v>
      </c>
      <c r="G725" s="229" t="s">
        <v>82</v>
      </c>
      <c r="H725" s="229"/>
      <c r="I725" s="229">
        <v>0</v>
      </c>
      <c r="J725" s="229">
        <v>0</v>
      </c>
      <c r="K725" s="230">
        <v>5</v>
      </c>
      <c r="L725" s="229" t="s">
        <v>1865</v>
      </c>
      <c r="M725" s="229">
        <v>1.220703125E-4</v>
      </c>
      <c r="N725" s="229" t="s">
        <v>300</v>
      </c>
      <c r="O725" s="229" t="s">
        <v>261</v>
      </c>
      <c r="P725" s="231"/>
    </row>
    <row r="726" spans="1:16" x14ac:dyDescent="0.25">
      <c r="A726" s="227" t="s">
        <v>3985</v>
      </c>
      <c r="B726" s="228" t="s">
        <v>3986</v>
      </c>
      <c r="C726" s="228" t="s">
        <v>3946</v>
      </c>
      <c r="D726" s="228" t="s">
        <v>242</v>
      </c>
      <c r="E726" s="229"/>
      <c r="F726" s="229" t="s">
        <v>139</v>
      </c>
      <c r="G726" s="229" t="s">
        <v>82</v>
      </c>
      <c r="H726" s="229"/>
      <c r="I726" s="229">
        <v>0</v>
      </c>
      <c r="J726" s="229">
        <v>-15</v>
      </c>
      <c r="K726" s="230">
        <v>15</v>
      </c>
      <c r="L726" s="229" t="s">
        <v>1865</v>
      </c>
      <c r="M726" s="229">
        <v>9.765625E-4</v>
      </c>
      <c r="N726" s="229" t="s">
        <v>300</v>
      </c>
      <c r="O726" s="229" t="s">
        <v>261</v>
      </c>
      <c r="P726" s="231"/>
    </row>
    <row r="727" spans="1:16" x14ac:dyDescent="0.25">
      <c r="A727" s="227" t="s">
        <v>3987</v>
      </c>
      <c r="B727" s="228" t="s">
        <v>3988</v>
      </c>
      <c r="C727" s="228" t="s">
        <v>3946</v>
      </c>
      <c r="D727" s="228" t="s">
        <v>242</v>
      </c>
      <c r="E727" s="229"/>
      <c r="F727" s="229" t="s">
        <v>139</v>
      </c>
      <c r="G727" s="229" t="s">
        <v>82</v>
      </c>
      <c r="H727" s="229"/>
      <c r="I727" s="229">
        <v>0</v>
      </c>
      <c r="J727" s="229">
        <v>0</v>
      </c>
      <c r="K727" s="230">
        <v>15</v>
      </c>
      <c r="L727" s="229" t="s">
        <v>1865</v>
      </c>
      <c r="M727" s="229">
        <v>2.44140625E-4</v>
      </c>
      <c r="N727" s="229" t="s">
        <v>300</v>
      </c>
      <c r="O727" s="229" t="s">
        <v>261</v>
      </c>
      <c r="P727" s="231"/>
    </row>
    <row r="728" spans="1:16" x14ac:dyDescent="0.25">
      <c r="A728" s="227" t="s">
        <v>3989</v>
      </c>
      <c r="B728" s="228" t="s">
        <v>3990</v>
      </c>
      <c r="C728" s="228" t="s">
        <v>3946</v>
      </c>
      <c r="D728" s="228" t="s">
        <v>242</v>
      </c>
      <c r="E728" s="229"/>
      <c r="F728" s="229" t="s">
        <v>139</v>
      </c>
      <c r="G728" s="229" t="s">
        <v>82</v>
      </c>
      <c r="H728" s="229"/>
      <c r="I728" s="229">
        <v>0</v>
      </c>
      <c r="J728" s="229">
        <v>0</v>
      </c>
      <c r="K728" s="230">
        <v>10000</v>
      </c>
      <c r="L728" s="229">
        <v>1</v>
      </c>
      <c r="M728" s="229">
        <v>1</v>
      </c>
      <c r="N728" s="229" t="s">
        <v>273</v>
      </c>
      <c r="O728" s="229" t="s">
        <v>321</v>
      </c>
      <c r="P728" s="231"/>
    </row>
    <row r="729" spans="1:16" x14ac:dyDescent="0.25">
      <c r="A729" s="227" t="s">
        <v>3991</v>
      </c>
      <c r="B729" s="228"/>
      <c r="C729" s="228" t="s">
        <v>3946</v>
      </c>
      <c r="D729" s="228" t="s">
        <v>242</v>
      </c>
      <c r="E729" s="229"/>
      <c r="F729" s="229" t="s">
        <v>139</v>
      </c>
      <c r="G729" s="229" t="s">
        <v>82</v>
      </c>
      <c r="H729" s="229"/>
      <c r="I729" s="229">
        <v>0</v>
      </c>
      <c r="J729" s="229">
        <v>0</v>
      </c>
      <c r="K729" s="230">
        <v>4294967295</v>
      </c>
      <c r="L729" s="229">
        <v>1</v>
      </c>
      <c r="M729" s="229">
        <v>1</v>
      </c>
      <c r="N729" s="229" t="s">
        <v>273</v>
      </c>
      <c r="O729" s="229" t="s">
        <v>321</v>
      </c>
      <c r="P729" s="231"/>
    </row>
    <row r="730" spans="1:16" x14ac:dyDescent="0.25">
      <c r="A730" s="227" t="s">
        <v>3992</v>
      </c>
      <c r="B730" s="228"/>
      <c r="C730" s="228" t="s">
        <v>3946</v>
      </c>
      <c r="D730" s="228" t="s">
        <v>242</v>
      </c>
      <c r="E730" s="229"/>
      <c r="F730" s="229" t="s">
        <v>139</v>
      </c>
      <c r="G730" s="229" t="s">
        <v>82</v>
      </c>
      <c r="H730" s="229"/>
      <c r="I730" s="229">
        <v>0</v>
      </c>
      <c r="J730" s="229">
        <v>0</v>
      </c>
      <c r="K730" s="230">
        <v>0.12566370614359174</v>
      </c>
      <c r="L730" s="229" t="s">
        <v>1865</v>
      </c>
      <c r="M730" s="229">
        <v>3.814697265625E-6</v>
      </c>
      <c r="N730" s="229" t="s">
        <v>3993</v>
      </c>
      <c r="O730" s="229" t="s">
        <v>261</v>
      </c>
      <c r="P730" s="231"/>
    </row>
    <row r="731" spans="1:16" x14ac:dyDescent="0.25">
      <c r="A731" s="227" t="s">
        <v>3994</v>
      </c>
      <c r="B731" s="228" t="s">
        <v>3995</v>
      </c>
      <c r="C731" s="228" t="s">
        <v>3946</v>
      </c>
      <c r="D731" s="228" t="s">
        <v>242</v>
      </c>
      <c r="E731" s="229"/>
      <c r="F731" s="229" t="s">
        <v>139</v>
      </c>
      <c r="G731" s="229" t="s">
        <v>82</v>
      </c>
      <c r="H731" s="229"/>
      <c r="I731" s="229">
        <v>0</v>
      </c>
      <c r="J731" s="229">
        <v>-30</v>
      </c>
      <c r="K731" s="230">
        <v>30</v>
      </c>
      <c r="L731" s="229" t="s">
        <v>1865</v>
      </c>
      <c r="M731" s="229">
        <v>9.765625E-4</v>
      </c>
      <c r="N731" s="229" t="s">
        <v>300</v>
      </c>
      <c r="O731" s="229" t="s">
        <v>261</v>
      </c>
      <c r="P731" s="231"/>
    </row>
    <row r="732" spans="1:16" ht="30.6" x14ac:dyDescent="0.25">
      <c r="A732" s="227" t="s">
        <v>1884</v>
      </c>
      <c r="B732" s="228" t="s">
        <v>1885</v>
      </c>
      <c r="C732" s="228" t="s">
        <v>2484</v>
      </c>
      <c r="D732" s="228" t="s">
        <v>204</v>
      </c>
      <c r="E732" s="229"/>
      <c r="F732" s="229" t="s">
        <v>136</v>
      </c>
      <c r="G732" s="229" t="s">
        <v>82</v>
      </c>
      <c r="H732" s="229"/>
      <c r="I732" s="229">
        <v>0</v>
      </c>
      <c r="J732" s="229">
        <v>-10</v>
      </c>
      <c r="K732" s="230">
        <v>10</v>
      </c>
      <c r="L732" s="229" t="s">
        <v>2283</v>
      </c>
      <c r="M732" s="229" t="s">
        <v>1871</v>
      </c>
      <c r="N732" s="229" t="s">
        <v>265</v>
      </c>
      <c r="O732" s="229" t="s">
        <v>261</v>
      </c>
      <c r="P732" s="231"/>
    </row>
    <row r="733" spans="1:16" ht="30.6" x14ac:dyDescent="0.25">
      <c r="A733" s="227" t="s">
        <v>2462</v>
      </c>
      <c r="B733" s="228" t="s">
        <v>1869</v>
      </c>
      <c r="C733" s="228" t="s">
        <v>2484</v>
      </c>
      <c r="D733" s="228" t="s">
        <v>204</v>
      </c>
      <c r="E733" s="229"/>
      <c r="F733" s="229" t="s">
        <v>136</v>
      </c>
      <c r="G733" s="229" t="s">
        <v>82</v>
      </c>
      <c r="H733" s="229"/>
      <c r="I733" s="229">
        <v>0</v>
      </c>
      <c r="J733" s="229">
        <v>-1118</v>
      </c>
      <c r="K733" s="230">
        <v>1118</v>
      </c>
      <c r="L733" s="229" t="s">
        <v>2283</v>
      </c>
      <c r="M733" s="229" t="s">
        <v>1871</v>
      </c>
      <c r="N733" s="229" t="s">
        <v>263</v>
      </c>
      <c r="O733" s="229" t="s">
        <v>261</v>
      </c>
      <c r="P733" s="231"/>
    </row>
    <row r="734" spans="1:16" ht="30.6" x14ac:dyDescent="0.25">
      <c r="A734" s="227" t="s">
        <v>2001</v>
      </c>
      <c r="B734" s="228" t="s">
        <v>2002</v>
      </c>
      <c r="C734" s="228" t="s">
        <v>2484</v>
      </c>
      <c r="D734" s="228" t="s">
        <v>204</v>
      </c>
      <c r="E734" s="229"/>
      <c r="F734" s="229" t="s">
        <v>136</v>
      </c>
      <c r="G734" s="229" t="s">
        <v>82</v>
      </c>
      <c r="H734" s="229"/>
      <c r="I734" s="229">
        <v>0</v>
      </c>
      <c r="J734" s="229">
        <v>-8.8000000000000007</v>
      </c>
      <c r="K734" s="230">
        <v>8.8000000000000007</v>
      </c>
      <c r="L734" s="229" t="s">
        <v>2283</v>
      </c>
      <c r="M734" s="229" t="s">
        <v>1871</v>
      </c>
      <c r="N734" s="229" t="s">
        <v>256</v>
      </c>
      <c r="O734" s="229" t="s">
        <v>261</v>
      </c>
      <c r="P734" s="231"/>
    </row>
    <row r="735" spans="1:16" ht="30.6" x14ac:dyDescent="0.25">
      <c r="A735" s="227" t="s">
        <v>1875</v>
      </c>
      <c r="B735" s="228" t="s">
        <v>1876</v>
      </c>
      <c r="C735" s="228" t="s">
        <v>2484</v>
      </c>
      <c r="D735" s="228" t="s">
        <v>204</v>
      </c>
      <c r="E735" s="229"/>
      <c r="F735" s="229" t="s">
        <v>136</v>
      </c>
      <c r="G735" s="229" t="s">
        <v>82</v>
      </c>
      <c r="H735" s="229"/>
      <c r="I735" s="229">
        <v>0</v>
      </c>
      <c r="J735" s="229">
        <v>0</v>
      </c>
      <c r="K735" s="230">
        <v>512</v>
      </c>
      <c r="L735" s="229" t="s">
        <v>2283</v>
      </c>
      <c r="M735" s="229" t="s">
        <v>1871</v>
      </c>
      <c r="N735" s="229" t="s">
        <v>311</v>
      </c>
      <c r="O735" s="229" t="s">
        <v>261</v>
      </c>
      <c r="P735" s="231"/>
    </row>
    <row r="736" spans="1:16" ht="30.6" x14ac:dyDescent="0.25">
      <c r="A736" s="227" t="s">
        <v>1990</v>
      </c>
      <c r="B736" s="228" t="s">
        <v>1991</v>
      </c>
      <c r="C736" s="228" t="s">
        <v>2484</v>
      </c>
      <c r="D736" s="228" t="s">
        <v>204</v>
      </c>
      <c r="E736" s="229"/>
      <c r="F736" s="229" t="s">
        <v>136</v>
      </c>
      <c r="G736" s="229" t="s">
        <v>82</v>
      </c>
      <c r="H736" s="229"/>
      <c r="I736" s="229">
        <v>0</v>
      </c>
      <c r="J736" s="229">
        <v>0</v>
      </c>
      <c r="K736" s="230">
        <v>8.8000000000000007</v>
      </c>
      <c r="L736" s="229" t="s">
        <v>2283</v>
      </c>
      <c r="M736" s="229" t="s">
        <v>1871</v>
      </c>
      <c r="N736" s="229" t="s">
        <v>256</v>
      </c>
      <c r="O736" s="229" t="s">
        <v>261</v>
      </c>
      <c r="P736" s="231"/>
    </row>
    <row r="737" spans="1:16" ht="30.6" x14ac:dyDescent="0.25">
      <c r="A737" s="227" t="s">
        <v>2373</v>
      </c>
      <c r="B737" s="228" t="s">
        <v>2374</v>
      </c>
      <c r="C737" s="228" t="s">
        <v>2484</v>
      </c>
      <c r="D737" s="228" t="s">
        <v>204</v>
      </c>
      <c r="E737" s="229"/>
      <c r="F737" s="229" t="s">
        <v>136</v>
      </c>
      <c r="G737" s="229" t="s">
        <v>82</v>
      </c>
      <c r="H737" s="229"/>
      <c r="I737" s="229" t="b">
        <v>0</v>
      </c>
      <c r="J737" s="229" t="b">
        <v>0</v>
      </c>
      <c r="K737" s="230" t="b">
        <v>1</v>
      </c>
      <c r="L737" s="229" t="s">
        <v>1871</v>
      </c>
      <c r="M737" s="229" t="s">
        <v>1871</v>
      </c>
      <c r="N737" s="229" t="s">
        <v>271</v>
      </c>
      <c r="O737" s="229" t="s">
        <v>501</v>
      </c>
      <c r="P737" s="231"/>
    </row>
    <row r="738" spans="1:16" ht="30.6" x14ac:dyDescent="0.25">
      <c r="A738" s="227" t="s">
        <v>2485</v>
      </c>
      <c r="B738" s="228" t="s">
        <v>2358</v>
      </c>
      <c r="C738" s="228" t="s">
        <v>2484</v>
      </c>
      <c r="D738" s="228" t="s">
        <v>204</v>
      </c>
      <c r="E738" s="229"/>
      <c r="F738" s="229" t="s">
        <v>138</v>
      </c>
      <c r="G738" s="229" t="s">
        <v>82</v>
      </c>
      <c r="H738" s="229"/>
      <c r="I738" s="229">
        <v>0</v>
      </c>
      <c r="J738" s="229">
        <v>-8.8000000000000007</v>
      </c>
      <c r="K738" s="230">
        <v>8.8000000000000007</v>
      </c>
      <c r="L738" s="229" t="s">
        <v>2283</v>
      </c>
      <c r="M738" s="229">
        <v>4.8828125E-4</v>
      </c>
      <c r="N738" s="229" t="s">
        <v>256</v>
      </c>
      <c r="O738" s="229" t="s">
        <v>261</v>
      </c>
      <c r="P738" s="231"/>
    </row>
    <row r="739" spans="1:16" ht="30.6" x14ac:dyDescent="0.25">
      <c r="A739" s="227" t="s">
        <v>2486</v>
      </c>
      <c r="B739" s="228" t="s">
        <v>2487</v>
      </c>
      <c r="C739" s="228" t="s">
        <v>2484</v>
      </c>
      <c r="D739" s="228" t="s">
        <v>204</v>
      </c>
      <c r="E739" s="229"/>
      <c r="F739" s="229" t="s">
        <v>141</v>
      </c>
      <c r="G739" s="229" t="s">
        <v>82</v>
      </c>
      <c r="H739" s="229"/>
      <c r="I739" s="229" t="s">
        <v>1871</v>
      </c>
      <c r="J739" s="229" t="s">
        <v>1871</v>
      </c>
      <c r="K739" s="230" t="s">
        <v>1871</v>
      </c>
      <c r="L739" s="229" t="s">
        <v>1871</v>
      </c>
      <c r="M739" s="229" t="s">
        <v>1871</v>
      </c>
      <c r="N739" s="229" t="s">
        <v>1871</v>
      </c>
      <c r="O739" s="229" t="s">
        <v>261</v>
      </c>
      <c r="P739" s="231"/>
    </row>
    <row r="740" spans="1:16" ht="30.6" x14ac:dyDescent="0.25">
      <c r="A740" s="227" t="s">
        <v>2488</v>
      </c>
      <c r="B740" s="228" t="s">
        <v>2489</v>
      </c>
      <c r="C740" s="228" t="s">
        <v>2484</v>
      </c>
      <c r="D740" s="228" t="s">
        <v>204</v>
      </c>
      <c r="E740" s="229"/>
      <c r="F740" s="229" t="s">
        <v>141</v>
      </c>
      <c r="G740" s="229" t="s">
        <v>82</v>
      </c>
      <c r="H740" s="229"/>
      <c r="I740" s="229" t="s">
        <v>1871</v>
      </c>
      <c r="J740" s="229" t="s">
        <v>1871</v>
      </c>
      <c r="K740" s="230" t="s">
        <v>1871</v>
      </c>
      <c r="L740" s="229" t="s">
        <v>1871</v>
      </c>
      <c r="M740" s="229" t="s">
        <v>1871</v>
      </c>
      <c r="N740" s="229" t="s">
        <v>1871</v>
      </c>
      <c r="O740" s="229" t="s">
        <v>261</v>
      </c>
      <c r="P740" s="231"/>
    </row>
    <row r="741" spans="1:16" ht="30.6" x14ac:dyDescent="0.25">
      <c r="A741" s="227" t="s">
        <v>2490</v>
      </c>
      <c r="B741" s="228" t="s">
        <v>2491</v>
      </c>
      <c r="C741" s="228" t="s">
        <v>2484</v>
      </c>
      <c r="D741" s="228" t="s">
        <v>204</v>
      </c>
      <c r="E741" s="229"/>
      <c r="F741" s="229" t="s">
        <v>141</v>
      </c>
      <c r="G741" s="229" t="s">
        <v>82</v>
      </c>
      <c r="H741" s="229"/>
      <c r="I741" s="229" t="s">
        <v>1871</v>
      </c>
      <c r="J741" s="229" t="s">
        <v>1871</v>
      </c>
      <c r="K741" s="230" t="s">
        <v>1871</v>
      </c>
      <c r="L741" s="229" t="s">
        <v>1871</v>
      </c>
      <c r="M741" s="229" t="s">
        <v>1871</v>
      </c>
      <c r="N741" s="229" t="s">
        <v>1871</v>
      </c>
      <c r="O741" s="229" t="s">
        <v>261</v>
      </c>
      <c r="P741" s="231"/>
    </row>
    <row r="742" spans="1:16" ht="30.6" x14ac:dyDescent="0.25">
      <c r="A742" s="227" t="s">
        <v>2492</v>
      </c>
      <c r="B742" s="228" t="s">
        <v>2493</v>
      </c>
      <c r="C742" s="228" t="s">
        <v>2484</v>
      </c>
      <c r="D742" s="228" t="s">
        <v>204</v>
      </c>
      <c r="E742" s="229"/>
      <c r="F742" s="229" t="s">
        <v>141</v>
      </c>
      <c r="G742" s="229" t="s">
        <v>82</v>
      </c>
      <c r="H742" s="229"/>
      <c r="I742" s="229" t="s">
        <v>1871</v>
      </c>
      <c r="J742" s="229" t="s">
        <v>1871</v>
      </c>
      <c r="K742" s="230" t="s">
        <v>1871</v>
      </c>
      <c r="L742" s="229" t="s">
        <v>1871</v>
      </c>
      <c r="M742" s="229" t="s">
        <v>1871</v>
      </c>
      <c r="N742" s="229" t="s">
        <v>1871</v>
      </c>
      <c r="O742" s="229" t="s">
        <v>261</v>
      </c>
      <c r="P742" s="231"/>
    </row>
    <row r="743" spans="1:16" ht="30.6" x14ac:dyDescent="0.25">
      <c r="A743" s="227" t="s">
        <v>2494</v>
      </c>
      <c r="B743" s="228" t="s">
        <v>2495</v>
      </c>
      <c r="C743" s="228" t="s">
        <v>2484</v>
      </c>
      <c r="D743" s="228" t="s">
        <v>204</v>
      </c>
      <c r="E743" s="229"/>
      <c r="F743" s="229" t="s">
        <v>141</v>
      </c>
      <c r="G743" s="229" t="s">
        <v>82</v>
      </c>
      <c r="H743" s="229"/>
      <c r="I743" s="229" t="s">
        <v>1871</v>
      </c>
      <c r="J743" s="229" t="s">
        <v>1871</v>
      </c>
      <c r="K743" s="230" t="s">
        <v>1871</v>
      </c>
      <c r="L743" s="229" t="s">
        <v>1871</v>
      </c>
      <c r="M743" s="229" t="s">
        <v>1871</v>
      </c>
      <c r="N743" s="229" t="s">
        <v>1871</v>
      </c>
      <c r="O743" s="229" t="s">
        <v>261</v>
      </c>
      <c r="P743" s="231"/>
    </row>
    <row r="744" spans="1:16" ht="30.6" x14ac:dyDescent="0.25">
      <c r="A744" s="227" t="s">
        <v>2496</v>
      </c>
      <c r="B744" s="228" t="s">
        <v>2496</v>
      </c>
      <c r="C744" s="228" t="s">
        <v>2484</v>
      </c>
      <c r="D744" s="228" t="s">
        <v>204</v>
      </c>
      <c r="E744" s="229"/>
      <c r="F744" s="229" t="s">
        <v>139</v>
      </c>
      <c r="G744" s="229" t="s">
        <v>82</v>
      </c>
      <c r="H744" s="229"/>
      <c r="I744" s="229">
        <v>0</v>
      </c>
      <c r="J744" s="229">
        <v>-20</v>
      </c>
      <c r="K744" s="230">
        <v>20</v>
      </c>
      <c r="L744" s="229" t="s">
        <v>2283</v>
      </c>
      <c r="M744" s="229">
        <v>3.90625E-3</v>
      </c>
      <c r="N744" s="229" t="s">
        <v>268</v>
      </c>
      <c r="O744" s="229" t="s">
        <v>261</v>
      </c>
      <c r="P744" s="231"/>
    </row>
    <row r="745" spans="1:16" ht="30.6" x14ac:dyDescent="0.25">
      <c r="A745" s="227" t="s">
        <v>2497</v>
      </c>
      <c r="B745" s="228" t="s">
        <v>2497</v>
      </c>
      <c r="C745" s="228" t="s">
        <v>2484</v>
      </c>
      <c r="D745" s="228" t="s">
        <v>204</v>
      </c>
      <c r="E745" s="229"/>
      <c r="F745" s="229" t="s">
        <v>139</v>
      </c>
      <c r="G745" s="229" t="s">
        <v>82</v>
      </c>
      <c r="H745" s="229"/>
      <c r="I745" s="229">
        <v>0</v>
      </c>
      <c r="J745" s="229">
        <v>-12917.3</v>
      </c>
      <c r="K745" s="230">
        <v>12917.3</v>
      </c>
      <c r="L745" s="229" t="s">
        <v>2283</v>
      </c>
      <c r="M745" s="229">
        <v>3.90625E-3</v>
      </c>
      <c r="N745" s="229" t="s">
        <v>2380</v>
      </c>
      <c r="O745" s="229" t="s">
        <v>261</v>
      </c>
      <c r="P745" s="231"/>
    </row>
    <row r="746" spans="1:16" ht="30.6" x14ac:dyDescent="0.25">
      <c r="A746" s="227" t="s">
        <v>2498</v>
      </c>
      <c r="B746" s="228" t="s">
        <v>2498</v>
      </c>
      <c r="C746" s="228" t="s">
        <v>2484</v>
      </c>
      <c r="D746" s="228" t="s">
        <v>204</v>
      </c>
      <c r="E746" s="229"/>
      <c r="F746" s="229" t="s">
        <v>139</v>
      </c>
      <c r="G746" s="229" t="s">
        <v>82</v>
      </c>
      <c r="H746" s="229"/>
      <c r="I746" s="229">
        <v>0</v>
      </c>
      <c r="J746" s="229">
        <v>-12917.3</v>
      </c>
      <c r="K746" s="230">
        <v>12917.3</v>
      </c>
      <c r="L746" s="229" t="s">
        <v>2283</v>
      </c>
      <c r="M746" s="229">
        <v>3.90625E-3</v>
      </c>
      <c r="N746" s="229" t="s">
        <v>2380</v>
      </c>
      <c r="O746" s="229" t="s">
        <v>261</v>
      </c>
      <c r="P746" s="231"/>
    </row>
    <row r="747" spans="1:16" ht="30.6" x14ac:dyDescent="0.25">
      <c r="A747" s="227" t="s">
        <v>2499</v>
      </c>
      <c r="B747" s="228" t="s">
        <v>2499</v>
      </c>
      <c r="C747" s="228" t="s">
        <v>2484</v>
      </c>
      <c r="D747" s="228" t="s">
        <v>204</v>
      </c>
      <c r="E747" s="229"/>
      <c r="F747" s="229" t="s">
        <v>139</v>
      </c>
      <c r="G747" s="229" t="s">
        <v>82</v>
      </c>
      <c r="H747" s="229"/>
      <c r="I747" s="229">
        <v>0</v>
      </c>
      <c r="J747" s="229">
        <v>-8.8000000000000007</v>
      </c>
      <c r="K747" s="230">
        <v>8.8000000000000007</v>
      </c>
      <c r="L747" s="229" t="s">
        <v>2283</v>
      </c>
      <c r="M747" s="229">
        <v>4.8828125E-4</v>
      </c>
      <c r="N747" s="229" t="s">
        <v>256</v>
      </c>
      <c r="O747" s="229" t="s">
        <v>261</v>
      </c>
      <c r="P747" s="231"/>
    </row>
    <row r="748" spans="1:16" ht="30.6" x14ac:dyDescent="0.25">
      <c r="A748" s="227" t="s">
        <v>2500</v>
      </c>
      <c r="B748" s="228" t="s">
        <v>2500</v>
      </c>
      <c r="C748" s="228" t="s">
        <v>2484</v>
      </c>
      <c r="D748" s="228" t="s">
        <v>204</v>
      </c>
      <c r="E748" s="229"/>
      <c r="F748" s="229" t="s">
        <v>139</v>
      </c>
      <c r="G748" s="229" t="s">
        <v>82</v>
      </c>
      <c r="H748" s="229"/>
      <c r="I748" s="229">
        <v>0</v>
      </c>
      <c r="J748" s="229">
        <v>-8.8000000000000007</v>
      </c>
      <c r="K748" s="230">
        <v>8.8000000000000007</v>
      </c>
      <c r="L748" s="229" t="s">
        <v>2283</v>
      </c>
      <c r="M748" s="229">
        <v>4.8828125E-4</v>
      </c>
      <c r="N748" s="229" t="s">
        <v>256</v>
      </c>
      <c r="O748" s="229" t="s">
        <v>261</v>
      </c>
      <c r="P748" s="231"/>
    </row>
    <row r="749" spans="1:16" ht="30.6" x14ac:dyDescent="0.25">
      <c r="A749" s="227" t="s">
        <v>2500</v>
      </c>
      <c r="B749" s="228" t="s">
        <v>2500</v>
      </c>
      <c r="C749" s="228" t="s">
        <v>2484</v>
      </c>
      <c r="D749" s="228" t="s">
        <v>204</v>
      </c>
      <c r="E749" s="229"/>
      <c r="F749" s="229" t="s">
        <v>139</v>
      </c>
      <c r="G749" s="229" t="s">
        <v>82</v>
      </c>
      <c r="H749" s="229"/>
      <c r="I749" s="229">
        <v>0</v>
      </c>
      <c r="J749" s="229">
        <v>-8.8000000000000007</v>
      </c>
      <c r="K749" s="230">
        <v>8.8000000000000007</v>
      </c>
      <c r="L749" s="229" t="s">
        <v>2283</v>
      </c>
      <c r="M749" s="229">
        <v>4.8828125E-4</v>
      </c>
      <c r="N749" s="229" t="s">
        <v>256</v>
      </c>
      <c r="O749" s="229" t="s">
        <v>261</v>
      </c>
      <c r="P749" s="231"/>
    </row>
    <row r="750" spans="1:16" ht="30.6" x14ac:dyDescent="0.25">
      <c r="A750" s="227" t="s">
        <v>2501</v>
      </c>
      <c r="B750" s="228" t="s">
        <v>2501</v>
      </c>
      <c r="C750" s="228" t="s">
        <v>2484</v>
      </c>
      <c r="D750" s="228" t="s">
        <v>204</v>
      </c>
      <c r="E750" s="229"/>
      <c r="F750" s="229" t="s">
        <v>139</v>
      </c>
      <c r="G750" s="229" t="s">
        <v>82</v>
      </c>
      <c r="H750" s="229"/>
      <c r="I750" s="229"/>
      <c r="J750" s="229"/>
      <c r="K750" s="230"/>
      <c r="L750" s="229"/>
      <c r="M750" s="229"/>
      <c r="N750" s="229"/>
      <c r="O750" s="229"/>
      <c r="P750" s="231"/>
    </row>
    <row r="751" spans="1:16" ht="30.6" x14ac:dyDescent="0.25">
      <c r="A751" s="227" t="s">
        <v>2502</v>
      </c>
      <c r="B751" s="228" t="s">
        <v>2502</v>
      </c>
      <c r="C751" s="228" t="s">
        <v>2484</v>
      </c>
      <c r="D751" s="228" t="s">
        <v>204</v>
      </c>
      <c r="E751" s="229"/>
      <c r="F751" s="229" t="s">
        <v>139</v>
      </c>
      <c r="G751" s="229" t="s">
        <v>82</v>
      </c>
      <c r="H751" s="229"/>
      <c r="I751" s="229">
        <v>0</v>
      </c>
      <c r="J751" s="229">
        <v>1.2558479999999999E-3</v>
      </c>
      <c r="K751" s="230">
        <v>0.71539045700000004</v>
      </c>
      <c r="L751" s="229" t="s">
        <v>2283</v>
      </c>
      <c r="M751" s="229">
        <v>1.2565581079082566E-4</v>
      </c>
      <c r="N751" s="229" t="s">
        <v>260</v>
      </c>
      <c r="O751" s="229" t="s">
        <v>261</v>
      </c>
      <c r="P751" s="231"/>
    </row>
    <row r="752" spans="1:16" ht="30.6" x14ac:dyDescent="0.25">
      <c r="A752" s="227" t="s">
        <v>2503</v>
      </c>
      <c r="B752" s="228" t="s">
        <v>2503</v>
      </c>
      <c r="C752" s="228" t="s">
        <v>2484</v>
      </c>
      <c r="D752" s="228" t="s">
        <v>204</v>
      </c>
      <c r="E752" s="229"/>
      <c r="F752" s="229" t="s">
        <v>139</v>
      </c>
      <c r="G752" s="229" t="s">
        <v>82</v>
      </c>
      <c r="H752" s="229"/>
      <c r="I752" s="229">
        <v>0</v>
      </c>
      <c r="J752" s="229">
        <v>-6.6666999999999996</v>
      </c>
      <c r="K752" s="230">
        <v>6.6666999999999996</v>
      </c>
      <c r="L752" s="229" t="s">
        <v>2283</v>
      </c>
      <c r="M752" s="229">
        <v>3.90625E-3</v>
      </c>
      <c r="N752" s="229" t="s">
        <v>260</v>
      </c>
      <c r="O752" s="229" t="s">
        <v>261</v>
      </c>
      <c r="P752" s="231"/>
    </row>
    <row r="753" spans="1:16" ht="30.6" x14ac:dyDescent="0.25">
      <c r="A753" s="227" t="s">
        <v>2504</v>
      </c>
      <c r="B753" s="228" t="s">
        <v>2505</v>
      </c>
      <c r="C753" s="228" t="s">
        <v>2484</v>
      </c>
      <c r="D753" s="228" t="s">
        <v>204</v>
      </c>
      <c r="E753" s="229"/>
      <c r="F753" s="229" t="s">
        <v>139</v>
      </c>
      <c r="G753" s="229" t="s">
        <v>82</v>
      </c>
      <c r="H753" s="229"/>
      <c r="I753" s="229">
        <v>0</v>
      </c>
      <c r="J753" s="229" t="s">
        <v>1871</v>
      </c>
      <c r="K753" s="230" t="s">
        <v>1871</v>
      </c>
      <c r="L753" s="229" t="s">
        <v>2283</v>
      </c>
      <c r="M753" s="229">
        <v>3.90625E-3</v>
      </c>
      <c r="N753" s="229" t="s">
        <v>2377</v>
      </c>
      <c r="O753" s="229" t="s">
        <v>261</v>
      </c>
      <c r="P753" s="231"/>
    </row>
    <row r="754" spans="1:16" ht="30.6" x14ac:dyDescent="0.25">
      <c r="A754" s="227" t="s">
        <v>2506</v>
      </c>
      <c r="B754" s="228" t="s">
        <v>2507</v>
      </c>
      <c r="C754" s="228" t="s">
        <v>2484</v>
      </c>
      <c r="D754" s="228" t="s">
        <v>204</v>
      </c>
      <c r="E754" s="229"/>
      <c r="F754" s="229" t="s">
        <v>139</v>
      </c>
      <c r="G754" s="229" t="s">
        <v>82</v>
      </c>
      <c r="H754" s="229"/>
      <c r="I754" s="229">
        <v>0</v>
      </c>
      <c r="J754" s="229">
        <v>1</v>
      </c>
      <c r="K754" s="230" t="s">
        <v>1871</v>
      </c>
      <c r="L754" s="229" t="s">
        <v>2283</v>
      </c>
      <c r="M754" s="229">
        <v>6.25E-2</v>
      </c>
      <c r="N754" s="229" t="s">
        <v>260</v>
      </c>
      <c r="O754" s="229" t="s">
        <v>261</v>
      </c>
      <c r="P754" s="231"/>
    </row>
    <row r="755" spans="1:16" ht="30.6" x14ac:dyDescent="0.25">
      <c r="A755" s="227" t="s">
        <v>2508</v>
      </c>
      <c r="B755" s="228" t="s">
        <v>2509</v>
      </c>
      <c r="C755" s="228" t="s">
        <v>2484</v>
      </c>
      <c r="D755" s="228" t="s">
        <v>204</v>
      </c>
      <c r="E755" s="229"/>
      <c r="F755" s="229" t="s">
        <v>139</v>
      </c>
      <c r="G755" s="229" t="s">
        <v>82</v>
      </c>
      <c r="H755" s="229"/>
      <c r="I755" s="229">
        <v>1</v>
      </c>
      <c r="J755" s="229">
        <v>1</v>
      </c>
      <c r="K755" s="230" t="s">
        <v>1871</v>
      </c>
      <c r="L755" s="229" t="s">
        <v>2283</v>
      </c>
      <c r="M755" s="229">
        <v>6.25E-2</v>
      </c>
      <c r="N755" s="229" t="s">
        <v>260</v>
      </c>
      <c r="O755" s="229" t="s">
        <v>261</v>
      </c>
      <c r="P755" s="231"/>
    </row>
    <row r="756" spans="1:16" ht="30.6" x14ac:dyDescent="0.25">
      <c r="A756" s="227" t="s">
        <v>2365</v>
      </c>
      <c r="B756" s="228" t="s">
        <v>2510</v>
      </c>
      <c r="C756" s="228" t="s">
        <v>2484</v>
      </c>
      <c r="D756" s="228" t="s">
        <v>204</v>
      </c>
      <c r="E756" s="229"/>
      <c r="F756" s="229" t="s">
        <v>136</v>
      </c>
      <c r="G756" s="229" t="s">
        <v>82</v>
      </c>
      <c r="H756" s="229"/>
      <c r="I756" s="229">
        <v>0</v>
      </c>
      <c r="J756" s="229">
        <v>-50</v>
      </c>
      <c r="K756" s="230">
        <v>50</v>
      </c>
      <c r="L756" s="229" t="s">
        <v>2283</v>
      </c>
      <c r="M756" s="229"/>
      <c r="N756" s="229" t="s">
        <v>307</v>
      </c>
      <c r="O756" s="229" t="s">
        <v>261</v>
      </c>
      <c r="P756" s="231"/>
    </row>
    <row r="757" spans="1:16" x14ac:dyDescent="0.25">
      <c r="A757" s="227" t="s">
        <v>2511</v>
      </c>
      <c r="B757" s="228" t="s">
        <v>2513</v>
      </c>
      <c r="C757" s="228" t="s">
        <v>2512</v>
      </c>
      <c r="D757" s="228" t="s">
        <v>250</v>
      </c>
      <c r="E757" s="229"/>
      <c r="F757" s="229" t="s">
        <v>136</v>
      </c>
      <c r="G757" s="229" t="s">
        <v>82</v>
      </c>
      <c r="H757" s="229"/>
      <c r="I757" s="229">
        <v>0</v>
      </c>
      <c r="J757" s="229">
        <v>0</v>
      </c>
      <c r="K757" s="230">
        <v>1</v>
      </c>
      <c r="L757" s="229" t="s">
        <v>1865</v>
      </c>
      <c r="M757" s="229"/>
      <c r="N757" s="229" t="s">
        <v>1353</v>
      </c>
      <c r="O757" s="229" t="s">
        <v>261</v>
      </c>
      <c r="P757" s="231"/>
    </row>
    <row r="758" spans="1:16" x14ac:dyDescent="0.25">
      <c r="A758" s="227" t="s">
        <v>2514</v>
      </c>
      <c r="B758" s="228" t="s">
        <v>2515</v>
      </c>
      <c r="C758" s="228" t="s">
        <v>2512</v>
      </c>
      <c r="D758" s="228" t="s">
        <v>250</v>
      </c>
      <c r="E758" s="229"/>
      <c r="F758" s="229" t="s">
        <v>136</v>
      </c>
      <c r="G758" s="229" t="s">
        <v>82</v>
      </c>
      <c r="H758" s="229"/>
      <c r="I758" s="229">
        <v>0</v>
      </c>
      <c r="J758" s="229">
        <v>-10</v>
      </c>
      <c r="K758" s="230">
        <v>10</v>
      </c>
      <c r="L758" s="229" t="s">
        <v>1865</v>
      </c>
      <c r="M758" s="229"/>
      <c r="N758" s="229" t="s">
        <v>265</v>
      </c>
      <c r="O758" s="229" t="s">
        <v>261</v>
      </c>
      <c r="P758" s="231"/>
    </row>
    <row r="759" spans="1:16" x14ac:dyDescent="0.25">
      <c r="A759" s="227" t="s">
        <v>2290</v>
      </c>
      <c r="B759" s="228" t="s">
        <v>2218</v>
      </c>
      <c r="C759" s="228" t="s">
        <v>2512</v>
      </c>
      <c r="D759" s="228" t="s">
        <v>250</v>
      </c>
      <c r="E759" s="229"/>
      <c r="F759" s="229" t="s">
        <v>136</v>
      </c>
      <c r="G759" s="229" t="s">
        <v>82</v>
      </c>
      <c r="H759" s="229"/>
      <c r="I759" s="229">
        <v>5</v>
      </c>
      <c r="J759" s="229">
        <v>5</v>
      </c>
      <c r="K759" s="230">
        <v>31</v>
      </c>
      <c r="L759" s="229" t="s">
        <v>1865</v>
      </c>
      <c r="M759" s="229"/>
      <c r="N759" s="229" t="s">
        <v>654</v>
      </c>
      <c r="O759" s="229" t="s">
        <v>261</v>
      </c>
      <c r="P759" s="231"/>
    </row>
    <row r="760" spans="1:16" x14ac:dyDescent="0.25">
      <c r="A760" s="227" t="s">
        <v>2516</v>
      </c>
      <c r="B760" s="228" t="s">
        <v>1867</v>
      </c>
      <c r="C760" s="228" t="s">
        <v>2512</v>
      </c>
      <c r="D760" s="228" t="s">
        <v>250</v>
      </c>
      <c r="E760" s="229"/>
      <c r="F760" s="229" t="s">
        <v>136</v>
      </c>
      <c r="G760" s="229" t="s">
        <v>82</v>
      </c>
      <c r="H760" s="229"/>
      <c r="I760" s="229">
        <v>0</v>
      </c>
      <c r="J760" s="229">
        <v>-8.8000000000000007</v>
      </c>
      <c r="K760" s="230">
        <v>8.8000000000000007</v>
      </c>
      <c r="L760" s="229" t="s">
        <v>1865</v>
      </c>
      <c r="M760" s="229"/>
      <c r="N760" s="229" t="s">
        <v>256</v>
      </c>
      <c r="O760" s="229" t="s">
        <v>261</v>
      </c>
      <c r="P760" s="231"/>
    </row>
    <row r="761" spans="1:16" x14ac:dyDescent="0.25">
      <c r="A761" s="227" t="s">
        <v>2517</v>
      </c>
      <c r="B761" s="228" t="s">
        <v>2268</v>
      </c>
      <c r="C761" s="228" t="s">
        <v>2512</v>
      </c>
      <c r="D761" s="228" t="s">
        <v>250</v>
      </c>
      <c r="E761" s="229"/>
      <c r="F761" s="229" t="s">
        <v>136</v>
      </c>
      <c r="G761" s="229" t="s">
        <v>82</v>
      </c>
      <c r="H761" s="229"/>
      <c r="I761" s="229">
        <v>0</v>
      </c>
      <c r="J761" s="229">
        <v>-8.8000000000000007</v>
      </c>
      <c r="K761" s="230">
        <v>8.8000000000000007</v>
      </c>
      <c r="L761" s="229" t="s">
        <v>1865</v>
      </c>
      <c r="M761" s="229"/>
      <c r="N761" s="229" t="s">
        <v>256</v>
      </c>
      <c r="O761" s="229" t="s">
        <v>261</v>
      </c>
      <c r="P761" s="231"/>
    </row>
    <row r="762" spans="1:16" x14ac:dyDescent="0.25">
      <c r="A762" s="227" t="s">
        <v>2518</v>
      </c>
      <c r="B762" s="228" t="s">
        <v>2519</v>
      </c>
      <c r="C762" s="228" t="s">
        <v>2512</v>
      </c>
      <c r="D762" s="228" t="s">
        <v>250</v>
      </c>
      <c r="E762" s="229"/>
      <c r="F762" s="229" t="s">
        <v>136</v>
      </c>
      <c r="G762" s="229" t="s">
        <v>82</v>
      </c>
      <c r="H762" s="229"/>
      <c r="I762" s="229">
        <v>0</v>
      </c>
      <c r="J762" s="229">
        <v>-7920000</v>
      </c>
      <c r="K762" s="230">
        <v>7920000</v>
      </c>
      <c r="L762" s="229" t="s">
        <v>1865</v>
      </c>
      <c r="M762" s="229"/>
      <c r="N762" s="229" t="s">
        <v>1866</v>
      </c>
      <c r="O762" s="229" t="s">
        <v>261</v>
      </c>
      <c r="P762" s="231"/>
    </row>
    <row r="763" spans="1:16" x14ac:dyDescent="0.25">
      <c r="A763" s="227" t="s">
        <v>2520</v>
      </c>
      <c r="B763" s="228" t="s">
        <v>2521</v>
      </c>
      <c r="C763" s="228" t="s">
        <v>2512</v>
      </c>
      <c r="D763" s="228" t="s">
        <v>250</v>
      </c>
      <c r="E763" s="229"/>
      <c r="F763" s="229" t="s">
        <v>136</v>
      </c>
      <c r="G763" s="229" t="s">
        <v>82</v>
      </c>
      <c r="H763" s="229"/>
      <c r="I763" s="229">
        <v>0</v>
      </c>
      <c r="J763" s="229">
        <v>-1</v>
      </c>
      <c r="K763" s="230">
        <v>1</v>
      </c>
      <c r="L763" s="229">
        <v>1</v>
      </c>
      <c r="M763" s="229"/>
      <c r="N763" s="229" t="s">
        <v>271</v>
      </c>
      <c r="O763" s="229" t="s">
        <v>2265</v>
      </c>
      <c r="P763" s="231"/>
    </row>
    <row r="764" spans="1:16" x14ac:dyDescent="0.25">
      <c r="A764" s="227" t="s">
        <v>2522</v>
      </c>
      <c r="B764" s="228" t="s">
        <v>2523</v>
      </c>
      <c r="C764" s="228" t="s">
        <v>2512</v>
      </c>
      <c r="D764" s="228" t="s">
        <v>250</v>
      </c>
      <c r="E764" s="229"/>
      <c r="F764" s="229" t="s">
        <v>136</v>
      </c>
      <c r="G764" s="229" t="s">
        <v>82</v>
      </c>
      <c r="H764" s="229"/>
      <c r="I764" s="229">
        <v>0</v>
      </c>
      <c r="J764" s="229">
        <v>0</v>
      </c>
      <c r="K764" s="230">
        <v>1</v>
      </c>
      <c r="L764" s="229" t="s">
        <v>1865</v>
      </c>
      <c r="M764" s="229"/>
      <c r="N764" s="229" t="s">
        <v>1353</v>
      </c>
      <c r="O764" s="229" t="s">
        <v>261</v>
      </c>
      <c r="P764" s="231"/>
    </row>
    <row r="765" spans="1:16" x14ac:dyDescent="0.25">
      <c r="A765" s="227" t="s">
        <v>2524</v>
      </c>
      <c r="B765" s="228" t="s">
        <v>2525</v>
      </c>
      <c r="C765" s="228" t="s">
        <v>2512</v>
      </c>
      <c r="D765" s="228" t="s">
        <v>250</v>
      </c>
      <c r="E765" s="229"/>
      <c r="F765" s="229" t="s">
        <v>136</v>
      </c>
      <c r="G765" s="229" t="s">
        <v>82</v>
      </c>
      <c r="H765" s="229"/>
      <c r="I765" s="229">
        <v>0</v>
      </c>
      <c r="J765" s="229">
        <v>-10</v>
      </c>
      <c r="K765" s="230">
        <v>10</v>
      </c>
      <c r="L765" s="229" t="s">
        <v>1865</v>
      </c>
      <c r="M765" s="229"/>
      <c r="N765" s="229" t="s">
        <v>265</v>
      </c>
      <c r="O765" s="229" t="s">
        <v>261</v>
      </c>
      <c r="P765" s="231"/>
    </row>
    <row r="766" spans="1:16" x14ac:dyDescent="0.25">
      <c r="A766" s="227" t="s">
        <v>2222</v>
      </c>
      <c r="B766" s="228" t="s">
        <v>2223</v>
      </c>
      <c r="C766" s="228" t="s">
        <v>2512</v>
      </c>
      <c r="D766" s="228" t="s">
        <v>250</v>
      </c>
      <c r="E766" s="229"/>
      <c r="F766" s="229" t="s">
        <v>136</v>
      </c>
      <c r="G766" s="229" t="s">
        <v>82</v>
      </c>
      <c r="H766" s="229"/>
      <c r="I766" s="229">
        <v>5</v>
      </c>
      <c r="J766" s="229">
        <v>5</v>
      </c>
      <c r="K766" s="230">
        <v>31</v>
      </c>
      <c r="L766" s="229" t="s">
        <v>1865</v>
      </c>
      <c r="M766" s="229"/>
      <c r="N766" s="229" t="s">
        <v>654</v>
      </c>
      <c r="O766" s="229" t="s">
        <v>261</v>
      </c>
      <c r="P766" s="231"/>
    </row>
    <row r="767" spans="1:16" x14ac:dyDescent="0.25">
      <c r="A767" s="227" t="s">
        <v>2526</v>
      </c>
      <c r="B767" s="228" t="s">
        <v>2527</v>
      </c>
      <c r="C767" s="228" t="s">
        <v>2512</v>
      </c>
      <c r="D767" s="228" t="s">
        <v>250</v>
      </c>
      <c r="E767" s="229"/>
      <c r="F767" s="229" t="s">
        <v>136</v>
      </c>
      <c r="G767" s="229" t="s">
        <v>82</v>
      </c>
      <c r="H767" s="229"/>
      <c r="I767" s="229">
        <v>0</v>
      </c>
      <c r="J767" s="229">
        <v>-8.8000000000000007</v>
      </c>
      <c r="K767" s="230">
        <v>8.8000000000000007</v>
      </c>
      <c r="L767" s="229" t="s">
        <v>1865</v>
      </c>
      <c r="M767" s="229"/>
      <c r="N767" s="229" t="s">
        <v>256</v>
      </c>
      <c r="O767" s="229" t="s">
        <v>261</v>
      </c>
      <c r="P767" s="231"/>
    </row>
    <row r="768" spans="1:16" x14ac:dyDescent="0.25">
      <c r="A768" s="227" t="s">
        <v>2528</v>
      </c>
      <c r="B768" s="228" t="s">
        <v>2529</v>
      </c>
      <c r="C768" s="228" t="s">
        <v>2512</v>
      </c>
      <c r="D768" s="228" t="s">
        <v>250</v>
      </c>
      <c r="E768" s="229"/>
      <c r="F768" s="229" t="s">
        <v>136</v>
      </c>
      <c r="G768" s="229" t="s">
        <v>82</v>
      </c>
      <c r="H768" s="229"/>
      <c r="I768" s="229">
        <v>0</v>
      </c>
      <c r="J768" s="229">
        <v>-8.8000000000000007</v>
      </c>
      <c r="K768" s="230">
        <v>8.8000000000000007</v>
      </c>
      <c r="L768" s="229" t="s">
        <v>1865</v>
      </c>
      <c r="M768" s="229"/>
      <c r="N768" s="229" t="s">
        <v>256</v>
      </c>
      <c r="O768" s="229" t="s">
        <v>261</v>
      </c>
      <c r="P768" s="231"/>
    </row>
    <row r="769" spans="1:16" x14ac:dyDescent="0.25">
      <c r="A769" s="227" t="s">
        <v>2530</v>
      </c>
      <c r="B769" s="228" t="s">
        <v>2531</v>
      </c>
      <c r="C769" s="228" t="s">
        <v>2512</v>
      </c>
      <c r="D769" s="228" t="s">
        <v>250</v>
      </c>
      <c r="E769" s="229"/>
      <c r="F769" s="229" t="s">
        <v>136</v>
      </c>
      <c r="G769" s="229" t="s">
        <v>82</v>
      </c>
      <c r="H769" s="229"/>
      <c r="I769" s="229">
        <v>0</v>
      </c>
      <c r="J769" s="229">
        <v>-7920000</v>
      </c>
      <c r="K769" s="230">
        <v>7920000</v>
      </c>
      <c r="L769" s="229" t="s">
        <v>1865</v>
      </c>
      <c r="M769" s="229"/>
      <c r="N769" s="229" t="s">
        <v>1866</v>
      </c>
      <c r="O769" s="229" t="s">
        <v>261</v>
      </c>
      <c r="P769" s="231"/>
    </row>
    <row r="770" spans="1:16" x14ac:dyDescent="0.25">
      <c r="A770" s="227" t="s">
        <v>2532</v>
      </c>
      <c r="B770" s="228" t="s">
        <v>2533</v>
      </c>
      <c r="C770" s="228" t="s">
        <v>2512</v>
      </c>
      <c r="D770" s="228" t="s">
        <v>250</v>
      </c>
      <c r="E770" s="229"/>
      <c r="F770" s="229" t="s">
        <v>136</v>
      </c>
      <c r="G770" s="229" t="s">
        <v>82</v>
      </c>
      <c r="H770" s="229"/>
      <c r="I770" s="229">
        <v>0</v>
      </c>
      <c r="J770" s="229">
        <v>-1</v>
      </c>
      <c r="K770" s="230">
        <v>1</v>
      </c>
      <c r="L770" s="229">
        <v>1</v>
      </c>
      <c r="M770" s="229"/>
      <c r="N770" s="229" t="s">
        <v>271</v>
      </c>
      <c r="O770" s="229" t="s">
        <v>2376</v>
      </c>
      <c r="P770" s="231"/>
    </row>
    <row r="771" spans="1:16" ht="39.6" x14ac:dyDescent="0.25">
      <c r="A771" s="227" t="s">
        <v>2534</v>
      </c>
      <c r="B771" s="228" t="s">
        <v>2535</v>
      </c>
      <c r="C771" s="228" t="s">
        <v>2512</v>
      </c>
      <c r="D771" s="228" t="s">
        <v>250</v>
      </c>
      <c r="E771" s="229" t="s">
        <v>2536</v>
      </c>
      <c r="F771" s="229" t="s">
        <v>141</v>
      </c>
      <c r="G771" s="229" t="s">
        <v>82</v>
      </c>
      <c r="H771" s="229"/>
      <c r="I771" s="229" t="b">
        <v>0</v>
      </c>
      <c r="J771" s="229" t="b">
        <v>0</v>
      </c>
      <c r="K771" s="230" t="b">
        <v>1</v>
      </c>
      <c r="L771" s="229" t="s">
        <v>1871</v>
      </c>
      <c r="M771" s="229" t="s">
        <v>1871</v>
      </c>
      <c r="N771" s="229" t="s">
        <v>271</v>
      </c>
      <c r="O771" s="229" t="s">
        <v>501</v>
      </c>
      <c r="P771" s="231"/>
    </row>
    <row r="772" spans="1:16" ht="39.6" x14ac:dyDescent="0.25">
      <c r="A772" s="227" t="s">
        <v>2537</v>
      </c>
      <c r="B772" s="228" t="s">
        <v>2538</v>
      </c>
      <c r="C772" s="228" t="s">
        <v>2512</v>
      </c>
      <c r="D772" s="228" t="s">
        <v>250</v>
      </c>
      <c r="E772" s="229" t="s">
        <v>2539</v>
      </c>
      <c r="F772" s="229" t="s">
        <v>141</v>
      </c>
      <c r="G772" s="229" t="s">
        <v>82</v>
      </c>
      <c r="H772" s="229"/>
      <c r="I772" s="229" t="b">
        <v>0</v>
      </c>
      <c r="J772" s="229" t="b">
        <v>0</v>
      </c>
      <c r="K772" s="230" t="b">
        <v>1</v>
      </c>
      <c r="L772" s="229" t="s">
        <v>1871</v>
      </c>
      <c r="M772" s="229" t="s">
        <v>1871</v>
      </c>
      <c r="N772" s="229" t="s">
        <v>271</v>
      </c>
      <c r="O772" s="229" t="s">
        <v>501</v>
      </c>
      <c r="P772" s="231"/>
    </row>
    <row r="773" spans="1:16" ht="26.4" x14ac:dyDescent="0.25">
      <c r="A773" s="227" t="s">
        <v>2540</v>
      </c>
      <c r="B773" s="228" t="s">
        <v>2541</v>
      </c>
      <c r="C773" s="228" t="s">
        <v>2512</v>
      </c>
      <c r="D773" s="228" t="s">
        <v>250</v>
      </c>
      <c r="E773" s="229" t="s">
        <v>2542</v>
      </c>
      <c r="F773" s="229" t="s">
        <v>141</v>
      </c>
      <c r="G773" s="229" t="s">
        <v>82</v>
      </c>
      <c r="H773" s="229"/>
      <c r="I773" s="229" t="b">
        <v>0</v>
      </c>
      <c r="J773" s="229" t="b">
        <v>0</v>
      </c>
      <c r="K773" s="230" t="b">
        <v>1</v>
      </c>
      <c r="L773" s="229" t="s">
        <v>1871</v>
      </c>
      <c r="M773" s="229" t="s">
        <v>1871</v>
      </c>
      <c r="N773" s="229" t="s">
        <v>271</v>
      </c>
      <c r="O773" s="229" t="s">
        <v>501</v>
      </c>
      <c r="P773" s="231"/>
    </row>
    <row r="774" spans="1:16" ht="39.6" x14ac:dyDescent="0.25">
      <c r="A774" s="227" t="s">
        <v>2543</v>
      </c>
      <c r="B774" s="228" t="s">
        <v>2544</v>
      </c>
      <c r="C774" s="228" t="s">
        <v>2512</v>
      </c>
      <c r="D774" s="228" t="s">
        <v>250</v>
      </c>
      <c r="E774" s="229" t="s">
        <v>2545</v>
      </c>
      <c r="F774" s="229" t="s">
        <v>141</v>
      </c>
      <c r="G774" s="229" t="s">
        <v>82</v>
      </c>
      <c r="H774" s="229"/>
      <c r="I774" s="229" t="b">
        <v>0</v>
      </c>
      <c r="J774" s="229" t="b">
        <v>0</v>
      </c>
      <c r="K774" s="230" t="b">
        <v>1</v>
      </c>
      <c r="L774" s="229" t="s">
        <v>1871</v>
      </c>
      <c r="M774" s="229" t="s">
        <v>1871</v>
      </c>
      <c r="N774" s="229" t="s">
        <v>271</v>
      </c>
      <c r="O774" s="229" t="s">
        <v>501</v>
      </c>
      <c r="P774" s="231"/>
    </row>
    <row r="775" spans="1:16" ht="39.6" x14ac:dyDescent="0.25">
      <c r="A775" s="227" t="s">
        <v>2546</v>
      </c>
      <c r="B775" s="228" t="s">
        <v>2547</v>
      </c>
      <c r="C775" s="228" t="s">
        <v>2512</v>
      </c>
      <c r="D775" s="228" t="s">
        <v>250</v>
      </c>
      <c r="E775" s="229" t="s">
        <v>2548</v>
      </c>
      <c r="F775" s="229" t="s">
        <v>141</v>
      </c>
      <c r="G775" s="229" t="s">
        <v>82</v>
      </c>
      <c r="H775" s="229"/>
      <c r="I775" s="229" t="b">
        <v>0</v>
      </c>
      <c r="J775" s="229" t="b">
        <v>0</v>
      </c>
      <c r="K775" s="230" t="b">
        <v>1</v>
      </c>
      <c r="L775" s="229" t="s">
        <v>1871</v>
      </c>
      <c r="M775" s="229" t="s">
        <v>1871</v>
      </c>
      <c r="N775" s="229" t="s">
        <v>271</v>
      </c>
      <c r="O775" s="229" t="s">
        <v>501</v>
      </c>
      <c r="P775" s="231"/>
    </row>
    <row r="776" spans="1:16" ht="52.8" x14ac:dyDescent="0.25">
      <c r="A776" s="227" t="s">
        <v>2549</v>
      </c>
      <c r="B776" s="228" t="s">
        <v>2550</v>
      </c>
      <c r="C776" s="228" t="s">
        <v>2512</v>
      </c>
      <c r="D776" s="228" t="s">
        <v>250</v>
      </c>
      <c r="E776" s="229" t="s">
        <v>2551</v>
      </c>
      <c r="F776" s="229" t="s">
        <v>141</v>
      </c>
      <c r="G776" s="229" t="s">
        <v>82</v>
      </c>
      <c r="H776" s="229"/>
      <c r="I776" s="229" t="b">
        <v>0</v>
      </c>
      <c r="J776" s="229" t="b">
        <v>0</v>
      </c>
      <c r="K776" s="230" t="b">
        <v>1</v>
      </c>
      <c r="L776" s="229" t="s">
        <v>1871</v>
      </c>
      <c r="M776" s="229" t="s">
        <v>1871</v>
      </c>
      <c r="N776" s="229" t="s">
        <v>271</v>
      </c>
      <c r="O776" s="229" t="s">
        <v>501</v>
      </c>
      <c r="P776" s="231"/>
    </row>
    <row r="777" spans="1:16" ht="52.8" x14ac:dyDescent="0.25">
      <c r="A777" s="227" t="s">
        <v>2552</v>
      </c>
      <c r="B777" s="228" t="s">
        <v>2553</v>
      </c>
      <c r="C777" s="228" t="s">
        <v>2512</v>
      </c>
      <c r="D777" s="228" t="s">
        <v>250</v>
      </c>
      <c r="E777" s="229" t="s">
        <v>2554</v>
      </c>
      <c r="F777" s="229" t="s">
        <v>141</v>
      </c>
      <c r="G777" s="229" t="s">
        <v>82</v>
      </c>
      <c r="H777" s="229"/>
      <c r="I777" s="229" t="b">
        <v>0</v>
      </c>
      <c r="J777" s="229" t="b">
        <v>0</v>
      </c>
      <c r="K777" s="230" t="b">
        <v>1</v>
      </c>
      <c r="L777" s="229" t="s">
        <v>1871</v>
      </c>
      <c r="M777" s="229" t="s">
        <v>1871</v>
      </c>
      <c r="N777" s="229" t="s">
        <v>271</v>
      </c>
      <c r="O777" s="229" t="s">
        <v>501</v>
      </c>
      <c r="P777" s="231"/>
    </row>
    <row r="778" spans="1:16" x14ac:dyDescent="0.25">
      <c r="A778" s="227" t="s">
        <v>5146</v>
      </c>
      <c r="B778" s="228"/>
      <c r="C778" s="228" t="s">
        <v>5131</v>
      </c>
      <c r="D778" s="228" t="s">
        <v>5124</v>
      </c>
      <c r="E778" s="229"/>
      <c r="F778" s="229" t="s">
        <v>136</v>
      </c>
      <c r="G778" s="229" t="s">
        <v>82</v>
      </c>
      <c r="H778" s="229"/>
      <c r="I778" s="229">
        <v>0</v>
      </c>
      <c r="J778" s="229">
        <v>-50</v>
      </c>
      <c r="K778" s="230">
        <v>150</v>
      </c>
      <c r="L778" s="229" t="s">
        <v>5147</v>
      </c>
      <c r="M778" s="229" t="s">
        <v>1871</v>
      </c>
      <c r="N778" s="229" t="s">
        <v>558</v>
      </c>
      <c r="O778" s="229" t="s">
        <v>261</v>
      </c>
      <c r="P778" s="231"/>
    </row>
    <row r="779" spans="1:16" x14ac:dyDescent="0.25">
      <c r="A779" s="227" t="s">
        <v>1872</v>
      </c>
      <c r="B779" s="228"/>
      <c r="C779" s="228" t="s">
        <v>5131</v>
      </c>
      <c r="D779" s="228" t="s">
        <v>5124</v>
      </c>
      <c r="E779" s="229"/>
      <c r="F779" s="229" t="s">
        <v>136</v>
      </c>
      <c r="G779" s="229" t="s">
        <v>82</v>
      </c>
      <c r="H779" s="229"/>
      <c r="I779" s="229">
        <v>0</v>
      </c>
      <c r="J779" s="229">
        <v>-10</v>
      </c>
      <c r="K779" s="230">
        <v>10</v>
      </c>
      <c r="L779" s="229" t="s">
        <v>5147</v>
      </c>
      <c r="M779" s="229" t="s">
        <v>1871</v>
      </c>
      <c r="N779" s="229" t="s">
        <v>265</v>
      </c>
      <c r="O779" s="229" t="s">
        <v>5148</v>
      </c>
      <c r="P779" s="231"/>
    </row>
    <row r="780" spans="1:16" x14ac:dyDescent="0.25">
      <c r="A780" s="227" t="s">
        <v>2360</v>
      </c>
      <c r="B780" s="228"/>
      <c r="C780" s="228" t="s">
        <v>5131</v>
      </c>
      <c r="D780" s="228" t="s">
        <v>5124</v>
      </c>
      <c r="E780" s="229"/>
      <c r="F780" s="229" t="s">
        <v>136</v>
      </c>
      <c r="G780" s="229" t="s">
        <v>82</v>
      </c>
      <c r="H780" s="229"/>
      <c r="I780" s="229">
        <v>0</v>
      </c>
      <c r="J780" s="229">
        <v>-1350</v>
      </c>
      <c r="K780" s="230">
        <v>1350</v>
      </c>
      <c r="L780" s="229" t="s">
        <v>5147</v>
      </c>
      <c r="M780" s="229" t="s">
        <v>1871</v>
      </c>
      <c r="N780" s="229" t="s">
        <v>263</v>
      </c>
      <c r="O780" s="229" t="s">
        <v>261</v>
      </c>
      <c r="P780" s="231"/>
    </row>
    <row r="781" spans="1:16" x14ac:dyDescent="0.25">
      <c r="A781" s="227" t="s">
        <v>1980</v>
      </c>
      <c r="B781" s="228"/>
      <c r="C781" s="228" t="s">
        <v>5131</v>
      </c>
      <c r="D781" s="228" t="s">
        <v>5124</v>
      </c>
      <c r="E781" s="229"/>
      <c r="F781" s="229" t="s">
        <v>136</v>
      </c>
      <c r="G781" s="229" t="s">
        <v>82</v>
      </c>
      <c r="H781" s="229"/>
      <c r="I781" s="229">
        <v>0</v>
      </c>
      <c r="J781" s="229">
        <v>0</v>
      </c>
      <c r="K781" s="230">
        <v>511</v>
      </c>
      <c r="L781" s="229" t="s">
        <v>5147</v>
      </c>
      <c r="M781" s="229" t="s">
        <v>1871</v>
      </c>
      <c r="N781" s="229" t="s">
        <v>311</v>
      </c>
      <c r="O781" s="229" t="s">
        <v>261</v>
      </c>
      <c r="P781" s="231"/>
    </row>
    <row r="782" spans="1:16" x14ac:dyDescent="0.25">
      <c r="A782" s="227" t="s">
        <v>5149</v>
      </c>
      <c r="B782" s="228"/>
      <c r="C782" s="228" t="s">
        <v>5131</v>
      </c>
      <c r="D782" s="228" t="s">
        <v>5124</v>
      </c>
      <c r="E782" s="229"/>
      <c r="F782" s="229" t="s">
        <v>139</v>
      </c>
      <c r="G782" s="229" t="s">
        <v>82</v>
      </c>
      <c r="H782" s="229"/>
      <c r="I782" s="229" t="s">
        <v>1871</v>
      </c>
      <c r="J782" s="229" t="s">
        <v>1871</v>
      </c>
      <c r="K782" s="230" t="s">
        <v>1871</v>
      </c>
      <c r="L782" s="229" t="s">
        <v>1871</v>
      </c>
      <c r="M782" s="229" t="s">
        <v>1871</v>
      </c>
      <c r="N782" s="229" t="s">
        <v>1871</v>
      </c>
      <c r="O782" s="229" t="s">
        <v>1960</v>
      </c>
      <c r="P782" s="231"/>
    </row>
    <row r="783" spans="1:16" x14ac:dyDescent="0.25">
      <c r="A783" s="227" t="s">
        <v>5150</v>
      </c>
      <c r="B783" s="228"/>
      <c r="C783" s="228" t="s">
        <v>5131</v>
      </c>
      <c r="D783" s="228" t="s">
        <v>5124</v>
      </c>
      <c r="E783" s="229"/>
      <c r="F783" s="229" t="s">
        <v>139</v>
      </c>
      <c r="G783" s="229" t="s">
        <v>82</v>
      </c>
      <c r="H783" s="229"/>
      <c r="I783" s="229" t="s">
        <v>1871</v>
      </c>
      <c r="J783" s="229" t="s">
        <v>1871</v>
      </c>
      <c r="K783" s="230" t="s">
        <v>1871</v>
      </c>
      <c r="L783" s="229" t="s">
        <v>1871</v>
      </c>
      <c r="M783" s="229" t="s">
        <v>1871</v>
      </c>
      <c r="N783" s="229" t="s">
        <v>1871</v>
      </c>
      <c r="O783" s="229" t="s">
        <v>1960</v>
      </c>
      <c r="P783" s="231"/>
    </row>
    <row r="784" spans="1:16" x14ac:dyDescent="0.25">
      <c r="A784" s="227" t="s">
        <v>5151</v>
      </c>
      <c r="B784" s="228"/>
      <c r="C784" s="228" t="s">
        <v>5131</v>
      </c>
      <c r="D784" s="228" t="s">
        <v>5124</v>
      </c>
      <c r="E784" s="229"/>
      <c r="F784" s="229" t="s">
        <v>139</v>
      </c>
      <c r="G784" s="229" t="s">
        <v>82</v>
      </c>
      <c r="H784" s="229"/>
      <c r="I784" s="229">
        <v>0</v>
      </c>
      <c r="J784" s="229">
        <v>-8.8000000000000007</v>
      </c>
      <c r="K784" s="230">
        <v>8.8000000000000007</v>
      </c>
      <c r="L784" s="229" t="s">
        <v>5147</v>
      </c>
      <c r="M784" s="229" t="s">
        <v>1871</v>
      </c>
      <c r="N784" s="229" t="s">
        <v>256</v>
      </c>
      <c r="O784" s="229" t="s">
        <v>261</v>
      </c>
      <c r="P784" s="231"/>
    </row>
    <row r="785" spans="1:16" x14ac:dyDescent="0.25">
      <c r="A785" s="227" t="s">
        <v>5152</v>
      </c>
      <c r="B785" s="228"/>
      <c r="C785" s="228" t="s">
        <v>5131</v>
      </c>
      <c r="D785" s="228" t="s">
        <v>5124</v>
      </c>
      <c r="E785" s="229"/>
      <c r="F785" s="229" t="s">
        <v>139</v>
      </c>
      <c r="G785" s="229" t="s">
        <v>82</v>
      </c>
      <c r="H785" s="229"/>
      <c r="I785" s="229">
        <v>0</v>
      </c>
      <c r="J785" s="229">
        <v>-8.8000000000000007</v>
      </c>
      <c r="K785" s="230">
        <v>8.8000000000000007</v>
      </c>
      <c r="L785" s="229" t="s">
        <v>5147</v>
      </c>
      <c r="M785" s="229" t="s">
        <v>1871</v>
      </c>
      <c r="N785" s="229" t="s">
        <v>265</v>
      </c>
      <c r="O785" s="229" t="s">
        <v>261</v>
      </c>
      <c r="P785" s="231"/>
    </row>
    <row r="786" spans="1:16" x14ac:dyDescent="0.25">
      <c r="A786" s="227" t="s">
        <v>5153</v>
      </c>
      <c r="B786" s="228"/>
      <c r="C786" s="228" t="s">
        <v>5131</v>
      </c>
      <c r="D786" s="228" t="s">
        <v>5124</v>
      </c>
      <c r="E786" s="229"/>
      <c r="F786" s="229" t="s">
        <v>139</v>
      </c>
      <c r="G786" s="229" t="s">
        <v>82</v>
      </c>
      <c r="H786" s="229"/>
      <c r="I786" s="229">
        <v>0</v>
      </c>
      <c r="J786" s="229">
        <v>0</v>
      </c>
      <c r="K786" s="230">
        <v>1</v>
      </c>
      <c r="L786" s="229">
        <v>1</v>
      </c>
      <c r="M786" s="229" t="s">
        <v>1871</v>
      </c>
      <c r="N786" s="229" t="s">
        <v>271</v>
      </c>
      <c r="O786" s="229" t="s">
        <v>501</v>
      </c>
      <c r="P786" s="231"/>
    </row>
    <row r="787" spans="1:16" x14ac:dyDescent="0.25">
      <c r="A787" s="227" t="s">
        <v>5154</v>
      </c>
      <c r="B787" s="228"/>
      <c r="C787" s="228" t="s">
        <v>5131</v>
      </c>
      <c r="D787" s="228" t="s">
        <v>5124</v>
      </c>
      <c r="E787" s="229"/>
      <c r="F787" s="229" t="s">
        <v>139</v>
      </c>
      <c r="G787" s="229" t="s">
        <v>82</v>
      </c>
      <c r="H787" s="229"/>
      <c r="I787" s="229">
        <v>0</v>
      </c>
      <c r="J787" s="229">
        <v>0</v>
      </c>
      <c r="K787" s="230">
        <v>1</v>
      </c>
      <c r="L787" s="229">
        <v>1</v>
      </c>
      <c r="M787" s="229" t="s">
        <v>1871</v>
      </c>
      <c r="N787" s="229" t="s">
        <v>271</v>
      </c>
      <c r="O787" s="229" t="s">
        <v>501</v>
      </c>
      <c r="P787" s="231"/>
    </row>
    <row r="788" spans="1:16" x14ac:dyDescent="0.25">
      <c r="A788" s="227" t="s">
        <v>5155</v>
      </c>
      <c r="B788" s="228"/>
      <c r="C788" s="228" t="s">
        <v>5131</v>
      </c>
      <c r="D788" s="228" t="s">
        <v>5124</v>
      </c>
      <c r="E788" s="229"/>
      <c r="F788" s="229" t="s">
        <v>139</v>
      </c>
      <c r="G788" s="229" t="s">
        <v>82</v>
      </c>
      <c r="H788" s="229"/>
      <c r="I788" s="229">
        <v>0</v>
      </c>
      <c r="J788" s="229">
        <v>0</v>
      </c>
      <c r="K788" s="230">
        <v>1</v>
      </c>
      <c r="L788" s="229">
        <v>1</v>
      </c>
      <c r="M788" s="229" t="s">
        <v>1871</v>
      </c>
      <c r="N788" s="229" t="s">
        <v>271</v>
      </c>
      <c r="O788" s="229" t="s">
        <v>501</v>
      </c>
      <c r="P788" s="231"/>
    </row>
    <row r="789" spans="1:16" ht="171.6" x14ac:dyDescent="0.25">
      <c r="A789" s="227" t="s">
        <v>1875</v>
      </c>
      <c r="B789" s="228" t="s">
        <v>1876</v>
      </c>
      <c r="C789" s="228" t="s">
        <v>1011</v>
      </c>
      <c r="D789" s="228"/>
      <c r="E789" s="229" t="s">
        <v>1981</v>
      </c>
      <c r="F789" s="229" t="s">
        <v>136</v>
      </c>
      <c r="G789" s="229" t="s">
        <v>82</v>
      </c>
      <c r="H789" s="229" t="s">
        <v>2559</v>
      </c>
      <c r="I789" s="229">
        <v>0</v>
      </c>
      <c r="J789" s="229">
        <v>0</v>
      </c>
      <c r="K789" s="230">
        <v>255</v>
      </c>
      <c r="L789" s="229" t="s">
        <v>1865</v>
      </c>
      <c r="M789" s="229"/>
      <c r="N789" s="229" t="s">
        <v>311</v>
      </c>
      <c r="O789" s="229" t="s">
        <v>261</v>
      </c>
      <c r="P789" s="231"/>
    </row>
    <row r="790" spans="1:16" ht="52.8" x14ac:dyDescent="0.25">
      <c r="A790" s="227" t="s">
        <v>1884</v>
      </c>
      <c r="B790" s="228" t="s">
        <v>1885</v>
      </c>
      <c r="C790" s="228" t="s">
        <v>1011</v>
      </c>
      <c r="D790" s="228"/>
      <c r="E790" s="229" t="s">
        <v>1973</v>
      </c>
      <c r="F790" s="229" t="s">
        <v>136</v>
      </c>
      <c r="G790" s="229" t="s">
        <v>82</v>
      </c>
      <c r="H790" s="229" t="s">
        <v>2560</v>
      </c>
      <c r="I790" s="229">
        <v>0</v>
      </c>
      <c r="J790" s="229">
        <v>-10</v>
      </c>
      <c r="K790" s="230">
        <v>10</v>
      </c>
      <c r="L790" s="229" t="s">
        <v>1865</v>
      </c>
      <c r="M790" s="229"/>
      <c r="N790" s="229" t="s">
        <v>265</v>
      </c>
      <c r="O790" s="229" t="s">
        <v>261</v>
      </c>
      <c r="P790" s="231"/>
    </row>
    <row r="791" spans="1:16" ht="39.6" x14ac:dyDescent="0.25">
      <c r="A791" s="227" t="s">
        <v>1990</v>
      </c>
      <c r="B791" s="228" t="s">
        <v>1991</v>
      </c>
      <c r="C791" s="228" t="s">
        <v>1011</v>
      </c>
      <c r="D791" s="228"/>
      <c r="E791" s="229" t="s">
        <v>1992</v>
      </c>
      <c r="F791" s="229" t="s">
        <v>136</v>
      </c>
      <c r="G791" s="229" t="s">
        <v>82</v>
      </c>
      <c r="H791" s="229" t="s">
        <v>2561</v>
      </c>
      <c r="I791" s="229">
        <v>0</v>
      </c>
      <c r="J791" s="229">
        <v>0</v>
      </c>
      <c r="K791" s="230">
        <v>8.8000000000000007</v>
      </c>
      <c r="L791" s="229" t="s">
        <v>1865</v>
      </c>
      <c r="M791" s="229"/>
      <c r="N791" s="229" t="s">
        <v>256</v>
      </c>
      <c r="O791" s="229" t="s">
        <v>261</v>
      </c>
      <c r="P791" s="231"/>
    </row>
    <row r="792" spans="1:16" ht="26.4" x14ac:dyDescent="0.25">
      <c r="A792" s="227" t="s">
        <v>2009</v>
      </c>
      <c r="B792" s="228" t="s">
        <v>2562</v>
      </c>
      <c r="C792" s="228" t="s">
        <v>1011</v>
      </c>
      <c r="D792" s="228" t="s">
        <v>216</v>
      </c>
      <c r="E792" s="229" t="s">
        <v>2563</v>
      </c>
      <c r="F792" s="229" t="s">
        <v>138</v>
      </c>
      <c r="G792" s="229" t="s">
        <v>82</v>
      </c>
      <c r="H792" s="229"/>
      <c r="I792" s="229">
        <v>0</v>
      </c>
      <c r="J792" s="229">
        <v>-8.8000000000000007</v>
      </c>
      <c r="K792" s="230">
        <v>8.8000000000000007</v>
      </c>
      <c r="L792" s="229" t="s">
        <v>1865</v>
      </c>
      <c r="M792" s="229">
        <v>4.8828125E-4</v>
      </c>
      <c r="N792" s="229" t="s">
        <v>256</v>
      </c>
      <c r="O792" s="229" t="s">
        <v>261</v>
      </c>
      <c r="P792" s="231"/>
    </row>
    <row r="793" spans="1:16" x14ac:dyDescent="0.25">
      <c r="A793" s="227" t="s">
        <v>2564</v>
      </c>
      <c r="B793" s="228" t="s">
        <v>1871</v>
      </c>
      <c r="C793" s="228" t="s">
        <v>1011</v>
      </c>
      <c r="D793" s="228" t="s">
        <v>216</v>
      </c>
      <c r="E793" s="229" t="s">
        <v>2565</v>
      </c>
      <c r="F793" s="229" t="s">
        <v>139</v>
      </c>
      <c r="G793" s="229" t="s">
        <v>82</v>
      </c>
      <c r="H793" s="229"/>
      <c r="I793" s="229">
        <v>0</v>
      </c>
      <c r="J793" s="229" t="s">
        <v>1871</v>
      </c>
      <c r="K793" s="230" t="s">
        <v>1871</v>
      </c>
      <c r="L793" s="229" t="s">
        <v>1871</v>
      </c>
      <c r="M793" s="229">
        <v>4.8828125E-4</v>
      </c>
      <c r="N793" s="229" t="s">
        <v>1871</v>
      </c>
      <c r="O793" s="229" t="s">
        <v>2030</v>
      </c>
      <c r="P793" s="231"/>
    </row>
    <row r="794" spans="1:16" ht="20.399999999999999" x14ac:dyDescent="0.25">
      <c r="A794" s="227" t="s">
        <v>2566</v>
      </c>
      <c r="B794" s="228" t="s">
        <v>1871</v>
      </c>
      <c r="C794" s="228" t="s">
        <v>1011</v>
      </c>
      <c r="D794" s="228" t="s">
        <v>216</v>
      </c>
      <c r="E794" s="229"/>
      <c r="F794" s="229" t="s">
        <v>139</v>
      </c>
      <c r="G794" s="229" t="s">
        <v>82</v>
      </c>
      <c r="H794" s="229"/>
      <c r="I794" s="229">
        <v>0</v>
      </c>
      <c r="J794" s="229">
        <v>-10</v>
      </c>
      <c r="K794" s="230">
        <v>10</v>
      </c>
      <c r="L794" s="229" t="s">
        <v>1865</v>
      </c>
      <c r="M794" s="229">
        <v>4.8828125E-4</v>
      </c>
      <c r="N794" s="229" t="s">
        <v>265</v>
      </c>
      <c r="O794" s="229" t="s">
        <v>261</v>
      </c>
      <c r="P794" s="231"/>
    </row>
    <row r="795" spans="1:16" x14ac:dyDescent="0.25">
      <c r="A795" s="227" t="s">
        <v>2567</v>
      </c>
      <c r="B795" s="228" t="s">
        <v>1871</v>
      </c>
      <c r="C795" s="228" t="s">
        <v>1011</v>
      </c>
      <c r="D795" s="228" t="s">
        <v>216</v>
      </c>
      <c r="E795" s="229"/>
      <c r="F795" s="229" t="s">
        <v>139</v>
      </c>
      <c r="G795" s="229" t="s">
        <v>82</v>
      </c>
      <c r="H795" s="229"/>
      <c r="I795" s="229">
        <v>0</v>
      </c>
      <c r="J795" s="229">
        <v>0</v>
      </c>
      <c r="K795" s="230">
        <v>1</v>
      </c>
      <c r="L795" s="229" t="s">
        <v>1865</v>
      </c>
      <c r="M795" s="229">
        <v>4.8828125E-4</v>
      </c>
      <c r="N795" s="229" t="s">
        <v>300</v>
      </c>
      <c r="O795" s="229" t="s">
        <v>261</v>
      </c>
      <c r="P795" s="231"/>
    </row>
    <row r="796" spans="1:16" ht="20.399999999999999" x14ac:dyDescent="0.25">
      <c r="A796" s="227" t="s">
        <v>2568</v>
      </c>
      <c r="B796" s="228" t="s">
        <v>1871</v>
      </c>
      <c r="C796" s="228" t="s">
        <v>1011</v>
      </c>
      <c r="D796" s="228" t="s">
        <v>216</v>
      </c>
      <c r="E796" s="229"/>
      <c r="F796" s="229" t="s">
        <v>139</v>
      </c>
      <c r="G796" s="229" t="s">
        <v>82</v>
      </c>
      <c r="H796" s="229"/>
      <c r="I796" s="229">
        <v>0</v>
      </c>
      <c r="J796" s="229">
        <v>0</v>
      </c>
      <c r="K796" s="230">
        <v>1</v>
      </c>
      <c r="L796" s="229" t="s">
        <v>1865</v>
      </c>
      <c r="M796" s="229">
        <v>4.8828125E-4</v>
      </c>
      <c r="N796" s="229" t="s">
        <v>300</v>
      </c>
      <c r="O796" s="229" t="s">
        <v>261</v>
      </c>
      <c r="P796" s="231"/>
    </row>
    <row r="797" spans="1:16" x14ac:dyDescent="0.25">
      <c r="A797" s="227" t="s">
        <v>2569</v>
      </c>
      <c r="B797" s="228" t="s">
        <v>2570</v>
      </c>
      <c r="C797" s="228" t="s">
        <v>1011</v>
      </c>
      <c r="D797" s="228" t="s">
        <v>216</v>
      </c>
      <c r="E797" s="229"/>
      <c r="F797" s="229" t="s">
        <v>141</v>
      </c>
      <c r="G797" s="229" t="s">
        <v>82</v>
      </c>
      <c r="H797" s="229"/>
      <c r="I797" s="229">
        <v>0</v>
      </c>
      <c r="J797" s="229">
        <v>0</v>
      </c>
      <c r="K797" s="230">
        <v>1</v>
      </c>
      <c r="L797" s="229" t="s">
        <v>1865</v>
      </c>
      <c r="M797" s="229">
        <v>3.0517578125E-5</v>
      </c>
      <c r="N797" s="229" t="s">
        <v>300</v>
      </c>
      <c r="O797" s="229" t="s">
        <v>261</v>
      </c>
      <c r="P797" s="231"/>
    </row>
    <row r="798" spans="1:16" x14ac:dyDescent="0.25">
      <c r="A798" s="227" t="s">
        <v>2571</v>
      </c>
      <c r="B798" s="228" t="s">
        <v>2572</v>
      </c>
      <c r="C798" s="228" t="s">
        <v>1011</v>
      </c>
      <c r="D798" s="228" t="s">
        <v>216</v>
      </c>
      <c r="E798" s="229"/>
      <c r="F798" s="229" t="s">
        <v>141</v>
      </c>
      <c r="G798" s="229" t="s">
        <v>82</v>
      </c>
      <c r="H798" s="229"/>
      <c r="I798" s="229">
        <v>0</v>
      </c>
      <c r="J798" s="229">
        <v>0</v>
      </c>
      <c r="K798" s="230">
        <v>10</v>
      </c>
      <c r="L798" s="229" t="s">
        <v>1865</v>
      </c>
      <c r="M798" s="229">
        <v>3.0517578125E-5</v>
      </c>
      <c r="N798" s="229" t="s">
        <v>1027</v>
      </c>
      <c r="O798" s="229" t="s">
        <v>261</v>
      </c>
      <c r="P798" s="231"/>
    </row>
    <row r="799" spans="1:16" x14ac:dyDescent="0.25">
      <c r="A799" s="227" t="s">
        <v>2573</v>
      </c>
      <c r="B799" s="228" t="s">
        <v>2574</v>
      </c>
      <c r="C799" s="228" t="s">
        <v>1011</v>
      </c>
      <c r="D799" s="228" t="s">
        <v>216</v>
      </c>
      <c r="E799" s="229"/>
      <c r="F799" s="229" t="s">
        <v>141</v>
      </c>
      <c r="G799" s="229" t="s">
        <v>82</v>
      </c>
      <c r="H799" s="229"/>
      <c r="I799" s="229">
        <v>0</v>
      </c>
      <c r="J799" s="229">
        <v>0</v>
      </c>
      <c r="K799" s="230">
        <v>10</v>
      </c>
      <c r="L799" s="229" t="s">
        <v>1865</v>
      </c>
      <c r="M799" s="229">
        <v>3.0517578125E-5</v>
      </c>
      <c r="N799" s="229" t="s">
        <v>1027</v>
      </c>
      <c r="O799" s="229" t="s">
        <v>261</v>
      </c>
      <c r="P799" s="231"/>
    </row>
    <row r="800" spans="1:16" ht="39.6" x14ac:dyDescent="0.25">
      <c r="A800" s="227" t="s">
        <v>2360</v>
      </c>
      <c r="B800" s="228" t="s">
        <v>1869</v>
      </c>
      <c r="C800" s="228" t="s">
        <v>1046</v>
      </c>
      <c r="D800" s="228"/>
      <c r="E800" s="229" t="s">
        <v>2575</v>
      </c>
      <c r="F800" s="229" t="s">
        <v>136</v>
      </c>
      <c r="G800" s="229" t="s">
        <v>82</v>
      </c>
      <c r="H800" s="229"/>
      <c r="I800" s="229">
        <v>0</v>
      </c>
      <c r="J800" s="229">
        <v>-1100</v>
      </c>
      <c r="K800" s="230">
        <v>1100</v>
      </c>
      <c r="L800" s="229" t="s">
        <v>1865</v>
      </c>
      <c r="M800" s="229"/>
      <c r="N800" s="229" t="s">
        <v>263</v>
      </c>
      <c r="O800" s="229" t="s">
        <v>261</v>
      </c>
      <c r="P800" s="231"/>
    </row>
    <row r="801" spans="1:16" ht="39.6" x14ac:dyDescent="0.25">
      <c r="A801" s="227" t="s">
        <v>2140</v>
      </c>
      <c r="B801" s="228" t="s">
        <v>2141</v>
      </c>
      <c r="C801" s="228" t="s">
        <v>1046</v>
      </c>
      <c r="D801" s="228"/>
      <c r="E801" s="229" t="s">
        <v>2576</v>
      </c>
      <c r="F801" s="229" t="s">
        <v>136</v>
      </c>
      <c r="G801" s="229" t="s">
        <v>82</v>
      </c>
      <c r="H801" s="229"/>
      <c r="I801" s="229">
        <v>0</v>
      </c>
      <c r="J801" s="229">
        <v>0</v>
      </c>
      <c r="K801" s="230">
        <v>8.8000000000000007</v>
      </c>
      <c r="L801" s="229" t="s">
        <v>1865</v>
      </c>
      <c r="M801" s="229"/>
      <c r="N801" s="229" t="s">
        <v>256</v>
      </c>
      <c r="O801" s="229" t="s">
        <v>261</v>
      </c>
      <c r="P801" s="231"/>
    </row>
    <row r="802" spans="1:16" ht="26.4" x14ac:dyDescent="0.25">
      <c r="A802" s="227" t="s">
        <v>2577</v>
      </c>
      <c r="B802" s="228" t="s">
        <v>2578</v>
      </c>
      <c r="C802" s="228" t="s">
        <v>1046</v>
      </c>
      <c r="D802" s="228"/>
      <c r="E802" s="229" t="s">
        <v>2579</v>
      </c>
      <c r="F802" s="229" t="s">
        <v>136</v>
      </c>
      <c r="G802" s="229" t="s">
        <v>82</v>
      </c>
      <c r="H802" s="229"/>
      <c r="I802" s="229" t="b">
        <v>0</v>
      </c>
      <c r="J802" s="229" t="b">
        <v>0</v>
      </c>
      <c r="K802" s="230" t="b">
        <v>1</v>
      </c>
      <c r="L802" s="229" t="s">
        <v>929</v>
      </c>
      <c r="M802" s="229"/>
      <c r="N802" s="229" t="s">
        <v>271</v>
      </c>
      <c r="O802" s="229" t="s">
        <v>501</v>
      </c>
      <c r="P802" s="231"/>
    </row>
    <row r="803" spans="1:16" ht="52.8" x14ac:dyDescent="0.25">
      <c r="A803" s="227" t="s">
        <v>2084</v>
      </c>
      <c r="B803" s="228" t="s">
        <v>2085</v>
      </c>
      <c r="C803" s="228" t="s">
        <v>1046</v>
      </c>
      <c r="D803" s="228" t="s">
        <v>207</v>
      </c>
      <c r="E803" s="229" t="s">
        <v>2580</v>
      </c>
      <c r="F803" s="229" t="s">
        <v>138</v>
      </c>
      <c r="G803" s="229" t="s">
        <v>82</v>
      </c>
      <c r="H803" s="229"/>
      <c r="I803" s="229">
        <v>8.8000000000000007</v>
      </c>
      <c r="J803" s="229">
        <v>0</v>
      </c>
      <c r="K803" s="230">
        <v>8.8000000000000007</v>
      </c>
      <c r="L803" s="229" t="s">
        <v>1865</v>
      </c>
      <c r="M803" s="229">
        <v>3.9100000000000003E-3</v>
      </c>
      <c r="N803" s="229" t="s">
        <v>256</v>
      </c>
      <c r="O803" s="229" t="s">
        <v>261</v>
      </c>
      <c r="P803" s="231"/>
    </row>
    <row r="804" spans="1:16" x14ac:dyDescent="0.25">
      <c r="A804" s="227" t="s">
        <v>2581</v>
      </c>
      <c r="B804" s="228"/>
      <c r="C804" s="228" t="s">
        <v>1046</v>
      </c>
      <c r="D804" s="228" t="s">
        <v>207</v>
      </c>
      <c r="E804" s="229"/>
      <c r="F804" s="229" t="s">
        <v>139</v>
      </c>
      <c r="G804" s="229" t="s">
        <v>82</v>
      </c>
      <c r="H804" s="229"/>
      <c r="I804" s="229">
        <v>0</v>
      </c>
      <c r="J804" s="229">
        <v>0</v>
      </c>
      <c r="K804" s="230">
        <v>8.8000000000000007</v>
      </c>
      <c r="L804" s="229">
        <v>3.90625E-3</v>
      </c>
      <c r="M804" s="229">
        <v>3.9100000000000003E-3</v>
      </c>
      <c r="N804" s="229" t="s">
        <v>256</v>
      </c>
      <c r="O804" s="229" t="s">
        <v>261</v>
      </c>
      <c r="P804" s="231"/>
    </row>
    <row r="805" spans="1:16" x14ac:dyDescent="0.25">
      <c r="A805" s="227" t="s">
        <v>2582</v>
      </c>
      <c r="B805" s="228"/>
      <c r="C805" s="228" t="s">
        <v>1046</v>
      </c>
      <c r="D805" s="228" t="s">
        <v>207</v>
      </c>
      <c r="E805" s="229"/>
      <c r="F805" s="229" t="s">
        <v>139</v>
      </c>
      <c r="G805" s="229" t="s">
        <v>82</v>
      </c>
      <c r="H805" s="229"/>
      <c r="I805" s="229">
        <v>0</v>
      </c>
      <c r="J805" s="229">
        <v>0</v>
      </c>
      <c r="K805" s="230">
        <v>8.8000000000000007</v>
      </c>
      <c r="L805" s="229" t="s">
        <v>2583</v>
      </c>
      <c r="M805" s="229">
        <v>3.9100000000000003E-3</v>
      </c>
      <c r="N805" s="229" t="s">
        <v>256</v>
      </c>
      <c r="O805" s="229" t="s">
        <v>2584</v>
      </c>
      <c r="P805" s="231"/>
    </row>
    <row r="806" spans="1:16" x14ac:dyDescent="0.25">
      <c r="A806" s="227" t="s">
        <v>2585</v>
      </c>
      <c r="B806" s="228" t="s">
        <v>2586</v>
      </c>
      <c r="C806" s="228" t="s">
        <v>1046</v>
      </c>
      <c r="D806" s="228" t="s">
        <v>207</v>
      </c>
      <c r="E806" s="229"/>
      <c r="F806" s="229" t="s">
        <v>141</v>
      </c>
      <c r="G806" s="229" t="s">
        <v>82</v>
      </c>
      <c r="H806" s="229"/>
      <c r="I806" s="229">
        <v>0</v>
      </c>
      <c r="J806" s="229">
        <v>0</v>
      </c>
      <c r="K806" s="230">
        <v>8.8000000000000007</v>
      </c>
      <c r="L806" s="229">
        <v>3.90625E-3</v>
      </c>
      <c r="M806" s="229">
        <v>3.9100000000000003E-3</v>
      </c>
      <c r="N806" s="229" t="s">
        <v>256</v>
      </c>
      <c r="O806" s="229" t="s">
        <v>257</v>
      </c>
      <c r="P806" s="231"/>
    </row>
    <row r="807" spans="1:16" ht="26.4" x14ac:dyDescent="0.25">
      <c r="A807" s="227" t="s">
        <v>2587</v>
      </c>
      <c r="B807" s="228" t="s">
        <v>2588</v>
      </c>
      <c r="C807" s="228" t="s">
        <v>1046</v>
      </c>
      <c r="D807" s="228" t="s">
        <v>207</v>
      </c>
      <c r="E807" s="229"/>
      <c r="F807" s="229" t="s">
        <v>141</v>
      </c>
      <c r="G807" s="229" t="s">
        <v>82</v>
      </c>
      <c r="H807" s="229" t="s">
        <v>2589</v>
      </c>
      <c r="I807" s="229">
        <v>0</v>
      </c>
      <c r="J807" s="229">
        <v>0</v>
      </c>
      <c r="K807" s="230">
        <v>8.8000000000000007</v>
      </c>
      <c r="L807" s="229">
        <v>3.90625E-3</v>
      </c>
      <c r="M807" s="229">
        <v>3.9100000000000003E-3</v>
      </c>
      <c r="N807" s="229" t="s">
        <v>256</v>
      </c>
      <c r="O807" s="229" t="s">
        <v>257</v>
      </c>
      <c r="P807" s="231"/>
    </row>
    <row r="808" spans="1:16" ht="26.4" x14ac:dyDescent="0.25">
      <c r="A808" s="227" t="s">
        <v>2590</v>
      </c>
      <c r="B808" s="228" t="s">
        <v>2591</v>
      </c>
      <c r="C808" s="228" t="s">
        <v>1046</v>
      </c>
      <c r="D808" s="228" t="s">
        <v>207</v>
      </c>
      <c r="E808" s="229"/>
      <c r="F808" s="229" t="s">
        <v>141</v>
      </c>
      <c r="G808" s="229" t="s">
        <v>82</v>
      </c>
      <c r="H808" s="229" t="s">
        <v>2592</v>
      </c>
      <c r="I808" s="229">
        <v>0</v>
      </c>
      <c r="J808" s="229">
        <v>0</v>
      </c>
      <c r="K808" s="230">
        <v>8.8000000000000007</v>
      </c>
      <c r="L808" s="229">
        <v>3.90625E-3</v>
      </c>
      <c r="M808" s="229">
        <v>3.9100000000000003E-3</v>
      </c>
      <c r="N808" s="229" t="s">
        <v>256</v>
      </c>
      <c r="O808" s="229" t="s">
        <v>257</v>
      </c>
      <c r="P808" s="231"/>
    </row>
    <row r="809" spans="1:16" ht="39.6" x14ac:dyDescent="0.25">
      <c r="A809" s="227" t="s">
        <v>2593</v>
      </c>
      <c r="B809" s="228" t="s">
        <v>2595</v>
      </c>
      <c r="C809" s="228" t="s">
        <v>2594</v>
      </c>
      <c r="D809" s="228"/>
      <c r="E809" s="229" t="s">
        <v>2596</v>
      </c>
      <c r="F809" s="229" t="s">
        <v>136</v>
      </c>
      <c r="G809" s="229"/>
      <c r="H809" s="229"/>
      <c r="I809" s="229" t="b">
        <v>0</v>
      </c>
      <c r="J809" s="229" t="b">
        <v>0</v>
      </c>
      <c r="K809" s="230" t="b">
        <v>1</v>
      </c>
      <c r="L809" s="229" t="s">
        <v>1883</v>
      </c>
      <c r="M809" s="229"/>
      <c r="N809" s="229" t="s">
        <v>424</v>
      </c>
      <c r="O809" s="229" t="s">
        <v>501</v>
      </c>
      <c r="P809" s="231"/>
    </row>
    <row r="810" spans="1:16" ht="39.6" x14ac:dyDescent="0.25">
      <c r="A810" s="227" t="s">
        <v>2597</v>
      </c>
      <c r="B810" s="228" t="s">
        <v>2598</v>
      </c>
      <c r="C810" s="228" t="s">
        <v>2594</v>
      </c>
      <c r="D810" s="228"/>
      <c r="E810" s="229" t="s">
        <v>2599</v>
      </c>
      <c r="F810" s="229" t="s">
        <v>136</v>
      </c>
      <c r="G810" s="229"/>
      <c r="H810" s="229"/>
      <c r="I810" s="229" t="b">
        <v>0</v>
      </c>
      <c r="J810" s="229" t="b">
        <v>0</v>
      </c>
      <c r="K810" s="230" t="b">
        <v>1</v>
      </c>
      <c r="L810" s="229" t="s">
        <v>1883</v>
      </c>
      <c r="M810" s="229"/>
      <c r="N810" s="229" t="s">
        <v>424</v>
      </c>
      <c r="O810" s="229" t="s">
        <v>501</v>
      </c>
      <c r="P810" s="231"/>
    </row>
    <row r="811" spans="1:16" ht="39.6" x14ac:dyDescent="0.25">
      <c r="A811" s="227" t="s">
        <v>2600</v>
      </c>
      <c r="B811" s="228" t="s">
        <v>2601</v>
      </c>
      <c r="C811" s="228" t="s">
        <v>2594</v>
      </c>
      <c r="D811" s="228"/>
      <c r="E811" s="229" t="s">
        <v>2602</v>
      </c>
      <c r="F811" s="229" t="s">
        <v>136</v>
      </c>
      <c r="G811" s="229"/>
      <c r="H811" s="229"/>
      <c r="I811" s="229" t="b">
        <v>0</v>
      </c>
      <c r="J811" s="229" t="b">
        <v>0</v>
      </c>
      <c r="K811" s="230" t="b">
        <v>1</v>
      </c>
      <c r="L811" s="229" t="s">
        <v>1883</v>
      </c>
      <c r="M811" s="229"/>
      <c r="N811" s="229" t="s">
        <v>424</v>
      </c>
      <c r="O811" s="229" t="s">
        <v>501</v>
      </c>
      <c r="P811" s="231"/>
    </row>
    <row r="812" spans="1:16" ht="39.6" x14ac:dyDescent="0.25">
      <c r="A812" s="227" t="s">
        <v>2603</v>
      </c>
      <c r="B812" s="228" t="s">
        <v>2604</v>
      </c>
      <c r="C812" s="228" t="s">
        <v>2594</v>
      </c>
      <c r="D812" s="228"/>
      <c r="E812" s="229" t="s">
        <v>2605</v>
      </c>
      <c r="F812" s="229" t="s">
        <v>136</v>
      </c>
      <c r="G812" s="229"/>
      <c r="H812" s="229"/>
      <c r="I812" s="229" t="b">
        <v>0</v>
      </c>
      <c r="J812" s="229" t="b">
        <v>0</v>
      </c>
      <c r="K812" s="230" t="b">
        <v>1</v>
      </c>
      <c r="L812" s="229" t="s">
        <v>1883</v>
      </c>
      <c r="M812" s="229"/>
      <c r="N812" s="229" t="s">
        <v>424</v>
      </c>
      <c r="O812" s="229" t="s">
        <v>501</v>
      </c>
      <c r="P812" s="231"/>
    </row>
    <row r="813" spans="1:16" x14ac:dyDescent="0.25">
      <c r="A813" s="227" t="s">
        <v>2606</v>
      </c>
      <c r="B813" s="228"/>
      <c r="C813" s="228" t="s">
        <v>2594</v>
      </c>
      <c r="D813" s="228" t="s">
        <v>2607</v>
      </c>
      <c r="E813" s="229"/>
      <c r="F813" s="229" t="s">
        <v>138</v>
      </c>
      <c r="G813" s="229"/>
      <c r="H813" s="229"/>
      <c r="I813" s="229" t="b">
        <v>0</v>
      </c>
      <c r="J813" s="229" t="b">
        <v>0</v>
      </c>
      <c r="K813" s="230" t="b">
        <v>1</v>
      </c>
      <c r="L813" s="229" t="s">
        <v>1883</v>
      </c>
      <c r="M813" s="229" t="s">
        <v>1883</v>
      </c>
      <c r="N813" s="229" t="s">
        <v>424</v>
      </c>
      <c r="O813" s="229" t="s">
        <v>501</v>
      </c>
      <c r="P813" s="231"/>
    </row>
    <row r="814" spans="1:16" x14ac:dyDescent="0.25">
      <c r="A814" s="227" t="s">
        <v>2608</v>
      </c>
      <c r="B814" s="228"/>
      <c r="C814" s="228" t="s">
        <v>2594</v>
      </c>
      <c r="D814" s="228" t="s">
        <v>2607</v>
      </c>
      <c r="E814" s="229"/>
      <c r="F814" s="229" t="s">
        <v>138</v>
      </c>
      <c r="G814" s="229"/>
      <c r="H814" s="229"/>
      <c r="I814" s="229" t="b">
        <v>0</v>
      </c>
      <c r="J814" s="229" t="b">
        <v>0</v>
      </c>
      <c r="K814" s="230" t="b">
        <v>1</v>
      </c>
      <c r="L814" s="229" t="s">
        <v>1883</v>
      </c>
      <c r="M814" s="229" t="s">
        <v>1883</v>
      </c>
      <c r="N814" s="229" t="s">
        <v>424</v>
      </c>
      <c r="O814" s="229" t="s">
        <v>501</v>
      </c>
      <c r="P814" s="231"/>
    </row>
    <row r="815" spans="1:16" x14ac:dyDescent="0.25">
      <c r="A815" s="227" t="s">
        <v>2609</v>
      </c>
      <c r="B815" s="228"/>
      <c r="C815" s="228" t="s">
        <v>2594</v>
      </c>
      <c r="D815" s="228" t="s">
        <v>2607</v>
      </c>
      <c r="E815" s="229"/>
      <c r="F815" s="229" t="s">
        <v>138</v>
      </c>
      <c r="G815" s="229"/>
      <c r="H815" s="229"/>
      <c r="I815" s="229" t="b">
        <v>0</v>
      </c>
      <c r="J815" s="229" t="b">
        <v>0</v>
      </c>
      <c r="K815" s="230" t="b">
        <v>1</v>
      </c>
      <c r="L815" s="229" t="s">
        <v>1883</v>
      </c>
      <c r="M815" s="229" t="s">
        <v>1883</v>
      </c>
      <c r="N815" s="229" t="s">
        <v>424</v>
      </c>
      <c r="O815" s="229" t="s">
        <v>501</v>
      </c>
      <c r="P815" s="231"/>
    </row>
    <row r="816" spans="1:16" x14ac:dyDescent="0.25">
      <c r="A816" s="227" t="s">
        <v>2610</v>
      </c>
      <c r="B816" s="228"/>
      <c r="C816" s="228" t="s">
        <v>2594</v>
      </c>
      <c r="D816" s="228" t="s">
        <v>2607</v>
      </c>
      <c r="E816" s="229"/>
      <c r="F816" s="229" t="s">
        <v>138</v>
      </c>
      <c r="G816" s="229"/>
      <c r="H816" s="229"/>
      <c r="I816" s="229" t="b">
        <v>0</v>
      </c>
      <c r="J816" s="229" t="b">
        <v>0</v>
      </c>
      <c r="K816" s="230" t="b">
        <v>1</v>
      </c>
      <c r="L816" s="229" t="s">
        <v>1883</v>
      </c>
      <c r="M816" s="229" t="s">
        <v>1883</v>
      </c>
      <c r="N816" s="229" t="s">
        <v>424</v>
      </c>
      <c r="O816" s="229" t="s">
        <v>501</v>
      </c>
      <c r="P816" s="231"/>
    </row>
    <row r="817" spans="1:16" x14ac:dyDescent="0.25">
      <c r="A817" s="227" t="s">
        <v>2611</v>
      </c>
      <c r="B817" s="228"/>
      <c r="C817" s="228" t="s">
        <v>2594</v>
      </c>
      <c r="D817" s="228" t="s">
        <v>2607</v>
      </c>
      <c r="E817" s="229"/>
      <c r="F817" s="229" t="s">
        <v>138</v>
      </c>
      <c r="G817" s="229"/>
      <c r="H817" s="229"/>
      <c r="I817" s="229" t="b">
        <v>0</v>
      </c>
      <c r="J817" s="229" t="b">
        <v>0</v>
      </c>
      <c r="K817" s="230" t="b">
        <v>1</v>
      </c>
      <c r="L817" s="229" t="s">
        <v>1883</v>
      </c>
      <c r="M817" s="229" t="s">
        <v>1883</v>
      </c>
      <c r="N817" s="229" t="s">
        <v>424</v>
      </c>
      <c r="O817" s="229" t="s">
        <v>501</v>
      </c>
      <c r="P817" s="231"/>
    </row>
    <row r="818" spans="1:16" x14ac:dyDescent="0.25">
      <c r="A818" s="227" t="s">
        <v>4961</v>
      </c>
      <c r="B818" s="228"/>
      <c r="C818" s="228" t="s">
        <v>2594</v>
      </c>
      <c r="D818" s="228" t="s">
        <v>2607</v>
      </c>
      <c r="E818" s="229"/>
      <c r="F818" s="229" t="s">
        <v>139</v>
      </c>
      <c r="G818" s="229"/>
      <c r="H818" s="229"/>
      <c r="I818" s="229">
        <v>0</v>
      </c>
      <c r="J818" s="229">
        <v>0</v>
      </c>
      <c r="K818" s="230">
        <v>6</v>
      </c>
      <c r="L818" s="229">
        <v>1</v>
      </c>
      <c r="M818" s="229">
        <v>0</v>
      </c>
      <c r="N818" s="229" t="s">
        <v>424</v>
      </c>
      <c r="O818" s="229" t="s">
        <v>1003</v>
      </c>
      <c r="P818" s="231"/>
    </row>
    <row r="819" spans="1:16" x14ac:dyDescent="0.25">
      <c r="A819" s="227" t="s">
        <v>4962</v>
      </c>
      <c r="B819" s="228"/>
      <c r="C819" s="228" t="s">
        <v>2594</v>
      </c>
      <c r="D819" s="228" t="s">
        <v>2607</v>
      </c>
      <c r="E819" s="229"/>
      <c r="F819" s="229" t="s">
        <v>139</v>
      </c>
      <c r="G819" s="229"/>
      <c r="H819" s="229"/>
      <c r="I819" s="229" t="b">
        <v>0</v>
      </c>
      <c r="J819" s="229" t="b">
        <v>0</v>
      </c>
      <c r="K819" s="230" t="b">
        <v>1</v>
      </c>
      <c r="L819" s="229" t="s">
        <v>1883</v>
      </c>
      <c r="M819" s="229" t="s">
        <v>1883</v>
      </c>
      <c r="N819" s="229" t="s">
        <v>424</v>
      </c>
      <c r="O819" s="229" t="s">
        <v>501</v>
      </c>
      <c r="P819" s="231"/>
    </row>
    <row r="820" spans="1:16" x14ac:dyDescent="0.25">
      <c r="A820" s="227" t="s">
        <v>4963</v>
      </c>
      <c r="B820" s="228"/>
      <c r="C820" s="228" t="s">
        <v>2594</v>
      </c>
      <c r="D820" s="228" t="s">
        <v>2607</v>
      </c>
      <c r="E820" s="229"/>
      <c r="F820" s="229" t="s">
        <v>139</v>
      </c>
      <c r="G820" s="229"/>
      <c r="H820" s="229"/>
      <c r="I820" s="229" t="b">
        <v>0</v>
      </c>
      <c r="J820" s="229" t="b">
        <v>0</v>
      </c>
      <c r="K820" s="230" t="b">
        <v>1</v>
      </c>
      <c r="L820" s="229" t="s">
        <v>1883</v>
      </c>
      <c r="M820" s="229" t="s">
        <v>1883</v>
      </c>
      <c r="N820" s="229" t="s">
        <v>424</v>
      </c>
      <c r="O820" s="229" t="s">
        <v>501</v>
      </c>
      <c r="P820" s="231"/>
    </row>
    <row r="821" spans="1:16" x14ac:dyDescent="0.25">
      <c r="A821" s="227" t="s">
        <v>4964</v>
      </c>
      <c r="B821" s="228"/>
      <c r="C821" s="228" t="s">
        <v>2594</v>
      </c>
      <c r="D821" s="228" t="s">
        <v>2607</v>
      </c>
      <c r="E821" s="229"/>
      <c r="F821" s="229" t="s">
        <v>139</v>
      </c>
      <c r="G821" s="229"/>
      <c r="H821" s="229"/>
      <c r="I821" s="229" t="b">
        <v>0</v>
      </c>
      <c r="J821" s="229" t="b">
        <v>0</v>
      </c>
      <c r="K821" s="230" t="b">
        <v>1</v>
      </c>
      <c r="L821" s="229" t="s">
        <v>1883</v>
      </c>
      <c r="M821" s="229" t="s">
        <v>1883</v>
      </c>
      <c r="N821" s="229" t="s">
        <v>424</v>
      </c>
      <c r="O821" s="229" t="s">
        <v>501</v>
      </c>
      <c r="P821" s="231"/>
    </row>
    <row r="822" spans="1:16" x14ac:dyDescent="0.25">
      <c r="A822" s="227" t="s">
        <v>4965</v>
      </c>
      <c r="B822" s="228"/>
      <c r="C822" s="228" t="s">
        <v>2594</v>
      </c>
      <c r="D822" s="228" t="s">
        <v>2607</v>
      </c>
      <c r="E822" s="229"/>
      <c r="F822" s="229" t="s">
        <v>139</v>
      </c>
      <c r="G822" s="229"/>
      <c r="H822" s="229"/>
      <c r="I822" s="229" t="b">
        <v>0</v>
      </c>
      <c r="J822" s="229" t="b">
        <v>0</v>
      </c>
      <c r="K822" s="230" t="b">
        <v>1</v>
      </c>
      <c r="L822" s="229" t="s">
        <v>1883</v>
      </c>
      <c r="M822" s="229" t="s">
        <v>1883</v>
      </c>
      <c r="N822" s="229" t="s">
        <v>424</v>
      </c>
      <c r="O822" s="229" t="s">
        <v>501</v>
      </c>
      <c r="P822" s="231"/>
    </row>
    <row r="823" spans="1:16" x14ac:dyDescent="0.25">
      <c r="A823" s="227" t="s">
        <v>4966</v>
      </c>
      <c r="B823" s="228"/>
      <c r="C823" s="228" t="s">
        <v>2594</v>
      </c>
      <c r="D823" s="228" t="s">
        <v>2607</v>
      </c>
      <c r="E823" s="229"/>
      <c r="F823" s="229" t="s">
        <v>139</v>
      </c>
      <c r="G823" s="229"/>
      <c r="H823" s="229"/>
      <c r="I823" s="229" t="b">
        <v>0</v>
      </c>
      <c r="J823" s="229" t="b">
        <v>0</v>
      </c>
      <c r="K823" s="230" t="b">
        <v>1</v>
      </c>
      <c r="L823" s="229" t="s">
        <v>1883</v>
      </c>
      <c r="M823" s="229" t="s">
        <v>1883</v>
      </c>
      <c r="N823" s="229" t="s">
        <v>424</v>
      </c>
      <c r="O823" s="229" t="s">
        <v>501</v>
      </c>
      <c r="P823" s="231"/>
    </row>
    <row r="824" spans="1:16" ht="26.4" x14ac:dyDescent="0.25">
      <c r="A824" s="227" t="s">
        <v>1872</v>
      </c>
      <c r="B824" s="228" t="s">
        <v>1885</v>
      </c>
      <c r="C824" s="228" t="s">
        <v>1074</v>
      </c>
      <c r="D824" s="228" t="s">
        <v>202</v>
      </c>
      <c r="E824" s="229" t="s">
        <v>1973</v>
      </c>
      <c r="F824" s="229" t="s">
        <v>136</v>
      </c>
      <c r="G824" s="229" t="s">
        <v>82</v>
      </c>
      <c r="H824" s="229"/>
      <c r="I824" s="229">
        <v>0</v>
      </c>
      <c r="J824" s="229">
        <v>-10</v>
      </c>
      <c r="K824" s="230">
        <v>10</v>
      </c>
      <c r="L824" s="229" t="s">
        <v>1865</v>
      </c>
      <c r="M824" s="229"/>
      <c r="N824" s="229" t="s">
        <v>265</v>
      </c>
      <c r="O824" s="229" t="s">
        <v>261</v>
      </c>
      <c r="P824" s="231"/>
    </row>
    <row r="825" spans="1:16" x14ac:dyDescent="0.25">
      <c r="A825" s="227" t="s">
        <v>2618</v>
      </c>
      <c r="B825" s="228" t="s">
        <v>2619</v>
      </c>
      <c r="C825" s="228" t="s">
        <v>1074</v>
      </c>
      <c r="D825" s="228" t="s">
        <v>202</v>
      </c>
      <c r="E825" s="229"/>
      <c r="F825" s="229" t="s">
        <v>136</v>
      </c>
      <c r="G825" s="229" t="s">
        <v>82</v>
      </c>
      <c r="H825" s="229"/>
      <c r="I825" s="229" t="b">
        <v>0</v>
      </c>
      <c r="J825" s="229" t="s">
        <v>1871</v>
      </c>
      <c r="K825" s="230" t="s">
        <v>1871</v>
      </c>
      <c r="L825" s="229" t="s">
        <v>929</v>
      </c>
      <c r="M825" s="229"/>
      <c r="N825" s="229"/>
      <c r="O825" s="229"/>
      <c r="P825" s="231"/>
    </row>
    <row r="826" spans="1:16" ht="26.4" x14ac:dyDescent="0.25">
      <c r="A826" s="227" t="s">
        <v>2001</v>
      </c>
      <c r="B826" s="228" t="s">
        <v>2002</v>
      </c>
      <c r="C826" s="228" t="s">
        <v>1074</v>
      </c>
      <c r="D826" s="228" t="s">
        <v>202</v>
      </c>
      <c r="E826" s="229" t="s">
        <v>2620</v>
      </c>
      <c r="F826" s="229" t="s">
        <v>136</v>
      </c>
      <c r="G826" s="229" t="s">
        <v>82</v>
      </c>
      <c r="H826" s="229"/>
      <c r="I826" s="229">
        <v>0</v>
      </c>
      <c r="J826" s="229">
        <v>-8.8000000000000007</v>
      </c>
      <c r="K826" s="230">
        <v>8.8000000000000007</v>
      </c>
      <c r="L826" s="229" t="s">
        <v>1865</v>
      </c>
      <c r="M826" s="229"/>
      <c r="N826" s="229" t="s">
        <v>256</v>
      </c>
      <c r="O826" s="229" t="s">
        <v>261</v>
      </c>
      <c r="P826" s="231"/>
    </row>
    <row r="827" spans="1:16" ht="39.6" x14ac:dyDescent="0.25">
      <c r="A827" s="227" t="s">
        <v>1980</v>
      </c>
      <c r="B827" s="228" t="s">
        <v>1876</v>
      </c>
      <c r="C827" s="228" t="s">
        <v>1074</v>
      </c>
      <c r="D827" s="228" t="s">
        <v>202</v>
      </c>
      <c r="E827" s="229" t="s">
        <v>1981</v>
      </c>
      <c r="F827" s="229" t="s">
        <v>136</v>
      </c>
      <c r="G827" s="229" t="s">
        <v>82</v>
      </c>
      <c r="H827" s="229"/>
      <c r="I827" s="229">
        <v>0</v>
      </c>
      <c r="J827" s="229">
        <v>0</v>
      </c>
      <c r="K827" s="230">
        <v>511</v>
      </c>
      <c r="L827" s="229" t="s">
        <v>1865</v>
      </c>
      <c r="M827" s="229"/>
      <c r="N827" s="229" t="s">
        <v>264</v>
      </c>
      <c r="O827" s="229" t="s">
        <v>261</v>
      </c>
      <c r="P827" s="231"/>
    </row>
    <row r="828" spans="1:16" ht="39.6" x14ac:dyDescent="0.25">
      <c r="A828" s="227" t="s">
        <v>1990</v>
      </c>
      <c r="B828" s="228" t="s">
        <v>1991</v>
      </c>
      <c r="C828" s="228" t="s">
        <v>1074</v>
      </c>
      <c r="D828" s="228" t="s">
        <v>202</v>
      </c>
      <c r="E828" s="229" t="s">
        <v>1992</v>
      </c>
      <c r="F828" s="229" t="s">
        <v>136</v>
      </c>
      <c r="G828" s="229" t="s">
        <v>82</v>
      </c>
      <c r="H828" s="229"/>
      <c r="I828" s="229">
        <v>0</v>
      </c>
      <c r="J828" s="229">
        <v>0</v>
      </c>
      <c r="K828" s="230">
        <v>8</v>
      </c>
      <c r="L828" s="229" t="s">
        <v>1865</v>
      </c>
      <c r="M828" s="229"/>
      <c r="N828" s="229" t="s">
        <v>256</v>
      </c>
      <c r="O828" s="229" t="s">
        <v>261</v>
      </c>
      <c r="P828" s="231"/>
    </row>
    <row r="829" spans="1:16" ht="52.8" x14ac:dyDescent="0.25">
      <c r="A829" s="227" t="s">
        <v>2294</v>
      </c>
      <c r="B829" s="228" t="s">
        <v>2295</v>
      </c>
      <c r="C829" s="228" t="s">
        <v>1074</v>
      </c>
      <c r="D829" s="228" t="s">
        <v>202</v>
      </c>
      <c r="E829" s="229" t="s">
        <v>2621</v>
      </c>
      <c r="F829" s="229" t="s">
        <v>136</v>
      </c>
      <c r="G829" s="229" t="s">
        <v>82</v>
      </c>
      <c r="H829" s="229"/>
      <c r="I829" s="229">
        <v>30</v>
      </c>
      <c r="J829" s="229">
        <v>-40</v>
      </c>
      <c r="K829" s="230">
        <v>150</v>
      </c>
      <c r="L829" s="229" t="s">
        <v>1865</v>
      </c>
      <c r="M829" s="229"/>
      <c r="N829" s="229" t="s">
        <v>558</v>
      </c>
      <c r="O829" s="229" t="s">
        <v>261</v>
      </c>
      <c r="P829" s="231"/>
    </row>
    <row r="830" spans="1:16" ht="26.4" x14ac:dyDescent="0.25">
      <c r="A830" s="227" t="s">
        <v>2622</v>
      </c>
      <c r="B830" s="228" t="s">
        <v>2623</v>
      </c>
      <c r="C830" s="228" t="s">
        <v>1074</v>
      </c>
      <c r="D830" s="228" t="s">
        <v>202</v>
      </c>
      <c r="E830" s="229" t="s">
        <v>2624</v>
      </c>
      <c r="F830" s="229" t="s">
        <v>136</v>
      </c>
      <c r="G830" s="229" t="s">
        <v>82</v>
      </c>
      <c r="H830" s="229"/>
      <c r="I830" s="229">
        <v>0</v>
      </c>
      <c r="J830" s="229">
        <v>0</v>
      </c>
      <c r="K830" s="230">
        <v>65536</v>
      </c>
      <c r="L830" s="229" t="s">
        <v>2625</v>
      </c>
      <c r="M830" s="229"/>
      <c r="N830" s="229" t="s">
        <v>271</v>
      </c>
      <c r="O830" s="229" t="s">
        <v>321</v>
      </c>
      <c r="P830" s="231"/>
    </row>
    <row r="831" spans="1:16" ht="39.6" x14ac:dyDescent="0.25">
      <c r="A831" s="227" t="s">
        <v>2176</v>
      </c>
      <c r="B831" s="228" t="s">
        <v>2177</v>
      </c>
      <c r="C831" s="228" t="s">
        <v>1074</v>
      </c>
      <c r="D831" s="228" t="s">
        <v>202</v>
      </c>
      <c r="E831" s="229" t="s">
        <v>2178</v>
      </c>
      <c r="F831" s="229" t="s">
        <v>136</v>
      </c>
      <c r="G831" s="229" t="s">
        <v>82</v>
      </c>
      <c r="H831" s="229"/>
      <c r="I831" s="229">
        <v>0</v>
      </c>
      <c r="J831" s="229">
        <v>-10</v>
      </c>
      <c r="K831" s="230">
        <v>10</v>
      </c>
      <c r="L831" s="229" t="s">
        <v>1865</v>
      </c>
      <c r="M831" s="229"/>
      <c r="N831" s="229" t="s">
        <v>265</v>
      </c>
      <c r="O831" s="229" t="s">
        <v>261</v>
      </c>
      <c r="P831" s="231"/>
    </row>
    <row r="832" spans="1:16" ht="39.6" x14ac:dyDescent="0.25">
      <c r="A832" s="227" t="s">
        <v>2012</v>
      </c>
      <c r="B832" s="228" t="s">
        <v>2013</v>
      </c>
      <c r="C832" s="228" t="s">
        <v>1074</v>
      </c>
      <c r="D832" s="228" t="s">
        <v>202</v>
      </c>
      <c r="E832" s="229" t="s">
        <v>2626</v>
      </c>
      <c r="F832" s="229" t="s">
        <v>138</v>
      </c>
      <c r="G832" s="229" t="s">
        <v>82</v>
      </c>
      <c r="H832" s="229"/>
      <c r="I832" s="229">
        <v>0</v>
      </c>
      <c r="J832" s="229">
        <v>-10</v>
      </c>
      <c r="K832" s="230">
        <v>10</v>
      </c>
      <c r="L832" s="229" t="s">
        <v>1865</v>
      </c>
      <c r="M832" s="229">
        <v>4.8899999999999996E-4</v>
      </c>
      <c r="N832" s="229" t="s">
        <v>256</v>
      </c>
      <c r="O832" s="229" t="s">
        <v>261</v>
      </c>
      <c r="P832" s="231"/>
    </row>
    <row r="833" spans="1:16" ht="26.4" x14ac:dyDescent="0.25">
      <c r="A833" s="227" t="s">
        <v>2627</v>
      </c>
      <c r="B833" s="228" t="s">
        <v>2628</v>
      </c>
      <c r="C833" s="228" t="s">
        <v>1074</v>
      </c>
      <c r="D833" s="228" t="s">
        <v>202</v>
      </c>
      <c r="E833" s="229"/>
      <c r="F833" s="229" t="s">
        <v>139</v>
      </c>
      <c r="G833" s="229" t="s">
        <v>82</v>
      </c>
      <c r="H833" s="229"/>
      <c r="I833" s="229" t="s">
        <v>2629</v>
      </c>
      <c r="J833" s="229"/>
      <c r="K833" s="230"/>
      <c r="L833" s="229" t="s">
        <v>1865</v>
      </c>
      <c r="M833" s="229" t="s">
        <v>2630</v>
      </c>
      <c r="N833" s="229" t="s">
        <v>265</v>
      </c>
      <c r="O833" s="229" t="s">
        <v>2631</v>
      </c>
      <c r="P833" s="231"/>
    </row>
    <row r="834" spans="1:16" ht="26.4" x14ac:dyDescent="0.25">
      <c r="A834" s="227" t="s">
        <v>2632</v>
      </c>
      <c r="B834" s="228" t="s">
        <v>2633</v>
      </c>
      <c r="C834" s="228" t="s">
        <v>1074</v>
      </c>
      <c r="D834" s="228" t="s">
        <v>202</v>
      </c>
      <c r="E834" s="229"/>
      <c r="F834" s="229" t="s">
        <v>139</v>
      </c>
      <c r="G834" s="229" t="s">
        <v>82</v>
      </c>
      <c r="H834" s="229"/>
      <c r="I834" s="229" t="s">
        <v>2629</v>
      </c>
      <c r="J834" s="229"/>
      <c r="K834" s="230"/>
      <c r="L834" s="229" t="s">
        <v>1865</v>
      </c>
      <c r="M834" s="229" t="s">
        <v>2630</v>
      </c>
      <c r="N834" s="229" t="s">
        <v>265</v>
      </c>
      <c r="O834" s="229" t="s">
        <v>2631</v>
      </c>
      <c r="P834" s="231"/>
    </row>
    <row r="835" spans="1:16" ht="26.4" x14ac:dyDescent="0.25">
      <c r="A835" s="227" t="s">
        <v>2634</v>
      </c>
      <c r="B835" s="228" t="s">
        <v>2635</v>
      </c>
      <c r="C835" s="228" t="s">
        <v>1074</v>
      </c>
      <c r="D835" s="228" t="s">
        <v>202</v>
      </c>
      <c r="E835" s="229"/>
      <c r="F835" s="229" t="s">
        <v>139</v>
      </c>
      <c r="G835" s="229" t="s">
        <v>82</v>
      </c>
      <c r="H835" s="229"/>
      <c r="I835" s="229" t="s">
        <v>2629</v>
      </c>
      <c r="J835" s="229"/>
      <c r="K835" s="230"/>
      <c r="L835" s="229" t="s">
        <v>1865</v>
      </c>
      <c r="M835" s="229" t="s">
        <v>2630</v>
      </c>
      <c r="N835" s="229" t="s">
        <v>265</v>
      </c>
      <c r="O835" s="229" t="s">
        <v>2631</v>
      </c>
      <c r="P835" s="231"/>
    </row>
    <row r="836" spans="1:16" x14ac:dyDescent="0.25">
      <c r="A836" s="227" t="s">
        <v>2636</v>
      </c>
      <c r="B836" s="228" t="s">
        <v>2637</v>
      </c>
      <c r="C836" s="228" t="s">
        <v>1074</v>
      </c>
      <c r="D836" s="228" t="s">
        <v>202</v>
      </c>
      <c r="E836" s="229"/>
      <c r="F836" s="229" t="s">
        <v>139</v>
      </c>
      <c r="G836" s="229" t="s">
        <v>82</v>
      </c>
      <c r="H836" s="229"/>
      <c r="I836" s="229">
        <v>0</v>
      </c>
      <c r="J836" s="229">
        <v>-10</v>
      </c>
      <c r="K836" s="230">
        <v>10</v>
      </c>
      <c r="L836" s="229" t="s">
        <v>1865</v>
      </c>
      <c r="M836" s="229">
        <v>7.8100000000000001E-3</v>
      </c>
      <c r="N836" s="229" t="s">
        <v>265</v>
      </c>
      <c r="O836" s="229" t="s">
        <v>261</v>
      </c>
      <c r="P836" s="231"/>
    </row>
    <row r="837" spans="1:16" x14ac:dyDescent="0.25">
      <c r="A837" s="227" t="s">
        <v>2638</v>
      </c>
      <c r="B837" s="228" t="s">
        <v>2639</v>
      </c>
      <c r="C837" s="228" t="s">
        <v>1074</v>
      </c>
      <c r="D837" s="228" t="s">
        <v>202</v>
      </c>
      <c r="E837" s="229"/>
      <c r="F837" s="229" t="s">
        <v>139</v>
      </c>
      <c r="G837" s="229" t="s">
        <v>82</v>
      </c>
      <c r="H837" s="229"/>
      <c r="I837" s="229">
        <v>0</v>
      </c>
      <c r="J837" s="229">
        <v>-1</v>
      </c>
      <c r="K837" s="230">
        <v>1</v>
      </c>
      <c r="L837" s="229" t="s">
        <v>1865</v>
      </c>
      <c r="M837" s="229">
        <v>7.8100000000000001E-3</v>
      </c>
      <c r="N837" s="229" t="s">
        <v>260</v>
      </c>
      <c r="O837" s="229" t="s">
        <v>261</v>
      </c>
      <c r="P837" s="231"/>
    </row>
    <row r="838" spans="1:16" x14ac:dyDescent="0.25">
      <c r="A838" s="227" t="s">
        <v>2640</v>
      </c>
      <c r="B838" s="228" t="s">
        <v>2641</v>
      </c>
      <c r="C838" s="228" t="s">
        <v>1074</v>
      </c>
      <c r="D838" s="228" t="s">
        <v>202</v>
      </c>
      <c r="E838" s="229"/>
      <c r="F838" s="229" t="s">
        <v>139</v>
      </c>
      <c r="G838" s="229" t="s">
        <v>82</v>
      </c>
      <c r="H838" s="229"/>
      <c r="I838" s="229">
        <v>0</v>
      </c>
      <c r="J838" s="229">
        <v>-15</v>
      </c>
      <c r="K838" s="230">
        <v>15</v>
      </c>
      <c r="L838" s="229" t="s">
        <v>1865</v>
      </c>
      <c r="M838" s="229">
        <v>7.8100000000000001E-3</v>
      </c>
      <c r="N838" s="229" t="s">
        <v>265</v>
      </c>
      <c r="O838" s="229" t="s">
        <v>261</v>
      </c>
      <c r="P838" s="231"/>
    </row>
    <row r="839" spans="1:16" x14ac:dyDescent="0.25">
      <c r="A839" s="227" t="s">
        <v>2642</v>
      </c>
      <c r="B839" s="228" t="s">
        <v>1871</v>
      </c>
      <c r="C839" s="228" t="s">
        <v>1074</v>
      </c>
      <c r="D839" s="228" t="s">
        <v>202</v>
      </c>
      <c r="E839" s="229"/>
      <c r="F839" s="229" t="s">
        <v>139</v>
      </c>
      <c r="G839" s="229" t="s">
        <v>82</v>
      </c>
      <c r="H839" s="229"/>
      <c r="I839" s="229">
        <v>0</v>
      </c>
      <c r="J839" s="229">
        <v>-1</v>
      </c>
      <c r="K839" s="230">
        <v>1</v>
      </c>
      <c r="L839" s="229" t="s">
        <v>1865</v>
      </c>
      <c r="M839" s="229">
        <v>7.8100000000000001E-3</v>
      </c>
      <c r="N839" s="229" t="s">
        <v>265</v>
      </c>
      <c r="O839" s="229" t="s">
        <v>261</v>
      </c>
      <c r="P839" s="231"/>
    </row>
    <row r="840" spans="1:16" x14ac:dyDescent="0.25">
      <c r="A840" s="227" t="s">
        <v>2643</v>
      </c>
      <c r="B840" s="228" t="s">
        <v>1871</v>
      </c>
      <c r="C840" s="228" t="s">
        <v>1074</v>
      </c>
      <c r="D840" s="228" t="s">
        <v>202</v>
      </c>
      <c r="E840" s="229"/>
      <c r="F840" s="229" t="s">
        <v>139</v>
      </c>
      <c r="G840" s="229" t="s">
        <v>82</v>
      </c>
      <c r="H840" s="229"/>
      <c r="I840" s="229">
        <v>0</v>
      </c>
      <c r="J840" s="229">
        <v>-255</v>
      </c>
      <c r="K840" s="230">
        <v>255</v>
      </c>
      <c r="L840" s="229">
        <v>7.8125E-3</v>
      </c>
      <c r="M840" s="229">
        <v>7.8100000000000001E-3</v>
      </c>
      <c r="N840" s="229" t="s">
        <v>265</v>
      </c>
      <c r="O840" s="229" t="s">
        <v>729</v>
      </c>
      <c r="P840" s="231"/>
    </row>
    <row r="841" spans="1:16" x14ac:dyDescent="0.25">
      <c r="A841" s="227" t="s">
        <v>2644</v>
      </c>
      <c r="B841" s="228" t="s">
        <v>2645</v>
      </c>
      <c r="C841" s="228" t="s">
        <v>1074</v>
      </c>
      <c r="D841" s="228" t="s">
        <v>202</v>
      </c>
      <c r="E841" s="229"/>
      <c r="F841" s="229" t="s">
        <v>141</v>
      </c>
      <c r="G841" s="229" t="s">
        <v>82</v>
      </c>
      <c r="H841" s="229"/>
      <c r="I841" s="229">
        <v>0</v>
      </c>
      <c r="J841" s="229">
        <v>-15</v>
      </c>
      <c r="K841" s="230">
        <v>15</v>
      </c>
      <c r="L841" s="229" t="s">
        <v>1865</v>
      </c>
      <c r="M841" s="229">
        <v>7.8100000000000001E-3</v>
      </c>
      <c r="N841" s="229" t="s">
        <v>265</v>
      </c>
      <c r="O841" s="229" t="s">
        <v>261</v>
      </c>
      <c r="P841" s="231"/>
    </row>
    <row r="842" spans="1:16" x14ac:dyDescent="0.25">
      <c r="A842" s="227" t="s">
        <v>2646</v>
      </c>
      <c r="B842" s="228" t="s">
        <v>2647</v>
      </c>
      <c r="C842" s="228" t="s">
        <v>1074</v>
      </c>
      <c r="D842" s="228" t="s">
        <v>202</v>
      </c>
      <c r="E842" s="229"/>
      <c r="F842" s="229" t="s">
        <v>141</v>
      </c>
      <c r="G842" s="229" t="s">
        <v>82</v>
      </c>
      <c r="H842" s="229"/>
      <c r="I842" s="229">
        <v>0</v>
      </c>
      <c r="J842" s="229">
        <v>-10</v>
      </c>
      <c r="K842" s="230">
        <v>10</v>
      </c>
      <c r="L842" s="229" t="s">
        <v>1865</v>
      </c>
      <c r="M842" s="229">
        <v>7.8100000000000001E-3</v>
      </c>
      <c r="N842" s="229" t="s">
        <v>265</v>
      </c>
      <c r="O842" s="229" t="s">
        <v>261</v>
      </c>
      <c r="P842" s="231"/>
    </row>
    <row r="843" spans="1:16" x14ac:dyDescent="0.25">
      <c r="A843" s="227" t="s">
        <v>2648</v>
      </c>
      <c r="B843" s="228" t="s">
        <v>2649</v>
      </c>
      <c r="C843" s="228" t="s">
        <v>1074</v>
      </c>
      <c r="D843" s="228" t="s">
        <v>202</v>
      </c>
      <c r="E843" s="229"/>
      <c r="F843" s="229" t="s">
        <v>141</v>
      </c>
      <c r="G843" s="229" t="s">
        <v>82</v>
      </c>
      <c r="H843" s="229"/>
      <c r="I843" s="229">
        <v>0</v>
      </c>
      <c r="J843" s="229">
        <v>-10</v>
      </c>
      <c r="K843" s="230">
        <v>10</v>
      </c>
      <c r="L843" s="229" t="s">
        <v>1865</v>
      </c>
      <c r="M843" s="229">
        <v>7.8100000000000001E-3</v>
      </c>
      <c r="N843" s="229" t="s">
        <v>265</v>
      </c>
      <c r="O843" s="229" t="s">
        <v>261</v>
      </c>
      <c r="P843" s="231"/>
    </row>
    <row r="844" spans="1:16" x14ac:dyDescent="0.25">
      <c r="A844" s="227" t="s">
        <v>2650</v>
      </c>
      <c r="B844" s="228" t="s">
        <v>2651</v>
      </c>
      <c r="C844" s="228" t="s">
        <v>1074</v>
      </c>
      <c r="D844" s="228" t="s">
        <v>202</v>
      </c>
      <c r="E844" s="229"/>
      <c r="F844" s="229" t="s">
        <v>141</v>
      </c>
      <c r="G844" s="229" t="s">
        <v>82</v>
      </c>
      <c r="H844" s="229"/>
      <c r="I844" s="229">
        <v>0</v>
      </c>
      <c r="J844" s="229">
        <v>-10</v>
      </c>
      <c r="K844" s="230">
        <v>10</v>
      </c>
      <c r="L844" s="229" t="s">
        <v>1865</v>
      </c>
      <c r="M844" s="229">
        <v>7.8100000000000001E-3</v>
      </c>
      <c r="N844" s="229" t="s">
        <v>265</v>
      </c>
      <c r="O844" s="229" t="s">
        <v>261</v>
      </c>
      <c r="P844" s="231"/>
    </row>
    <row r="845" spans="1:16" x14ac:dyDescent="0.25">
      <c r="A845" s="227" t="s">
        <v>2652</v>
      </c>
      <c r="B845" s="228" t="s">
        <v>2653</v>
      </c>
      <c r="C845" s="228" t="s">
        <v>1074</v>
      </c>
      <c r="D845" s="228" t="s">
        <v>202</v>
      </c>
      <c r="E845" s="229"/>
      <c r="F845" s="229" t="s">
        <v>141</v>
      </c>
      <c r="G845" s="229" t="s">
        <v>82</v>
      </c>
      <c r="H845" s="229"/>
      <c r="I845" s="229">
        <v>0</v>
      </c>
      <c r="J845" s="229">
        <v>-10</v>
      </c>
      <c r="K845" s="230">
        <v>10</v>
      </c>
      <c r="L845" s="229" t="s">
        <v>1865</v>
      </c>
      <c r="M845" s="229">
        <v>7.8100000000000001E-3</v>
      </c>
      <c r="N845" s="229" t="s">
        <v>265</v>
      </c>
      <c r="O845" s="229" t="s">
        <v>261</v>
      </c>
      <c r="P845" s="231"/>
    </row>
    <row r="846" spans="1:16" x14ac:dyDescent="0.25">
      <c r="A846" s="227" t="s">
        <v>2654</v>
      </c>
      <c r="B846" s="228" t="s">
        <v>2655</v>
      </c>
      <c r="C846" s="228" t="s">
        <v>1074</v>
      </c>
      <c r="D846" s="228" t="s">
        <v>202</v>
      </c>
      <c r="E846" s="229"/>
      <c r="F846" s="229" t="s">
        <v>141</v>
      </c>
      <c r="G846" s="229" t="s">
        <v>82</v>
      </c>
      <c r="H846" s="229"/>
      <c r="I846" s="229">
        <v>0</v>
      </c>
      <c r="J846" s="229">
        <v>-10</v>
      </c>
      <c r="K846" s="230">
        <v>10</v>
      </c>
      <c r="L846" s="229" t="s">
        <v>1865</v>
      </c>
      <c r="M846" s="229">
        <v>7.8100000000000001E-3</v>
      </c>
      <c r="N846" s="229" t="s">
        <v>265</v>
      </c>
      <c r="O846" s="229" t="s">
        <v>261</v>
      </c>
      <c r="P846" s="231"/>
    </row>
    <row r="847" spans="1:16" x14ac:dyDescent="0.25">
      <c r="A847" s="227" t="s">
        <v>2656</v>
      </c>
      <c r="B847" s="228" t="s">
        <v>2657</v>
      </c>
      <c r="C847" s="228" t="s">
        <v>1074</v>
      </c>
      <c r="D847" s="228" t="s">
        <v>202</v>
      </c>
      <c r="E847" s="229"/>
      <c r="F847" s="229" t="s">
        <v>141</v>
      </c>
      <c r="G847" s="229" t="s">
        <v>82</v>
      </c>
      <c r="H847" s="229"/>
      <c r="I847" s="229">
        <v>0</v>
      </c>
      <c r="J847" s="229">
        <v>-128</v>
      </c>
      <c r="K847" s="230">
        <v>127</v>
      </c>
      <c r="L847" s="229">
        <v>7.8125E-3</v>
      </c>
      <c r="M847" s="229">
        <v>7.8100000000000001E-3</v>
      </c>
      <c r="N847" s="229" t="s">
        <v>265</v>
      </c>
      <c r="O847" s="229" t="s">
        <v>729</v>
      </c>
      <c r="P847" s="231"/>
    </row>
    <row r="848" spans="1:16" x14ac:dyDescent="0.25">
      <c r="A848" s="227" t="s">
        <v>2078</v>
      </c>
      <c r="B848" s="228" t="s">
        <v>2079</v>
      </c>
      <c r="C848" s="228" t="s">
        <v>1177</v>
      </c>
      <c r="D848" s="228" t="s">
        <v>251</v>
      </c>
      <c r="E848" s="229"/>
      <c r="F848" s="229" t="s">
        <v>136</v>
      </c>
      <c r="G848" s="229" t="s">
        <v>82</v>
      </c>
      <c r="H848" s="229"/>
      <c r="I848" s="229">
        <v>1</v>
      </c>
      <c r="J848" s="229">
        <v>0</v>
      </c>
      <c r="K848" s="230">
        <v>1</v>
      </c>
      <c r="L848" s="229" t="s">
        <v>1865</v>
      </c>
      <c r="M848" s="229"/>
      <c r="N848" s="229" t="s">
        <v>260</v>
      </c>
      <c r="O848" s="229" t="s">
        <v>261</v>
      </c>
      <c r="P848" s="231"/>
    </row>
    <row r="849" spans="1:16" x14ac:dyDescent="0.25">
      <c r="A849" s="227" t="s">
        <v>2081</v>
      </c>
      <c r="B849" s="228" t="s">
        <v>2082</v>
      </c>
      <c r="C849" s="228" t="s">
        <v>1177</v>
      </c>
      <c r="D849" s="228" t="s">
        <v>251</v>
      </c>
      <c r="E849" s="229"/>
      <c r="F849" s="229" t="s">
        <v>136</v>
      </c>
      <c r="G849" s="229" t="s">
        <v>82</v>
      </c>
      <c r="H849" s="229"/>
      <c r="I849" s="229">
        <v>8.8000000000000007</v>
      </c>
      <c r="J849" s="229">
        <v>0</v>
      </c>
      <c r="K849" s="230">
        <v>8.8000000000000007</v>
      </c>
      <c r="L849" s="229" t="s">
        <v>1865</v>
      </c>
      <c r="M849" s="229"/>
      <c r="N849" s="229" t="s">
        <v>256</v>
      </c>
      <c r="O849" s="229" t="s">
        <v>261</v>
      </c>
      <c r="P849" s="231"/>
    </row>
    <row r="850" spans="1:16" x14ac:dyDescent="0.25">
      <c r="A850" s="227" t="s">
        <v>2084</v>
      </c>
      <c r="B850" s="228" t="s">
        <v>2085</v>
      </c>
      <c r="C850" s="228" t="s">
        <v>1177</v>
      </c>
      <c r="D850" s="228" t="s">
        <v>251</v>
      </c>
      <c r="E850" s="229"/>
      <c r="F850" s="229" t="s">
        <v>136</v>
      </c>
      <c r="G850" s="229" t="s">
        <v>82</v>
      </c>
      <c r="H850" s="229"/>
      <c r="I850" s="229">
        <v>8.8000000000000007</v>
      </c>
      <c r="J850" s="229">
        <v>0</v>
      </c>
      <c r="K850" s="230">
        <v>8.8000000000000007</v>
      </c>
      <c r="L850" s="229" t="s">
        <v>1865</v>
      </c>
      <c r="M850" s="229"/>
      <c r="N850" s="229" t="s">
        <v>256</v>
      </c>
      <c r="O850" s="229" t="s">
        <v>261</v>
      </c>
      <c r="P850" s="231"/>
    </row>
    <row r="851" spans="1:16" x14ac:dyDescent="0.25">
      <c r="A851" s="227" t="s">
        <v>2087</v>
      </c>
      <c r="B851" s="228" t="s">
        <v>2088</v>
      </c>
      <c r="C851" s="228" t="s">
        <v>1177</v>
      </c>
      <c r="D851" s="228" t="s">
        <v>251</v>
      </c>
      <c r="E851" s="229"/>
      <c r="F851" s="229" t="s">
        <v>136</v>
      </c>
      <c r="G851" s="229" t="s">
        <v>82</v>
      </c>
      <c r="H851" s="229"/>
      <c r="I851" s="229">
        <v>8.8000000000000007</v>
      </c>
      <c r="J851" s="229">
        <v>0</v>
      </c>
      <c r="K851" s="230">
        <v>8.8000000000000007</v>
      </c>
      <c r="L851" s="229" t="s">
        <v>1865</v>
      </c>
      <c r="M851" s="229"/>
      <c r="N851" s="229" t="s">
        <v>256</v>
      </c>
      <c r="O851" s="229" t="s">
        <v>261</v>
      </c>
      <c r="P851" s="231"/>
    </row>
    <row r="852" spans="1:16" x14ac:dyDescent="0.25">
      <c r="A852" s="227" t="s">
        <v>2111</v>
      </c>
      <c r="B852" s="228" t="s">
        <v>2112</v>
      </c>
      <c r="C852" s="228" t="s">
        <v>1177</v>
      </c>
      <c r="D852" s="228" t="s">
        <v>251</v>
      </c>
      <c r="E852" s="229"/>
      <c r="F852" s="229" t="s">
        <v>136</v>
      </c>
      <c r="G852" s="229" t="s">
        <v>82</v>
      </c>
      <c r="H852" s="229"/>
      <c r="I852" s="229">
        <v>0</v>
      </c>
      <c r="J852" s="229">
        <v>0</v>
      </c>
      <c r="K852" s="230">
        <v>1</v>
      </c>
      <c r="L852" s="229" t="s">
        <v>1865</v>
      </c>
      <c r="M852" s="229"/>
      <c r="N852" s="229" t="s">
        <v>260</v>
      </c>
      <c r="O852" s="229" t="s">
        <v>261</v>
      </c>
      <c r="P852" s="231"/>
    </row>
    <row r="853" spans="1:16" x14ac:dyDescent="0.25">
      <c r="A853" s="227" t="s">
        <v>2127</v>
      </c>
      <c r="B853" s="228" t="s">
        <v>2128</v>
      </c>
      <c r="C853" s="228" t="s">
        <v>1177</v>
      </c>
      <c r="D853" s="228" t="s">
        <v>251</v>
      </c>
      <c r="E853" s="229"/>
      <c r="F853" s="229" t="s">
        <v>136</v>
      </c>
      <c r="G853" s="229" t="s">
        <v>82</v>
      </c>
      <c r="H853" s="229"/>
      <c r="I853" s="229">
        <v>8.8000000000000007</v>
      </c>
      <c r="J853" s="229">
        <v>0</v>
      </c>
      <c r="K853" s="230">
        <v>8.8000000000000007</v>
      </c>
      <c r="L853" s="229" t="s">
        <v>1865</v>
      </c>
      <c r="M853" s="229"/>
      <c r="N853" s="229" t="s">
        <v>256</v>
      </c>
      <c r="O853" s="229" t="s">
        <v>261</v>
      </c>
      <c r="P853" s="231"/>
    </row>
    <row r="854" spans="1:16" x14ac:dyDescent="0.25">
      <c r="A854" s="227" t="s">
        <v>1875</v>
      </c>
      <c r="B854" s="228" t="s">
        <v>2171</v>
      </c>
      <c r="C854" s="228" t="s">
        <v>1177</v>
      </c>
      <c r="D854" s="228" t="s">
        <v>251</v>
      </c>
      <c r="E854" s="229"/>
      <c r="F854" s="229" t="s">
        <v>136</v>
      </c>
      <c r="G854" s="229" t="s">
        <v>82</v>
      </c>
      <c r="H854" s="229"/>
      <c r="I854" s="229">
        <v>0</v>
      </c>
      <c r="J854" s="229">
        <v>0</v>
      </c>
      <c r="K854" s="230">
        <v>511</v>
      </c>
      <c r="L854" s="229" t="s">
        <v>1865</v>
      </c>
      <c r="M854" s="229">
        <v>6.25E-2</v>
      </c>
      <c r="N854" s="229" t="s">
        <v>311</v>
      </c>
      <c r="O854" s="229" t="s">
        <v>261</v>
      </c>
      <c r="P854" s="231"/>
    </row>
    <row r="855" spans="1:16" x14ac:dyDescent="0.25">
      <c r="A855" s="227" t="s">
        <v>2658</v>
      </c>
      <c r="B855" s="228" t="s">
        <v>2659</v>
      </c>
      <c r="C855" s="228" t="s">
        <v>1177</v>
      </c>
      <c r="D855" s="228" t="s">
        <v>251</v>
      </c>
      <c r="E855" s="229"/>
      <c r="F855" s="229" t="s">
        <v>138</v>
      </c>
      <c r="G855" s="229" t="s">
        <v>82</v>
      </c>
      <c r="H855" s="229"/>
      <c r="I855" s="229">
        <v>1</v>
      </c>
      <c r="J855" s="229">
        <v>0</v>
      </c>
      <c r="K855" s="230">
        <v>1</v>
      </c>
      <c r="L855" s="229" t="s">
        <v>1865</v>
      </c>
      <c r="M855" s="229">
        <v>3.0517578125E-5</v>
      </c>
      <c r="N855" s="229" t="s">
        <v>260</v>
      </c>
      <c r="O855" s="229" t="s">
        <v>261</v>
      </c>
      <c r="P855" s="231"/>
    </row>
    <row r="856" spans="1:16" x14ac:dyDescent="0.25">
      <c r="A856" s="227" t="s">
        <v>2660</v>
      </c>
      <c r="B856" s="228" t="s">
        <v>2661</v>
      </c>
      <c r="C856" s="228" t="s">
        <v>1177</v>
      </c>
      <c r="D856" s="228" t="s">
        <v>251</v>
      </c>
      <c r="E856" s="229"/>
      <c r="F856" s="229" t="s">
        <v>138</v>
      </c>
      <c r="G856" s="229" t="s">
        <v>82</v>
      </c>
      <c r="H856" s="229"/>
      <c r="I856" s="229">
        <v>8.8000000000000007</v>
      </c>
      <c r="J856" s="229">
        <v>0</v>
      </c>
      <c r="K856" s="230">
        <v>8.8000000000000007</v>
      </c>
      <c r="L856" s="229" t="s">
        <v>1865</v>
      </c>
      <c r="M856" s="229">
        <v>4.8828125E-4</v>
      </c>
      <c r="N856" s="229" t="s">
        <v>256</v>
      </c>
      <c r="O856" s="229" t="s">
        <v>261</v>
      </c>
      <c r="P856" s="231"/>
    </row>
    <row r="857" spans="1:16" x14ac:dyDescent="0.25">
      <c r="A857" s="227" t="s">
        <v>2662</v>
      </c>
      <c r="B857" s="228" t="s">
        <v>2663</v>
      </c>
      <c r="C857" s="228" t="s">
        <v>1177</v>
      </c>
      <c r="D857" s="228" t="s">
        <v>251</v>
      </c>
      <c r="E857" s="229"/>
      <c r="F857" s="229" t="s">
        <v>138</v>
      </c>
      <c r="G857" s="229" t="s">
        <v>82</v>
      </c>
      <c r="H857" s="229"/>
      <c r="I857" s="229">
        <v>0</v>
      </c>
      <c r="J857" s="229">
        <v>0</v>
      </c>
      <c r="K857" s="230">
        <v>1</v>
      </c>
      <c r="L857" s="229" t="s">
        <v>1865</v>
      </c>
      <c r="M857" s="229">
        <v>3.90625E-3</v>
      </c>
      <c r="N857" s="229" t="s">
        <v>260</v>
      </c>
      <c r="O857" s="229" t="s">
        <v>261</v>
      </c>
      <c r="P857" s="231"/>
    </row>
    <row r="858" spans="1:16" x14ac:dyDescent="0.25">
      <c r="A858" s="227" t="s">
        <v>2664</v>
      </c>
      <c r="B858" s="228" t="s">
        <v>2665</v>
      </c>
      <c r="C858" s="228" t="s">
        <v>1177</v>
      </c>
      <c r="D858" s="228" t="s">
        <v>251</v>
      </c>
      <c r="E858" s="229"/>
      <c r="F858" s="229" t="s">
        <v>138</v>
      </c>
      <c r="G858" s="229" t="s">
        <v>82</v>
      </c>
      <c r="H858" s="229"/>
      <c r="I858" s="229">
        <v>8.8000000000000007</v>
      </c>
      <c r="J858" s="229">
        <v>0</v>
      </c>
      <c r="K858" s="230">
        <v>8.8000000000000007</v>
      </c>
      <c r="L858" s="229" t="s">
        <v>1865</v>
      </c>
      <c r="M858" s="229">
        <v>4.8828125E-4</v>
      </c>
      <c r="N858" s="229" t="s">
        <v>256</v>
      </c>
      <c r="O858" s="229" t="s">
        <v>261</v>
      </c>
      <c r="P858" s="231"/>
    </row>
    <row r="859" spans="1:16" x14ac:dyDescent="0.25">
      <c r="A859" s="227" t="s">
        <v>2666</v>
      </c>
      <c r="B859" s="228" t="s">
        <v>2667</v>
      </c>
      <c r="C859" s="228" t="s">
        <v>1177</v>
      </c>
      <c r="D859" s="228" t="s">
        <v>251</v>
      </c>
      <c r="E859" s="229"/>
      <c r="F859" s="229" t="s">
        <v>138</v>
      </c>
      <c r="G859" s="229" t="s">
        <v>82</v>
      </c>
      <c r="H859" s="229"/>
      <c r="I859" s="229">
        <v>8.8000000000000007</v>
      </c>
      <c r="J859" s="229">
        <v>0</v>
      </c>
      <c r="K859" s="230">
        <v>8.8000000000000007</v>
      </c>
      <c r="L859" s="229" t="s">
        <v>1865</v>
      </c>
      <c r="M859" s="229">
        <v>4.8828125E-4</v>
      </c>
      <c r="N859" s="229" t="s">
        <v>256</v>
      </c>
      <c r="O859" s="229" t="s">
        <v>261</v>
      </c>
      <c r="P859" s="231"/>
    </row>
    <row r="860" spans="1:16" x14ac:dyDescent="0.25">
      <c r="A860" s="227" t="s">
        <v>2668</v>
      </c>
      <c r="B860" s="228" t="s">
        <v>2669</v>
      </c>
      <c r="C860" s="228" t="s">
        <v>1177</v>
      </c>
      <c r="D860" s="228" t="s">
        <v>251</v>
      </c>
      <c r="E860" s="229"/>
      <c r="F860" s="229" t="s">
        <v>138</v>
      </c>
      <c r="G860" s="229" t="s">
        <v>82</v>
      </c>
      <c r="H860" s="229"/>
      <c r="I860" s="229">
        <v>8.8000000000000007</v>
      </c>
      <c r="J860" s="229">
        <v>0</v>
      </c>
      <c r="K860" s="230">
        <v>8.8000000000000007</v>
      </c>
      <c r="L860" s="229" t="s">
        <v>1865</v>
      </c>
      <c r="M860" s="229">
        <v>4.8828125E-4</v>
      </c>
      <c r="N860" s="229" t="s">
        <v>256</v>
      </c>
      <c r="O860" s="229" t="s">
        <v>261</v>
      </c>
      <c r="P860" s="231"/>
    </row>
    <row r="861" spans="1:16" x14ac:dyDescent="0.25">
      <c r="A861" s="227" t="s">
        <v>2670</v>
      </c>
      <c r="B861" s="228"/>
      <c r="C861" s="228" t="s">
        <v>1177</v>
      </c>
      <c r="D861" s="228" t="s">
        <v>251</v>
      </c>
      <c r="E861" s="229"/>
      <c r="F861" s="229" t="s">
        <v>139</v>
      </c>
      <c r="G861" s="229" t="s">
        <v>82</v>
      </c>
      <c r="H861" s="229"/>
      <c r="I861" s="229">
        <v>0</v>
      </c>
      <c r="J861" s="229">
        <v>0</v>
      </c>
      <c r="K861" s="230">
        <v>1</v>
      </c>
      <c r="L861" s="229" t="s">
        <v>1865</v>
      </c>
      <c r="M861" s="229">
        <v>3.0517578125E-5</v>
      </c>
      <c r="N861" s="229" t="s">
        <v>260</v>
      </c>
      <c r="O861" s="229" t="s">
        <v>261</v>
      </c>
      <c r="P861" s="231"/>
    </row>
    <row r="862" spans="1:16" x14ac:dyDescent="0.25">
      <c r="A862" s="227" t="s">
        <v>2671</v>
      </c>
      <c r="B862" s="228"/>
      <c r="C862" s="228" t="s">
        <v>1177</v>
      </c>
      <c r="D862" s="228" t="s">
        <v>251</v>
      </c>
      <c r="E862" s="229"/>
      <c r="F862" s="229" t="s">
        <v>139</v>
      </c>
      <c r="G862" s="229" t="s">
        <v>82</v>
      </c>
      <c r="H862" s="229"/>
      <c r="I862" s="229">
        <v>0</v>
      </c>
      <c r="J862" s="229">
        <v>0</v>
      </c>
      <c r="K862" s="230">
        <v>1</v>
      </c>
      <c r="L862" s="229" t="s">
        <v>1865</v>
      </c>
      <c r="M862" s="229">
        <v>3.90625E-3</v>
      </c>
      <c r="N862" s="229" t="s">
        <v>260</v>
      </c>
      <c r="O862" s="229" t="s">
        <v>261</v>
      </c>
      <c r="P862" s="231"/>
    </row>
    <row r="863" spans="1:16" x14ac:dyDescent="0.25">
      <c r="A863" s="227" t="s">
        <v>2672</v>
      </c>
      <c r="B863" s="228"/>
      <c r="C863" s="228" t="s">
        <v>1177</v>
      </c>
      <c r="D863" s="228" t="s">
        <v>251</v>
      </c>
      <c r="E863" s="229"/>
      <c r="F863" s="229" t="s">
        <v>139</v>
      </c>
      <c r="G863" s="229" t="s">
        <v>82</v>
      </c>
      <c r="H863" s="229"/>
      <c r="I863" s="229">
        <v>0</v>
      </c>
      <c r="J863" s="229">
        <v>0</v>
      </c>
      <c r="K863" s="230">
        <v>8.8000000000000007</v>
      </c>
      <c r="L863" s="229" t="s">
        <v>1865</v>
      </c>
      <c r="M863" s="229">
        <v>4.8828125E-4</v>
      </c>
      <c r="N863" s="229" t="s">
        <v>256</v>
      </c>
      <c r="O863" s="229" t="s">
        <v>261</v>
      </c>
      <c r="P863" s="231"/>
    </row>
    <row r="864" spans="1:16" x14ac:dyDescent="0.25">
      <c r="A864" s="227" t="s">
        <v>2673</v>
      </c>
      <c r="B864" s="228"/>
      <c r="C864" s="228" t="s">
        <v>1177</v>
      </c>
      <c r="D864" s="228" t="s">
        <v>251</v>
      </c>
      <c r="E864" s="229"/>
      <c r="F864" s="229" t="s">
        <v>139</v>
      </c>
      <c r="G864" s="229" t="s">
        <v>82</v>
      </c>
      <c r="H864" s="229"/>
      <c r="I864" s="229">
        <v>0</v>
      </c>
      <c r="J864" s="229">
        <v>0</v>
      </c>
      <c r="K864" s="230">
        <v>8.8000000000000007</v>
      </c>
      <c r="L864" s="229" t="s">
        <v>1865</v>
      </c>
      <c r="M864" s="229">
        <v>4.8828125E-4</v>
      </c>
      <c r="N864" s="229" t="s">
        <v>256</v>
      </c>
      <c r="O864" s="229" t="s">
        <v>261</v>
      </c>
      <c r="P864" s="231"/>
    </row>
    <row r="865" spans="1:16" x14ac:dyDescent="0.25">
      <c r="A865" s="227" t="s">
        <v>2674</v>
      </c>
      <c r="B865" s="228"/>
      <c r="C865" s="228" t="s">
        <v>1177</v>
      </c>
      <c r="D865" s="228" t="s">
        <v>251</v>
      </c>
      <c r="E865" s="229"/>
      <c r="F865" s="229" t="s">
        <v>139</v>
      </c>
      <c r="G865" s="229" t="s">
        <v>82</v>
      </c>
      <c r="H865" s="229"/>
      <c r="I865" s="229">
        <v>0</v>
      </c>
      <c r="J865" s="229">
        <v>0</v>
      </c>
      <c r="K865" s="230">
        <v>8.8000000000000007</v>
      </c>
      <c r="L865" s="229" t="s">
        <v>1865</v>
      </c>
      <c r="M865" s="229">
        <v>4.8828125E-4</v>
      </c>
      <c r="N865" s="229" t="s">
        <v>256</v>
      </c>
      <c r="O865" s="229" t="s">
        <v>261</v>
      </c>
      <c r="P865" s="231"/>
    </row>
    <row r="866" spans="1:16" x14ac:dyDescent="0.25">
      <c r="A866" s="227" t="s">
        <v>2675</v>
      </c>
      <c r="B866" s="228"/>
      <c r="C866" s="228" t="s">
        <v>1177</v>
      </c>
      <c r="D866" s="228" t="s">
        <v>251</v>
      </c>
      <c r="E866" s="229"/>
      <c r="F866" s="229" t="s">
        <v>139</v>
      </c>
      <c r="G866" s="229" t="s">
        <v>82</v>
      </c>
      <c r="H866" s="229"/>
      <c r="I866" s="229">
        <v>0</v>
      </c>
      <c r="J866" s="229">
        <v>0</v>
      </c>
      <c r="K866" s="230">
        <v>8.8000000000000007</v>
      </c>
      <c r="L866" s="229" t="s">
        <v>1865</v>
      </c>
      <c r="M866" s="229">
        <v>4.8828125E-4</v>
      </c>
      <c r="N866" s="229" t="s">
        <v>256</v>
      </c>
      <c r="O866" s="229" t="s">
        <v>261</v>
      </c>
      <c r="P866" s="231"/>
    </row>
    <row r="867" spans="1:16" x14ac:dyDescent="0.25">
      <c r="A867" s="227" t="s">
        <v>4256</v>
      </c>
      <c r="B867" s="228" t="s">
        <v>4257</v>
      </c>
      <c r="C867" s="228" t="s">
        <v>1177</v>
      </c>
      <c r="D867" s="228" t="s">
        <v>251</v>
      </c>
      <c r="E867" s="229"/>
      <c r="F867" s="229" t="s">
        <v>139</v>
      </c>
      <c r="G867" s="229" t="s">
        <v>82</v>
      </c>
      <c r="H867" s="229"/>
      <c r="I867" s="229">
        <v>0</v>
      </c>
      <c r="J867" s="229">
        <v>0</v>
      </c>
      <c r="K867" s="230">
        <v>1</v>
      </c>
      <c r="L867" s="229" t="s">
        <v>1865</v>
      </c>
      <c r="M867" s="229">
        <v>3.0517578125E-5</v>
      </c>
      <c r="N867" s="229" t="s">
        <v>260</v>
      </c>
      <c r="O867" s="229" t="s">
        <v>261</v>
      </c>
      <c r="P867" s="231"/>
    </row>
    <row r="868" spans="1:16" x14ac:dyDescent="0.25">
      <c r="A868" s="227" t="s">
        <v>4258</v>
      </c>
      <c r="B868" s="228" t="s">
        <v>4259</v>
      </c>
      <c r="C868" s="228" t="s">
        <v>1177</v>
      </c>
      <c r="D868" s="228" t="s">
        <v>251</v>
      </c>
      <c r="E868" s="229"/>
      <c r="F868" s="229" t="s">
        <v>136</v>
      </c>
      <c r="G868" s="229" t="s">
        <v>82</v>
      </c>
      <c r="H868" s="229"/>
      <c r="I868" s="229">
        <v>1</v>
      </c>
      <c r="J868" s="229">
        <v>0</v>
      </c>
      <c r="K868" s="230">
        <v>1</v>
      </c>
      <c r="L868" s="229" t="s">
        <v>1865</v>
      </c>
      <c r="M868" s="229"/>
      <c r="N868" s="229" t="s">
        <v>260</v>
      </c>
      <c r="O868" s="229" t="s">
        <v>261</v>
      </c>
      <c r="P868" s="231"/>
    </row>
    <row r="869" spans="1:16" ht="66" x14ac:dyDescent="0.25">
      <c r="A869" s="227" t="s">
        <v>1870</v>
      </c>
      <c r="B869" s="228" t="s">
        <v>2263</v>
      </c>
      <c r="C869" s="228" t="s">
        <v>1195</v>
      </c>
      <c r="D869" s="228" t="s">
        <v>201</v>
      </c>
      <c r="E869" s="229" t="s">
        <v>2676</v>
      </c>
      <c r="F869" s="229" t="s">
        <v>136</v>
      </c>
      <c r="G869" s="229"/>
      <c r="H869" s="229"/>
      <c r="I869" s="229" t="b">
        <v>0</v>
      </c>
      <c r="J869" s="229" t="b">
        <v>0</v>
      </c>
      <c r="K869" s="230" t="b">
        <v>1</v>
      </c>
      <c r="L869" s="229" t="s">
        <v>1871</v>
      </c>
      <c r="M869" s="229"/>
      <c r="N869" s="229" t="s">
        <v>424</v>
      </c>
      <c r="O869" s="229" t="s">
        <v>501</v>
      </c>
      <c r="P869" s="231"/>
    </row>
    <row r="870" spans="1:16" ht="52.8" x14ac:dyDescent="0.25">
      <c r="A870" s="227" t="s">
        <v>1887</v>
      </c>
      <c r="B870" s="228" t="s">
        <v>1880</v>
      </c>
      <c r="C870" s="228" t="s">
        <v>1195</v>
      </c>
      <c r="D870" s="228" t="s">
        <v>201</v>
      </c>
      <c r="E870" s="229" t="s">
        <v>2677</v>
      </c>
      <c r="F870" s="229" t="s">
        <v>136</v>
      </c>
      <c r="G870" s="229"/>
      <c r="H870" s="229"/>
      <c r="I870" s="229">
        <v>0</v>
      </c>
      <c r="J870" s="229">
        <v>-900</v>
      </c>
      <c r="K870" s="230">
        <v>900</v>
      </c>
      <c r="L870" s="229" t="s">
        <v>1865</v>
      </c>
      <c r="M870" s="229"/>
      <c r="N870" s="229" t="s">
        <v>268</v>
      </c>
      <c r="O870" s="229" t="s">
        <v>261</v>
      </c>
      <c r="P870" s="231"/>
    </row>
    <row r="871" spans="1:16" ht="39.6" x14ac:dyDescent="0.25">
      <c r="A871" s="227" t="s">
        <v>1889</v>
      </c>
      <c r="B871" s="228" t="s">
        <v>1878</v>
      </c>
      <c r="C871" s="228" t="s">
        <v>1195</v>
      </c>
      <c r="D871" s="228" t="s">
        <v>201</v>
      </c>
      <c r="E871" s="229" t="s">
        <v>2678</v>
      </c>
      <c r="F871" s="229" t="s">
        <v>136</v>
      </c>
      <c r="G871" s="229"/>
      <c r="H871" s="229"/>
      <c r="I871" s="229">
        <v>0</v>
      </c>
      <c r="J871" s="229">
        <v>0</v>
      </c>
      <c r="K871" s="230">
        <v>1</v>
      </c>
      <c r="L871" s="229" t="s">
        <v>1865</v>
      </c>
      <c r="M871" s="229"/>
      <c r="N871" s="229" t="s">
        <v>260</v>
      </c>
      <c r="O871" s="229" t="s">
        <v>261</v>
      </c>
      <c r="P871" s="231"/>
    </row>
    <row r="872" spans="1:16" ht="26.4" x14ac:dyDescent="0.25">
      <c r="A872" s="227" t="s">
        <v>1884</v>
      </c>
      <c r="B872" s="228" t="s">
        <v>1885</v>
      </c>
      <c r="C872" s="228" t="s">
        <v>1195</v>
      </c>
      <c r="D872" s="228" t="s">
        <v>201</v>
      </c>
      <c r="E872" s="229" t="s">
        <v>2679</v>
      </c>
      <c r="F872" s="229" t="s">
        <v>136</v>
      </c>
      <c r="G872" s="229"/>
      <c r="H872" s="229"/>
      <c r="I872" s="229">
        <v>0</v>
      </c>
      <c r="J872" s="229">
        <v>-8.8000000000000007</v>
      </c>
      <c r="K872" s="230">
        <v>8.8000000000000007</v>
      </c>
      <c r="L872" s="229" t="s">
        <v>1865</v>
      </c>
      <c r="M872" s="229"/>
      <c r="N872" s="229" t="s">
        <v>265</v>
      </c>
      <c r="O872" s="229" t="s">
        <v>261</v>
      </c>
      <c r="P872" s="231"/>
    </row>
    <row r="873" spans="1:16" ht="39.6" x14ac:dyDescent="0.25">
      <c r="A873" s="227" t="s">
        <v>2360</v>
      </c>
      <c r="B873" s="228" t="s">
        <v>2361</v>
      </c>
      <c r="C873" s="228" t="s">
        <v>1195</v>
      </c>
      <c r="D873" s="228" t="s">
        <v>201</v>
      </c>
      <c r="E873" s="229" t="s">
        <v>2680</v>
      </c>
      <c r="F873" s="229" t="s">
        <v>136</v>
      </c>
      <c r="G873" s="229"/>
      <c r="H873" s="229"/>
      <c r="I873" s="229">
        <v>0</v>
      </c>
      <c r="J873" s="229">
        <v>-1100</v>
      </c>
      <c r="K873" s="230">
        <v>1100</v>
      </c>
      <c r="L873" s="229" t="s">
        <v>1865</v>
      </c>
      <c r="M873" s="229"/>
      <c r="N873" s="229" t="s">
        <v>263</v>
      </c>
      <c r="O873" s="229" t="s">
        <v>261</v>
      </c>
      <c r="P873" s="231"/>
    </row>
    <row r="874" spans="1:16" ht="66" x14ac:dyDescent="0.25">
      <c r="A874" s="227" t="s">
        <v>2681</v>
      </c>
      <c r="B874" s="228" t="s">
        <v>2457</v>
      </c>
      <c r="C874" s="228" t="s">
        <v>1195</v>
      </c>
      <c r="D874" s="228" t="s">
        <v>201</v>
      </c>
      <c r="E874" s="229" t="s">
        <v>2682</v>
      </c>
      <c r="F874" s="229" t="s">
        <v>138</v>
      </c>
      <c r="G874" s="229"/>
      <c r="H874" s="229"/>
      <c r="I874" s="229" t="b">
        <v>0</v>
      </c>
      <c r="J874" s="229" t="b">
        <v>0</v>
      </c>
      <c r="K874" s="230" t="b">
        <v>1</v>
      </c>
      <c r="L874" s="229" t="s">
        <v>1871</v>
      </c>
      <c r="M874" s="229" t="s">
        <v>1871</v>
      </c>
      <c r="N874" s="229" t="s">
        <v>424</v>
      </c>
      <c r="O874" s="229" t="s">
        <v>501</v>
      </c>
      <c r="P874" s="231"/>
    </row>
    <row r="875" spans="1:16" ht="79.2" x14ac:dyDescent="0.25">
      <c r="A875" s="227" t="s">
        <v>2683</v>
      </c>
      <c r="B875" s="228" t="s">
        <v>2459</v>
      </c>
      <c r="C875" s="228" t="s">
        <v>1195</v>
      </c>
      <c r="D875" s="228" t="s">
        <v>201</v>
      </c>
      <c r="E875" s="229" t="s">
        <v>2684</v>
      </c>
      <c r="F875" s="229" t="s">
        <v>138</v>
      </c>
      <c r="G875" s="229"/>
      <c r="H875" s="229"/>
      <c r="I875" s="229" t="b">
        <v>0</v>
      </c>
      <c r="J875" s="229" t="b">
        <v>0</v>
      </c>
      <c r="K875" s="230" t="b">
        <v>1</v>
      </c>
      <c r="L875" s="229" t="s">
        <v>1871</v>
      </c>
      <c r="M875" s="229" t="s">
        <v>1871</v>
      </c>
      <c r="N875" s="229" t="s">
        <v>424</v>
      </c>
      <c r="O875" s="229" t="s">
        <v>501</v>
      </c>
      <c r="P875" s="231"/>
    </row>
    <row r="876" spans="1:16" ht="92.4" x14ac:dyDescent="0.25">
      <c r="A876" s="227" t="s">
        <v>2685</v>
      </c>
      <c r="B876" s="228" t="s">
        <v>2453</v>
      </c>
      <c r="C876" s="228" t="s">
        <v>1195</v>
      </c>
      <c r="D876" s="228" t="s">
        <v>201</v>
      </c>
      <c r="E876" s="229" t="s">
        <v>2686</v>
      </c>
      <c r="F876" s="229" t="s">
        <v>138</v>
      </c>
      <c r="G876" s="229"/>
      <c r="H876" s="229"/>
      <c r="I876" s="229">
        <v>0</v>
      </c>
      <c r="J876" s="229">
        <v>360</v>
      </c>
      <c r="K876" s="230">
        <v>1440.11</v>
      </c>
      <c r="L876" s="229" t="s">
        <v>1865</v>
      </c>
      <c r="M876" s="229">
        <v>6.25E-2</v>
      </c>
      <c r="N876" s="229" t="s">
        <v>268</v>
      </c>
      <c r="O876" s="229" t="s">
        <v>261</v>
      </c>
      <c r="P876" s="231"/>
    </row>
    <row r="877" spans="1:16" ht="92.4" x14ac:dyDescent="0.25">
      <c r="A877" s="227" t="s">
        <v>2687</v>
      </c>
      <c r="B877" s="228" t="s">
        <v>2455</v>
      </c>
      <c r="C877" s="228" t="s">
        <v>1195</v>
      </c>
      <c r="D877" s="228" t="s">
        <v>201</v>
      </c>
      <c r="E877" s="229" t="s">
        <v>2688</v>
      </c>
      <c r="F877" s="229" t="s">
        <v>138</v>
      </c>
      <c r="G877" s="229"/>
      <c r="H877" s="229"/>
      <c r="I877" s="229">
        <v>0</v>
      </c>
      <c r="J877" s="229">
        <v>-1440.11</v>
      </c>
      <c r="K877" s="230">
        <v>-360</v>
      </c>
      <c r="L877" s="229" t="s">
        <v>1865</v>
      </c>
      <c r="M877" s="229">
        <v>6.25E-2</v>
      </c>
      <c r="N877" s="229" t="s">
        <v>268</v>
      </c>
      <c r="O877" s="229" t="s">
        <v>261</v>
      </c>
      <c r="P877" s="231"/>
    </row>
    <row r="878" spans="1:16" x14ac:dyDescent="0.25">
      <c r="A878" s="227" t="s">
        <v>4841</v>
      </c>
      <c r="B878" s="228"/>
      <c r="C878" s="228" t="s">
        <v>1195</v>
      </c>
      <c r="D878" s="228" t="s">
        <v>201</v>
      </c>
      <c r="E878" s="229"/>
      <c r="F878" s="229" t="s">
        <v>139</v>
      </c>
      <c r="G878" s="229"/>
      <c r="H878" s="229"/>
      <c r="I878" s="229">
        <v>0</v>
      </c>
      <c r="J878" s="229">
        <v>0</v>
      </c>
      <c r="K878" s="230">
        <v>4294967295</v>
      </c>
      <c r="L878" s="229">
        <v>1</v>
      </c>
      <c r="M878" s="229">
        <v>0</v>
      </c>
      <c r="N878" s="229" t="s">
        <v>273</v>
      </c>
      <c r="O878" s="229" t="s">
        <v>321</v>
      </c>
      <c r="P878" s="231"/>
    </row>
    <row r="879" spans="1:16" x14ac:dyDescent="0.25">
      <c r="A879" s="227" t="s">
        <v>4842</v>
      </c>
      <c r="B879" s="228"/>
      <c r="C879" s="228" t="s">
        <v>1195</v>
      </c>
      <c r="D879" s="228" t="s">
        <v>201</v>
      </c>
      <c r="E879" s="229"/>
      <c r="F879" s="229" t="s">
        <v>139</v>
      </c>
      <c r="G879" s="229"/>
      <c r="H879" s="229"/>
      <c r="I879" s="229">
        <v>0</v>
      </c>
      <c r="J879" s="229">
        <v>0</v>
      </c>
      <c r="K879" s="230">
        <v>4294967295</v>
      </c>
      <c r="L879" s="229">
        <v>1</v>
      </c>
      <c r="M879" s="229">
        <v>0</v>
      </c>
      <c r="N879" s="229" t="s">
        <v>273</v>
      </c>
      <c r="O879" s="229" t="s">
        <v>321</v>
      </c>
      <c r="P879" s="231"/>
    </row>
    <row r="880" spans="1:16" x14ac:dyDescent="0.25">
      <c r="A880" s="227" t="s">
        <v>4843</v>
      </c>
      <c r="B880" s="228"/>
      <c r="C880" s="228" t="s">
        <v>1195</v>
      </c>
      <c r="D880" s="228" t="s">
        <v>201</v>
      </c>
      <c r="E880" s="229"/>
      <c r="F880" s="229" t="s">
        <v>139</v>
      </c>
      <c r="G880" s="229"/>
      <c r="H880" s="229"/>
      <c r="I880" s="229">
        <v>0</v>
      </c>
      <c r="J880" s="229">
        <v>0</v>
      </c>
      <c r="K880" s="230">
        <v>4294967295</v>
      </c>
      <c r="L880" s="229">
        <v>1</v>
      </c>
      <c r="M880" s="229">
        <v>0</v>
      </c>
      <c r="N880" s="229" t="s">
        <v>273</v>
      </c>
      <c r="O880" s="229" t="s">
        <v>321</v>
      </c>
      <c r="P880" s="231"/>
    </row>
    <row r="881" spans="1:16" x14ac:dyDescent="0.25">
      <c r="A881" s="227" t="s">
        <v>4844</v>
      </c>
      <c r="B881" s="228"/>
      <c r="C881" s="228" t="s">
        <v>1195</v>
      </c>
      <c r="D881" s="228" t="s">
        <v>201</v>
      </c>
      <c r="E881" s="229"/>
      <c r="F881" s="229" t="s">
        <v>139</v>
      </c>
      <c r="G881" s="229"/>
      <c r="H881" s="229"/>
      <c r="I881" s="229">
        <v>0</v>
      </c>
      <c r="J881" s="229">
        <v>0</v>
      </c>
      <c r="K881" s="230">
        <v>4294967295</v>
      </c>
      <c r="L881" s="229">
        <v>1</v>
      </c>
      <c r="M881" s="229">
        <v>0</v>
      </c>
      <c r="N881" s="229" t="s">
        <v>273</v>
      </c>
      <c r="O881" s="229" t="s">
        <v>321</v>
      </c>
      <c r="P881" s="231"/>
    </row>
    <row r="882" spans="1:16" ht="52.8" x14ac:dyDescent="0.25">
      <c r="A882" s="227" t="s">
        <v>4845</v>
      </c>
      <c r="B882" s="228" t="s">
        <v>2689</v>
      </c>
      <c r="C882" s="228" t="s">
        <v>1195</v>
      </c>
      <c r="D882" s="228" t="s">
        <v>201</v>
      </c>
      <c r="E882" s="229" t="s">
        <v>2690</v>
      </c>
      <c r="F882" s="229" t="s">
        <v>139</v>
      </c>
      <c r="G882" s="229"/>
      <c r="H882" s="229"/>
      <c r="I882" s="229" t="b">
        <v>0</v>
      </c>
      <c r="J882" s="229" t="b">
        <v>0</v>
      </c>
      <c r="K882" s="230" t="b">
        <v>1</v>
      </c>
      <c r="L882" s="229" t="s">
        <v>1871</v>
      </c>
      <c r="M882" s="229" t="s">
        <v>1871</v>
      </c>
      <c r="N882" s="229" t="s">
        <v>424</v>
      </c>
      <c r="O882" s="229" t="s">
        <v>501</v>
      </c>
      <c r="P882" s="231"/>
    </row>
    <row r="883" spans="1:16" x14ac:dyDescent="0.25">
      <c r="A883" s="227" t="s">
        <v>4967</v>
      </c>
      <c r="B883" s="228"/>
      <c r="C883" s="228" t="s">
        <v>1195</v>
      </c>
      <c r="D883" s="228" t="s">
        <v>201</v>
      </c>
      <c r="E883" s="229"/>
      <c r="F883" s="229"/>
      <c r="G883" s="229"/>
      <c r="H883" s="229"/>
      <c r="I883" s="229">
        <v>0</v>
      </c>
      <c r="J883" s="229">
        <v>360</v>
      </c>
      <c r="K883" s="230">
        <v>1440.11</v>
      </c>
      <c r="L883" s="229" t="s">
        <v>1865</v>
      </c>
      <c r="M883" s="229">
        <v>6.25E-2</v>
      </c>
      <c r="N883" s="229" t="s">
        <v>268</v>
      </c>
      <c r="O883" s="229" t="s">
        <v>261</v>
      </c>
      <c r="P883" s="231"/>
    </row>
    <row r="884" spans="1:16" x14ac:dyDescent="0.25">
      <c r="A884" s="227" t="s">
        <v>4968</v>
      </c>
      <c r="B884" s="228"/>
      <c r="C884" s="228" t="s">
        <v>1195</v>
      </c>
      <c r="D884" s="228" t="s">
        <v>201</v>
      </c>
      <c r="E884" s="229"/>
      <c r="F884" s="229"/>
      <c r="G884" s="229"/>
      <c r="H884" s="229"/>
      <c r="I884" s="229">
        <v>0</v>
      </c>
      <c r="J884" s="229">
        <v>-1440.11</v>
      </c>
      <c r="K884" s="230">
        <v>-360</v>
      </c>
      <c r="L884" s="229" t="s">
        <v>1865</v>
      </c>
      <c r="M884" s="229">
        <v>6.25E-2</v>
      </c>
      <c r="N884" s="229" t="s">
        <v>268</v>
      </c>
      <c r="O884" s="229" t="s">
        <v>261</v>
      </c>
      <c r="P884" s="231"/>
    </row>
    <row r="885" spans="1:16" ht="26.4" x14ac:dyDescent="0.25">
      <c r="A885" s="227" t="s">
        <v>2691</v>
      </c>
      <c r="B885" s="228" t="s">
        <v>2692</v>
      </c>
      <c r="C885" s="228" t="s">
        <v>1215</v>
      </c>
      <c r="D885" s="228" t="s">
        <v>1222</v>
      </c>
      <c r="E885" s="229" t="s">
        <v>2693</v>
      </c>
      <c r="F885" s="229" t="s">
        <v>136</v>
      </c>
      <c r="G885" s="229" t="s">
        <v>82</v>
      </c>
      <c r="H885" s="229"/>
      <c r="I885" s="229">
        <v>0</v>
      </c>
      <c r="J885" s="229">
        <v>-8.8000000000000007</v>
      </c>
      <c r="K885" s="230">
        <v>8.8000000000000007</v>
      </c>
      <c r="L885" s="229" t="s">
        <v>1865</v>
      </c>
      <c r="M885" s="229"/>
      <c r="N885" s="229" t="s">
        <v>256</v>
      </c>
      <c r="O885" s="229" t="s">
        <v>261</v>
      </c>
      <c r="P885" s="231"/>
    </row>
    <row r="886" spans="1:16" ht="26.4" x14ac:dyDescent="0.25">
      <c r="A886" s="227" t="s">
        <v>2694</v>
      </c>
      <c r="B886" s="228" t="s">
        <v>2695</v>
      </c>
      <c r="C886" s="228" t="s">
        <v>1215</v>
      </c>
      <c r="D886" s="228" t="s">
        <v>219</v>
      </c>
      <c r="E886" s="229" t="s">
        <v>2696</v>
      </c>
      <c r="F886" s="229" t="s">
        <v>82</v>
      </c>
      <c r="G886" s="229" t="s">
        <v>82</v>
      </c>
      <c r="H886" s="229"/>
      <c r="I886" s="229">
        <v>1</v>
      </c>
      <c r="J886" s="229">
        <v>0.9</v>
      </c>
      <c r="K886" s="230">
        <v>1.1000000000000001</v>
      </c>
      <c r="L886" s="229" t="s">
        <v>1865</v>
      </c>
      <c r="M886" s="229" t="s">
        <v>1883</v>
      </c>
      <c r="N886" s="229" t="s">
        <v>260</v>
      </c>
      <c r="O886" s="229" t="s">
        <v>261</v>
      </c>
      <c r="P886" s="231"/>
    </row>
    <row r="887" spans="1:16" ht="26.4" x14ac:dyDescent="0.25">
      <c r="A887" s="227" t="s">
        <v>2697</v>
      </c>
      <c r="B887" s="228" t="s">
        <v>2698</v>
      </c>
      <c r="C887" s="228" t="s">
        <v>1215</v>
      </c>
      <c r="D887" s="228" t="s">
        <v>219</v>
      </c>
      <c r="E887" s="229" t="s">
        <v>2699</v>
      </c>
      <c r="F887" s="229" t="s">
        <v>138</v>
      </c>
      <c r="G887" s="229" t="s">
        <v>82</v>
      </c>
      <c r="H887" s="229"/>
      <c r="I887" s="229">
        <v>0</v>
      </c>
      <c r="J887" s="229">
        <v>-9.68</v>
      </c>
      <c r="K887" s="230">
        <v>9.68</v>
      </c>
      <c r="L887" s="229" t="s">
        <v>1865</v>
      </c>
      <c r="M887" s="229">
        <v>6.25E-2</v>
      </c>
      <c r="N887" s="229" t="s">
        <v>256</v>
      </c>
      <c r="O887" s="229" t="s">
        <v>261</v>
      </c>
      <c r="P887" s="231"/>
    </row>
    <row r="888" spans="1:16" x14ac:dyDescent="0.25">
      <c r="A888" s="227" t="s">
        <v>2700</v>
      </c>
      <c r="B888" s="228" t="s">
        <v>2701</v>
      </c>
      <c r="C888" s="228" t="s">
        <v>1215</v>
      </c>
      <c r="D888" s="228" t="s">
        <v>1222</v>
      </c>
      <c r="E888" s="229"/>
      <c r="F888" s="229" t="s">
        <v>136</v>
      </c>
      <c r="G888" s="229" t="s">
        <v>82</v>
      </c>
      <c r="H888" s="229"/>
      <c r="I888" s="229">
        <v>0</v>
      </c>
      <c r="J888" s="229">
        <v>2.5000000000000001E-2</v>
      </c>
      <c r="K888" s="230">
        <v>7.4999999999999997E-2</v>
      </c>
      <c r="L888" s="229" t="s">
        <v>1865</v>
      </c>
      <c r="M888" s="229"/>
      <c r="N888" s="229" t="s">
        <v>1486</v>
      </c>
      <c r="O888" s="229" t="s">
        <v>261</v>
      </c>
      <c r="P888" s="231"/>
    </row>
    <row r="889" spans="1:16" x14ac:dyDescent="0.25">
      <c r="A889" s="227" t="s">
        <v>2702</v>
      </c>
      <c r="B889" s="228" t="s">
        <v>2703</v>
      </c>
      <c r="C889" s="228" t="s">
        <v>1215</v>
      </c>
      <c r="D889" s="228" t="s">
        <v>1222</v>
      </c>
      <c r="E889" s="229"/>
      <c r="F889" s="229" t="s">
        <v>136</v>
      </c>
      <c r="G889" s="229" t="s">
        <v>82</v>
      </c>
      <c r="H889" s="229"/>
      <c r="I889" s="229">
        <v>0</v>
      </c>
      <c r="J889" s="229">
        <v>5.0000000000000001E-3</v>
      </c>
      <c r="K889" s="230">
        <v>0.12565000000000001</v>
      </c>
      <c r="L889" s="229" t="s">
        <v>1865</v>
      </c>
      <c r="M889" s="229"/>
      <c r="N889" s="229" t="s">
        <v>1265</v>
      </c>
      <c r="O889" s="229" t="s">
        <v>261</v>
      </c>
      <c r="P889" s="231"/>
    </row>
    <row r="890" spans="1:16" x14ac:dyDescent="0.25">
      <c r="A890" s="227" t="s">
        <v>2691</v>
      </c>
      <c r="B890" s="228" t="s">
        <v>2268</v>
      </c>
      <c r="C890" s="228" t="s">
        <v>1215</v>
      </c>
      <c r="D890" s="228" t="s">
        <v>1222</v>
      </c>
      <c r="E890" s="229"/>
      <c r="F890" s="229" t="s">
        <v>136</v>
      </c>
      <c r="G890" s="229" t="s">
        <v>82</v>
      </c>
      <c r="H890" s="229"/>
      <c r="I890" s="229">
        <v>0</v>
      </c>
      <c r="J890" s="229">
        <v>-8.8000000000000007</v>
      </c>
      <c r="K890" s="230">
        <v>8.8000000000000007</v>
      </c>
      <c r="L890" s="229" t="s">
        <v>1865</v>
      </c>
      <c r="M890" s="229"/>
      <c r="N890" s="229" t="s">
        <v>256</v>
      </c>
      <c r="O890" s="229" t="s">
        <v>261</v>
      </c>
      <c r="P890" s="231"/>
    </row>
    <row r="891" spans="1:16" x14ac:dyDescent="0.25">
      <c r="A891" s="227" t="s">
        <v>2704</v>
      </c>
      <c r="B891" s="228" t="s">
        <v>2705</v>
      </c>
      <c r="C891" s="228" t="s">
        <v>1215</v>
      </c>
      <c r="D891" s="228" t="s">
        <v>1222</v>
      </c>
      <c r="E891" s="229"/>
      <c r="F891" s="229" t="s">
        <v>136</v>
      </c>
      <c r="G891" s="229" t="s">
        <v>82</v>
      </c>
      <c r="H891" s="229"/>
      <c r="I891" s="229">
        <v>0</v>
      </c>
      <c r="J891" s="229">
        <v>3.0000000000000001E-5</v>
      </c>
      <c r="K891" s="230">
        <v>4.0999999999999999E-4</v>
      </c>
      <c r="L891" s="229" t="s">
        <v>1865</v>
      </c>
      <c r="M891" s="229"/>
      <c r="N891" s="229" t="s">
        <v>1270</v>
      </c>
      <c r="O891" s="229" t="s">
        <v>261</v>
      </c>
      <c r="P891" s="231"/>
    </row>
    <row r="892" spans="1:16" x14ac:dyDescent="0.25">
      <c r="A892" s="227" t="s">
        <v>2706</v>
      </c>
      <c r="B892" s="228" t="s">
        <v>2707</v>
      </c>
      <c r="C892" s="228" t="s">
        <v>1215</v>
      </c>
      <c r="D892" s="228" t="s">
        <v>1222</v>
      </c>
      <c r="E892" s="229"/>
      <c r="F892" s="229" t="s">
        <v>136</v>
      </c>
      <c r="G892" s="229" t="s">
        <v>82</v>
      </c>
      <c r="H892" s="229"/>
      <c r="I892" s="229">
        <v>0</v>
      </c>
      <c r="J892" s="229">
        <v>-1118</v>
      </c>
      <c r="K892" s="230">
        <v>1118</v>
      </c>
      <c r="L892" s="229" t="s">
        <v>1865</v>
      </c>
      <c r="M892" s="229"/>
      <c r="N892" s="229" t="s">
        <v>263</v>
      </c>
      <c r="O892" s="229" t="s">
        <v>261</v>
      </c>
      <c r="P892" s="231"/>
    </row>
    <row r="893" spans="1:16" x14ac:dyDescent="0.25">
      <c r="A893" s="227" t="s">
        <v>2290</v>
      </c>
      <c r="B893" s="228" t="s">
        <v>2218</v>
      </c>
      <c r="C893" s="228" t="s">
        <v>1215</v>
      </c>
      <c r="D893" s="228" t="s">
        <v>1222</v>
      </c>
      <c r="E893" s="229"/>
      <c r="F893" s="229" t="s">
        <v>136</v>
      </c>
      <c r="G893" s="229" t="s">
        <v>82</v>
      </c>
      <c r="H893" s="229"/>
      <c r="I893" s="229">
        <v>0</v>
      </c>
      <c r="J893" s="229">
        <v>5</v>
      </c>
      <c r="K893" s="230">
        <v>31</v>
      </c>
      <c r="L893" s="229" t="s">
        <v>1865</v>
      </c>
      <c r="M893" s="229"/>
      <c r="N893" s="229" t="s">
        <v>654</v>
      </c>
      <c r="O893" s="229" t="s">
        <v>261</v>
      </c>
      <c r="P893" s="231"/>
    </row>
    <row r="894" spans="1:16" x14ac:dyDescent="0.25">
      <c r="A894" s="227" t="s">
        <v>1980</v>
      </c>
      <c r="B894" s="228" t="s">
        <v>1876</v>
      </c>
      <c r="C894" s="228" t="s">
        <v>1215</v>
      </c>
      <c r="D894" s="228" t="s">
        <v>1222</v>
      </c>
      <c r="E894" s="229"/>
      <c r="F894" s="229" t="s">
        <v>136</v>
      </c>
      <c r="G894" s="229" t="s">
        <v>82</v>
      </c>
      <c r="H894" s="229"/>
      <c r="I894" s="229">
        <v>0</v>
      </c>
      <c r="J894" s="229">
        <v>0</v>
      </c>
      <c r="K894" s="230">
        <v>512</v>
      </c>
      <c r="L894" s="229" t="s">
        <v>1865</v>
      </c>
      <c r="M894" s="229"/>
      <c r="N894" s="229" t="s">
        <v>311</v>
      </c>
      <c r="O894" s="229" t="s">
        <v>261</v>
      </c>
      <c r="P894" s="231"/>
    </row>
    <row r="895" spans="1:16" x14ac:dyDescent="0.25">
      <c r="A895" s="227" t="s">
        <v>2291</v>
      </c>
      <c r="B895" s="228" t="s">
        <v>2708</v>
      </c>
      <c r="C895" s="228" t="s">
        <v>1215</v>
      </c>
      <c r="D895" s="228" t="s">
        <v>1222</v>
      </c>
      <c r="E895" s="229"/>
      <c r="F895" s="229" t="s">
        <v>138</v>
      </c>
      <c r="G895" s="229" t="s">
        <v>82</v>
      </c>
      <c r="H895" s="229"/>
      <c r="I895" s="229">
        <v>0</v>
      </c>
      <c r="J895" s="229">
        <v>-220</v>
      </c>
      <c r="K895" s="230">
        <v>220</v>
      </c>
      <c r="L895" s="229" t="s">
        <v>1865</v>
      </c>
      <c r="M895" s="229">
        <v>7.8125E-3</v>
      </c>
      <c r="N895" s="229" t="s">
        <v>648</v>
      </c>
      <c r="O895" s="229" t="s">
        <v>261</v>
      </c>
      <c r="P895" s="231"/>
    </row>
    <row r="896" spans="1:16" x14ac:dyDescent="0.25">
      <c r="A896" s="227" t="s">
        <v>2709</v>
      </c>
      <c r="B896" s="228" t="s">
        <v>2710</v>
      </c>
      <c r="C896" s="228" t="s">
        <v>1215</v>
      </c>
      <c r="D896" s="228" t="s">
        <v>1222</v>
      </c>
      <c r="E896" s="229"/>
      <c r="F896" s="229" t="s">
        <v>138</v>
      </c>
      <c r="G896" s="229" t="s">
        <v>82</v>
      </c>
      <c r="H896" s="229"/>
      <c r="I896" s="229">
        <v>0</v>
      </c>
      <c r="J896" s="229">
        <v>-220</v>
      </c>
      <c r="K896" s="230">
        <v>220</v>
      </c>
      <c r="L896" s="229" t="s">
        <v>1865</v>
      </c>
      <c r="M896" s="229">
        <v>7.8125E-3</v>
      </c>
      <c r="N896" s="229" t="s">
        <v>648</v>
      </c>
      <c r="O896" s="229" t="s">
        <v>261</v>
      </c>
      <c r="P896" s="231"/>
    </row>
    <row r="897" spans="1:16" x14ac:dyDescent="0.25">
      <c r="A897" s="227" t="s">
        <v>2711</v>
      </c>
      <c r="B897" s="228" t="s">
        <v>2712</v>
      </c>
      <c r="C897" s="228" t="s">
        <v>1215</v>
      </c>
      <c r="D897" s="228" t="s">
        <v>1222</v>
      </c>
      <c r="E897" s="229"/>
      <c r="F897" s="229" t="s">
        <v>138</v>
      </c>
      <c r="G897" s="229" t="s">
        <v>82</v>
      </c>
      <c r="H897" s="229"/>
      <c r="I897" s="229">
        <v>0</v>
      </c>
      <c r="J897" s="229">
        <v>-31</v>
      </c>
      <c r="K897" s="230">
        <v>31</v>
      </c>
      <c r="L897" s="229" t="s">
        <v>1865</v>
      </c>
      <c r="M897" s="229">
        <v>4.8828125E-4</v>
      </c>
      <c r="N897" s="229" t="s">
        <v>599</v>
      </c>
      <c r="O897" s="229" t="s">
        <v>261</v>
      </c>
      <c r="P897" s="231"/>
    </row>
    <row r="898" spans="1:16" x14ac:dyDescent="0.25">
      <c r="A898" s="227" t="s">
        <v>2713</v>
      </c>
      <c r="B898" s="228" t="s">
        <v>2714</v>
      </c>
      <c r="C898" s="228" t="s">
        <v>1215</v>
      </c>
      <c r="D898" s="228" t="s">
        <v>1222</v>
      </c>
      <c r="E898" s="229"/>
      <c r="F898" s="229" t="s">
        <v>138</v>
      </c>
      <c r="G898" s="229" t="s">
        <v>82</v>
      </c>
      <c r="H898" s="229"/>
      <c r="I898" s="229">
        <v>0</v>
      </c>
      <c r="J898" s="229">
        <v>-31</v>
      </c>
      <c r="K898" s="230">
        <v>31</v>
      </c>
      <c r="L898" s="229" t="s">
        <v>1865</v>
      </c>
      <c r="M898" s="229">
        <v>4.8828125E-4</v>
      </c>
      <c r="N898" s="229" t="s">
        <v>599</v>
      </c>
      <c r="O898" s="229" t="s">
        <v>261</v>
      </c>
      <c r="P898" s="231"/>
    </row>
    <row r="899" spans="1:16" x14ac:dyDescent="0.25">
      <c r="A899" s="227" t="s">
        <v>2249</v>
      </c>
      <c r="B899" s="228" t="s">
        <v>2250</v>
      </c>
      <c r="C899" s="228" t="s">
        <v>1215</v>
      </c>
      <c r="D899" s="228" t="s">
        <v>1222</v>
      </c>
      <c r="E899" s="229"/>
      <c r="F899" s="229" t="s">
        <v>138</v>
      </c>
      <c r="G899" s="229" t="s">
        <v>82</v>
      </c>
      <c r="H899" s="229"/>
      <c r="I899" s="229">
        <v>0</v>
      </c>
      <c r="J899" s="229">
        <v>0</v>
      </c>
      <c r="K899" s="230">
        <v>1</v>
      </c>
      <c r="L899" s="229" t="s">
        <v>1865</v>
      </c>
      <c r="M899" s="229">
        <v>3.0517578125E-5</v>
      </c>
      <c r="N899" s="229" t="s">
        <v>1353</v>
      </c>
      <c r="O899" s="229" t="s">
        <v>261</v>
      </c>
      <c r="P899" s="231"/>
    </row>
    <row r="900" spans="1:16" x14ac:dyDescent="0.25">
      <c r="A900" s="227" t="s">
        <v>2715</v>
      </c>
      <c r="B900" s="228" t="s">
        <v>2716</v>
      </c>
      <c r="C900" s="228" t="s">
        <v>1215</v>
      </c>
      <c r="D900" s="228" t="s">
        <v>1222</v>
      </c>
      <c r="E900" s="229"/>
      <c r="F900" s="229" t="s">
        <v>138</v>
      </c>
      <c r="G900" s="229" t="s">
        <v>82</v>
      </c>
      <c r="H900" s="229"/>
      <c r="I900" s="229">
        <v>0</v>
      </c>
      <c r="J900" s="229">
        <v>0</v>
      </c>
      <c r="K900" s="230">
        <v>2</v>
      </c>
      <c r="L900" s="229" t="s">
        <v>1865</v>
      </c>
      <c r="M900" s="229">
        <v>6.103515625E-5</v>
      </c>
      <c r="N900" s="229" t="s">
        <v>260</v>
      </c>
      <c r="O900" s="229" t="s">
        <v>261</v>
      </c>
      <c r="P900" s="231"/>
    </row>
    <row r="901" spans="1:16" x14ac:dyDescent="0.25">
      <c r="A901" s="227" t="s">
        <v>2717</v>
      </c>
      <c r="B901" s="228" t="s">
        <v>2718</v>
      </c>
      <c r="C901" s="228" t="s">
        <v>1215</v>
      </c>
      <c r="D901" s="228" t="s">
        <v>1222</v>
      </c>
      <c r="E901" s="229"/>
      <c r="F901" s="229" t="s">
        <v>138</v>
      </c>
      <c r="G901" s="229" t="s">
        <v>82</v>
      </c>
      <c r="H901" s="229"/>
      <c r="I901" s="229">
        <v>0</v>
      </c>
      <c r="J901" s="229">
        <v>0</v>
      </c>
      <c r="K901" s="230">
        <v>1024</v>
      </c>
      <c r="L901" s="229" t="s">
        <v>1865</v>
      </c>
      <c r="M901" s="229">
        <v>3.125E-2</v>
      </c>
      <c r="N901" s="229" t="s">
        <v>260</v>
      </c>
      <c r="O901" s="229" t="s">
        <v>261</v>
      </c>
      <c r="P901" s="231"/>
    </row>
    <row r="902" spans="1:16" x14ac:dyDescent="0.25">
      <c r="A902" s="227" t="s">
        <v>2719</v>
      </c>
      <c r="B902" s="228" t="s">
        <v>2720</v>
      </c>
      <c r="C902" s="228" t="s">
        <v>1215</v>
      </c>
      <c r="D902" s="228" t="s">
        <v>1222</v>
      </c>
      <c r="E902" s="229"/>
      <c r="F902" s="229" t="s">
        <v>138</v>
      </c>
      <c r="G902" s="229" t="s">
        <v>82</v>
      </c>
      <c r="H902" s="229"/>
      <c r="I902" s="229">
        <v>0</v>
      </c>
      <c r="J902" s="229">
        <v>0</v>
      </c>
      <c r="K902" s="230">
        <v>2</v>
      </c>
      <c r="L902" s="229" t="s">
        <v>1865</v>
      </c>
      <c r="M902" s="229">
        <v>6.103515625E-5</v>
      </c>
      <c r="N902" s="229" t="s">
        <v>260</v>
      </c>
      <c r="O902" s="229" t="s">
        <v>261</v>
      </c>
      <c r="P902" s="231"/>
    </row>
    <row r="903" spans="1:16" x14ac:dyDescent="0.25">
      <c r="A903" s="227" t="s">
        <v>2721</v>
      </c>
      <c r="B903" s="228" t="s">
        <v>2722</v>
      </c>
      <c r="C903" s="228" t="s">
        <v>1215</v>
      </c>
      <c r="D903" s="228" t="s">
        <v>1222</v>
      </c>
      <c r="E903" s="229"/>
      <c r="F903" s="229" t="s">
        <v>138</v>
      </c>
      <c r="G903" s="229" t="s">
        <v>82</v>
      </c>
      <c r="H903" s="229"/>
      <c r="I903" s="229">
        <v>0</v>
      </c>
      <c r="J903" s="229">
        <v>0</v>
      </c>
      <c r="K903" s="230">
        <v>1024</v>
      </c>
      <c r="L903" s="229" t="s">
        <v>1865</v>
      </c>
      <c r="M903" s="229">
        <v>3.125E-2</v>
      </c>
      <c r="N903" s="229" t="s">
        <v>260</v>
      </c>
      <c r="O903" s="229" t="s">
        <v>261</v>
      </c>
      <c r="P903" s="231"/>
    </row>
    <row r="904" spans="1:16" x14ac:dyDescent="0.25">
      <c r="A904" s="227" t="s">
        <v>2723</v>
      </c>
      <c r="B904" s="228" t="s">
        <v>2724</v>
      </c>
      <c r="C904" s="228" t="s">
        <v>1215</v>
      </c>
      <c r="D904" s="228" t="s">
        <v>1222</v>
      </c>
      <c r="E904" s="229"/>
      <c r="F904" s="229" t="s">
        <v>138</v>
      </c>
      <c r="G904" s="229" t="s">
        <v>82</v>
      </c>
      <c r="H904" s="229"/>
      <c r="I904" s="229">
        <v>0</v>
      </c>
      <c r="J904" s="229">
        <v>-180</v>
      </c>
      <c r="K904" s="230">
        <v>180</v>
      </c>
      <c r="L904" s="229" t="s">
        <v>1865</v>
      </c>
      <c r="M904" s="229">
        <v>7.8125E-3</v>
      </c>
      <c r="N904" s="229" t="s">
        <v>2725</v>
      </c>
      <c r="O904" s="229" t="s">
        <v>261</v>
      </c>
      <c r="P904" s="231"/>
    </row>
    <row r="905" spans="1:16" x14ac:dyDescent="0.25">
      <c r="A905" s="227" t="s">
        <v>2726</v>
      </c>
      <c r="B905" s="228"/>
      <c r="C905" s="228" t="s">
        <v>1215</v>
      </c>
      <c r="D905" s="228" t="s">
        <v>1222</v>
      </c>
      <c r="E905" s="229"/>
      <c r="F905" s="229" t="s">
        <v>139</v>
      </c>
      <c r="G905" s="229" t="s">
        <v>82</v>
      </c>
      <c r="H905" s="229"/>
      <c r="I905" s="229">
        <v>0</v>
      </c>
      <c r="J905" s="229">
        <v>-1118</v>
      </c>
      <c r="K905" s="230">
        <v>1118</v>
      </c>
      <c r="L905" s="229">
        <v>9.5367431640625E-7</v>
      </c>
      <c r="M905" s="229">
        <v>6.25E-2</v>
      </c>
      <c r="N905" s="229" t="s">
        <v>263</v>
      </c>
      <c r="O905" s="229" t="s">
        <v>2382</v>
      </c>
      <c r="P905" s="231"/>
    </row>
    <row r="906" spans="1:16" x14ac:dyDescent="0.25">
      <c r="A906" s="227" t="s">
        <v>2727</v>
      </c>
      <c r="B906" s="228"/>
      <c r="C906" s="228" t="s">
        <v>1215</v>
      </c>
      <c r="D906" s="228" t="s">
        <v>1222</v>
      </c>
      <c r="E906" s="229"/>
      <c r="F906" s="229" t="s">
        <v>139</v>
      </c>
      <c r="G906" s="229" t="s">
        <v>82</v>
      </c>
      <c r="H906" s="229"/>
      <c r="I906" s="229">
        <v>0</v>
      </c>
      <c r="J906" s="229">
        <v>-1118</v>
      </c>
      <c r="K906" s="230">
        <v>1118</v>
      </c>
      <c r="L906" s="229">
        <v>9.5367431640625E-7</v>
      </c>
      <c r="M906" s="229">
        <v>6.25E-2</v>
      </c>
      <c r="N906" s="229" t="s">
        <v>263</v>
      </c>
      <c r="O906" s="229" t="s">
        <v>2382</v>
      </c>
      <c r="P906" s="231"/>
    </row>
    <row r="907" spans="1:16" x14ac:dyDescent="0.25">
      <c r="A907" s="227" t="s">
        <v>2728</v>
      </c>
      <c r="B907" s="228" t="s">
        <v>2729</v>
      </c>
      <c r="C907" s="228" t="s">
        <v>1215</v>
      </c>
      <c r="D907" s="228" t="s">
        <v>1222</v>
      </c>
      <c r="E907" s="229"/>
      <c r="F907" s="229" t="s">
        <v>141</v>
      </c>
      <c r="G907" s="229" t="s">
        <v>82</v>
      </c>
      <c r="H907" s="229"/>
      <c r="I907" s="229">
        <v>0</v>
      </c>
      <c r="J907" s="229">
        <v>0</v>
      </c>
      <c r="K907" s="230">
        <v>20</v>
      </c>
      <c r="L907" s="229" t="s">
        <v>1865</v>
      </c>
      <c r="M907" s="229">
        <v>4.8828125E-4</v>
      </c>
      <c r="N907" s="229" t="s">
        <v>2730</v>
      </c>
      <c r="O907" s="229" t="s">
        <v>261</v>
      </c>
      <c r="P907" s="231"/>
    </row>
    <row r="908" spans="1:16" x14ac:dyDescent="0.25">
      <c r="A908" s="227" t="s">
        <v>2731</v>
      </c>
      <c r="B908" s="228" t="s">
        <v>2732</v>
      </c>
      <c r="C908" s="228" t="s">
        <v>1215</v>
      </c>
      <c r="D908" s="228" t="s">
        <v>1222</v>
      </c>
      <c r="E908" s="229"/>
      <c r="F908" s="229" t="s">
        <v>141</v>
      </c>
      <c r="G908" s="229" t="s">
        <v>82</v>
      </c>
      <c r="H908" s="229"/>
      <c r="I908" s="229">
        <v>0</v>
      </c>
      <c r="J908" s="229">
        <v>0</v>
      </c>
      <c r="K908" s="230">
        <v>200</v>
      </c>
      <c r="L908" s="229" t="s">
        <v>1865</v>
      </c>
      <c r="M908" s="229">
        <v>7.8125E-3</v>
      </c>
      <c r="N908" s="229" t="s">
        <v>2733</v>
      </c>
      <c r="O908" s="229" t="s">
        <v>261</v>
      </c>
      <c r="P908" s="231"/>
    </row>
    <row r="909" spans="1:16" x14ac:dyDescent="0.25">
      <c r="A909" s="227" t="s">
        <v>2734</v>
      </c>
      <c r="B909" s="228" t="s">
        <v>2735</v>
      </c>
      <c r="C909" s="228" t="s">
        <v>1215</v>
      </c>
      <c r="D909" s="228" t="s">
        <v>1222</v>
      </c>
      <c r="E909" s="229"/>
      <c r="F909" s="229" t="s">
        <v>141</v>
      </c>
      <c r="G909" s="229" t="s">
        <v>82</v>
      </c>
      <c r="H909" s="229"/>
      <c r="I909" s="229">
        <v>0</v>
      </c>
      <c r="J909" s="229">
        <v>-1118</v>
      </c>
      <c r="K909" s="230">
        <v>1118</v>
      </c>
      <c r="L909" s="229" t="s">
        <v>1865</v>
      </c>
      <c r="M909" s="229">
        <v>6.25E-2</v>
      </c>
      <c r="N909" s="229" t="s">
        <v>263</v>
      </c>
      <c r="O909" s="229" t="s">
        <v>261</v>
      </c>
      <c r="P909" s="231"/>
    </row>
    <row r="910" spans="1:16" x14ac:dyDescent="0.25">
      <c r="A910" s="227" t="s">
        <v>2291</v>
      </c>
      <c r="B910" s="228" t="s">
        <v>2736</v>
      </c>
      <c r="C910" s="228" t="s">
        <v>1215</v>
      </c>
      <c r="D910" s="228" t="s">
        <v>1222</v>
      </c>
      <c r="E910" s="229"/>
      <c r="F910" s="229" t="s">
        <v>136</v>
      </c>
      <c r="G910" s="229" t="s">
        <v>82</v>
      </c>
      <c r="H910" s="229"/>
      <c r="I910" s="229">
        <v>0</v>
      </c>
      <c r="J910" s="229">
        <v>-220</v>
      </c>
      <c r="K910" s="230">
        <v>220</v>
      </c>
      <c r="L910" s="229" t="s">
        <v>1865</v>
      </c>
      <c r="M910" s="229"/>
      <c r="N910" s="229" t="s">
        <v>648</v>
      </c>
      <c r="O910" s="229" t="s">
        <v>261</v>
      </c>
      <c r="P910" s="231"/>
    </row>
    <row r="911" spans="1:16" x14ac:dyDescent="0.25">
      <c r="A911" s="227" t="s">
        <v>2737</v>
      </c>
      <c r="B911" s="228" t="s">
        <v>2737</v>
      </c>
      <c r="C911" s="228" t="s">
        <v>1215</v>
      </c>
      <c r="D911" s="228" t="s">
        <v>1222</v>
      </c>
      <c r="E911" s="229"/>
      <c r="F911" s="229" t="s">
        <v>136</v>
      </c>
      <c r="G911" s="229" t="s">
        <v>82</v>
      </c>
      <c r="H911" s="229"/>
      <c r="I911" s="229">
        <v>0</v>
      </c>
      <c r="J911" s="229">
        <v>-50</v>
      </c>
      <c r="K911" s="230">
        <v>150</v>
      </c>
      <c r="L911" s="229" t="s">
        <v>1865</v>
      </c>
      <c r="M911" s="229"/>
      <c r="N911" s="229" t="s">
        <v>558</v>
      </c>
      <c r="O911" s="229" t="s">
        <v>261</v>
      </c>
      <c r="P911" s="231"/>
    </row>
    <row r="912" spans="1:16" x14ac:dyDescent="0.25">
      <c r="A912" s="227" t="s">
        <v>2738</v>
      </c>
      <c r="B912" s="228" t="s">
        <v>2738</v>
      </c>
      <c r="C912" s="228" t="s">
        <v>1215</v>
      </c>
      <c r="D912" s="228" t="s">
        <v>1222</v>
      </c>
      <c r="E912" s="229"/>
      <c r="F912" s="229" t="s">
        <v>136</v>
      </c>
      <c r="G912" s="229" t="s">
        <v>82</v>
      </c>
      <c r="H912" s="229"/>
      <c r="I912" s="229">
        <v>0</v>
      </c>
      <c r="J912" s="229">
        <v>-50</v>
      </c>
      <c r="K912" s="230">
        <v>150</v>
      </c>
      <c r="L912" s="229" t="s">
        <v>1865</v>
      </c>
      <c r="M912" s="229"/>
      <c r="N912" s="229" t="s">
        <v>558</v>
      </c>
      <c r="O912" s="229" t="s">
        <v>261</v>
      </c>
      <c r="P912" s="231"/>
    </row>
    <row r="913" spans="1:16" x14ac:dyDescent="0.25">
      <c r="A913" s="227" t="s">
        <v>2739</v>
      </c>
      <c r="B913" s="228" t="s">
        <v>2739</v>
      </c>
      <c r="C913" s="228" t="s">
        <v>1215</v>
      </c>
      <c r="D913" s="228" t="s">
        <v>1222</v>
      </c>
      <c r="E913" s="229"/>
      <c r="F913" s="229" t="s">
        <v>136</v>
      </c>
      <c r="G913" s="229" t="s">
        <v>82</v>
      </c>
      <c r="H913" s="229"/>
      <c r="I913" s="229">
        <v>0</v>
      </c>
      <c r="J913" s="229">
        <v>-50</v>
      </c>
      <c r="K913" s="230">
        <v>150</v>
      </c>
      <c r="L913" s="229" t="s">
        <v>1865</v>
      </c>
      <c r="M913" s="229"/>
      <c r="N913" s="229" t="s">
        <v>558</v>
      </c>
      <c r="O913" s="229" t="s">
        <v>261</v>
      </c>
      <c r="P913" s="231"/>
    </row>
    <row r="914" spans="1:16" x14ac:dyDescent="0.25">
      <c r="A914" s="227" t="s">
        <v>2740</v>
      </c>
      <c r="B914" s="228" t="s">
        <v>2704</v>
      </c>
      <c r="C914" s="228" t="s">
        <v>1215</v>
      </c>
      <c r="D914" s="228" t="s">
        <v>1222</v>
      </c>
      <c r="E914" s="229"/>
      <c r="F914" s="229" t="s">
        <v>138</v>
      </c>
      <c r="G914" s="229" t="s">
        <v>82</v>
      </c>
      <c r="H914" s="229"/>
      <c r="I914" s="229">
        <v>0</v>
      </c>
      <c r="J914" s="229">
        <v>3.0000000000000001E-5</v>
      </c>
      <c r="K914" s="230">
        <v>4.0999999999999999E-4</v>
      </c>
      <c r="L914" s="229" t="s">
        <v>1865</v>
      </c>
      <c r="M914" s="229">
        <v>3.2000000000000002E-8</v>
      </c>
      <c r="N914" s="229" t="s">
        <v>1270</v>
      </c>
      <c r="O914" s="229" t="s">
        <v>261</v>
      </c>
      <c r="P914" s="231"/>
    </row>
    <row r="915" spans="1:16" x14ac:dyDescent="0.25">
      <c r="A915" s="227" t="s">
        <v>2741</v>
      </c>
      <c r="B915" s="228" t="s">
        <v>2704</v>
      </c>
      <c r="C915" s="228" t="s">
        <v>1215</v>
      </c>
      <c r="D915" s="228" t="s">
        <v>1222</v>
      </c>
      <c r="E915" s="229"/>
      <c r="F915" s="229" t="s">
        <v>138</v>
      </c>
      <c r="G915" s="229" t="s">
        <v>82</v>
      </c>
      <c r="H915" s="229"/>
      <c r="I915" s="229">
        <v>0</v>
      </c>
      <c r="J915" s="229">
        <v>3.0000000000000001E-5</v>
      </c>
      <c r="K915" s="230">
        <v>4.0999999999999999E-4</v>
      </c>
      <c r="L915" s="229" t="s">
        <v>1865</v>
      </c>
      <c r="M915" s="229">
        <v>3.2000000000000002E-8</v>
      </c>
      <c r="N915" s="229" t="s">
        <v>1270</v>
      </c>
      <c r="O915" s="229" t="s">
        <v>261</v>
      </c>
      <c r="P915" s="231"/>
    </row>
    <row r="916" spans="1:16" x14ac:dyDescent="0.25">
      <c r="A916" s="227" t="s">
        <v>2702</v>
      </c>
      <c r="B916" s="228" t="s">
        <v>2702</v>
      </c>
      <c r="C916" s="228" t="s">
        <v>1215</v>
      </c>
      <c r="D916" s="228" t="s">
        <v>1222</v>
      </c>
      <c r="E916" s="229"/>
      <c r="F916" s="229" t="s">
        <v>138</v>
      </c>
      <c r="G916" s="229" t="s">
        <v>82</v>
      </c>
      <c r="H916" s="229"/>
      <c r="I916" s="229">
        <v>0</v>
      </c>
      <c r="J916" s="229">
        <v>5.0000000000000001E-3</v>
      </c>
      <c r="K916" s="230">
        <v>0.12565000000000001</v>
      </c>
      <c r="L916" s="229" t="s">
        <v>1865</v>
      </c>
      <c r="M916" s="229">
        <v>9.5370000000000008E-7</v>
      </c>
      <c r="N916" s="229" t="s">
        <v>1265</v>
      </c>
      <c r="O916" s="229" t="s">
        <v>261</v>
      </c>
      <c r="P916" s="231"/>
    </row>
    <row r="917" spans="1:16" x14ac:dyDescent="0.25">
      <c r="A917" s="227" t="s">
        <v>2700</v>
      </c>
      <c r="B917" s="228" t="s">
        <v>2700</v>
      </c>
      <c r="C917" s="228" t="s">
        <v>1215</v>
      </c>
      <c r="D917" s="228" t="s">
        <v>1222</v>
      </c>
      <c r="E917" s="229"/>
      <c r="F917" s="229" t="s">
        <v>138</v>
      </c>
      <c r="G917" s="229" t="s">
        <v>82</v>
      </c>
      <c r="H917" s="229"/>
      <c r="I917" s="229">
        <v>0</v>
      </c>
      <c r="J917" s="229">
        <v>2.5000000000000001E-2</v>
      </c>
      <c r="K917" s="230">
        <v>7.4999999999999997E-2</v>
      </c>
      <c r="L917" s="229" t="s">
        <v>1865</v>
      </c>
      <c r="M917" s="229">
        <v>0.99999257200000002</v>
      </c>
      <c r="N917" s="229" t="s">
        <v>1260</v>
      </c>
      <c r="O917" s="229" t="s">
        <v>261</v>
      </c>
      <c r="P917" s="231"/>
    </row>
    <row r="918" spans="1:16" x14ac:dyDescent="0.25">
      <c r="A918" s="227" t="s">
        <v>2742</v>
      </c>
      <c r="B918" s="228" t="s">
        <v>2743</v>
      </c>
      <c r="C918" s="228" t="s">
        <v>1215</v>
      </c>
      <c r="D918" s="228" t="s">
        <v>1222</v>
      </c>
      <c r="E918" s="229"/>
      <c r="F918" s="229" t="s">
        <v>141</v>
      </c>
      <c r="G918" s="229" t="s">
        <v>82</v>
      </c>
      <c r="H918" s="229"/>
      <c r="I918" s="229">
        <v>0</v>
      </c>
      <c r="J918" s="229">
        <v>2.5000000000000001E-2</v>
      </c>
      <c r="K918" s="230">
        <v>7.4999999999999997E-2</v>
      </c>
      <c r="L918" s="229" t="s">
        <v>1865</v>
      </c>
      <c r="M918" s="229">
        <v>7.4279999999999999E-6</v>
      </c>
      <c r="N918" s="229" t="s">
        <v>1260</v>
      </c>
      <c r="O918" s="229" t="s">
        <v>261</v>
      </c>
      <c r="P918" s="231"/>
    </row>
    <row r="919" spans="1:16" x14ac:dyDescent="0.25">
      <c r="A919" s="227" t="s">
        <v>2744</v>
      </c>
      <c r="B919" s="228" t="s">
        <v>2745</v>
      </c>
      <c r="C919" s="228" t="s">
        <v>1215</v>
      </c>
      <c r="D919" s="228" t="s">
        <v>1222</v>
      </c>
      <c r="E919" s="229"/>
      <c r="F919" s="229" t="s">
        <v>141</v>
      </c>
      <c r="G919" s="229" t="s">
        <v>82</v>
      </c>
      <c r="H919" s="229"/>
      <c r="I919" s="229">
        <v>0</v>
      </c>
      <c r="J919" s="229">
        <v>5.0000000000000001E-3</v>
      </c>
      <c r="K919" s="230">
        <v>0.12565000000000001</v>
      </c>
      <c r="L919" s="229" t="s">
        <v>1865</v>
      </c>
      <c r="M919" s="229">
        <v>9.5370000000000008E-7</v>
      </c>
      <c r="N919" s="229" t="s">
        <v>1265</v>
      </c>
      <c r="O919" s="229" t="s">
        <v>261</v>
      </c>
      <c r="P919" s="231"/>
    </row>
    <row r="920" spans="1:16" x14ac:dyDescent="0.25">
      <c r="A920" s="227" t="s">
        <v>2746</v>
      </c>
      <c r="B920" s="228" t="s">
        <v>2747</v>
      </c>
      <c r="C920" s="228" t="s">
        <v>1215</v>
      </c>
      <c r="D920" s="228" t="s">
        <v>1222</v>
      </c>
      <c r="E920" s="229"/>
      <c r="F920" s="229" t="s">
        <v>141</v>
      </c>
      <c r="G920" s="229" t="s">
        <v>82</v>
      </c>
      <c r="H920" s="229"/>
      <c r="I920" s="229">
        <v>0</v>
      </c>
      <c r="J920" s="229">
        <v>3.0000000000000001E-5</v>
      </c>
      <c r="K920" s="230">
        <v>4.0999999999999999E-4</v>
      </c>
      <c r="L920" s="229" t="s">
        <v>1865</v>
      </c>
      <c r="M920" s="229">
        <v>3.2000000000000002E-8</v>
      </c>
      <c r="N920" s="229" t="s">
        <v>1270</v>
      </c>
      <c r="O920" s="229" t="s">
        <v>261</v>
      </c>
      <c r="P920" s="231"/>
    </row>
    <row r="921" spans="1:16" x14ac:dyDescent="0.25">
      <c r="A921" s="227" t="s">
        <v>2748</v>
      </c>
      <c r="B921" s="228" t="s">
        <v>2749</v>
      </c>
      <c r="C921" s="228" t="s">
        <v>1215</v>
      </c>
      <c r="D921" s="228" t="s">
        <v>1222</v>
      </c>
      <c r="E921" s="229"/>
      <c r="F921" s="229" t="s">
        <v>141</v>
      </c>
      <c r="G921" s="229" t="s">
        <v>82</v>
      </c>
      <c r="H921" s="229"/>
      <c r="I921" s="229">
        <v>0</v>
      </c>
      <c r="J921" s="229">
        <v>3.0000000000000001E-5</v>
      </c>
      <c r="K921" s="230">
        <v>4.0999999999999999E-4</v>
      </c>
      <c r="L921" s="229" t="s">
        <v>1865</v>
      </c>
      <c r="M921" s="229">
        <v>3.2000000000000002E-8</v>
      </c>
      <c r="N921" s="229" t="s">
        <v>1270</v>
      </c>
      <c r="O921" s="229" t="s">
        <v>261</v>
      </c>
      <c r="P921" s="231"/>
    </row>
    <row r="922" spans="1:16" x14ac:dyDescent="0.25">
      <c r="A922" s="227" t="s">
        <v>2750</v>
      </c>
      <c r="B922" s="228" t="s">
        <v>2751</v>
      </c>
      <c r="C922" s="228" t="s">
        <v>1215</v>
      </c>
      <c r="D922" s="228" t="s">
        <v>1222</v>
      </c>
      <c r="E922" s="229"/>
      <c r="F922" s="229" t="s">
        <v>141</v>
      </c>
      <c r="G922" s="229" t="s">
        <v>82</v>
      </c>
      <c r="H922" s="229"/>
      <c r="I922" s="229">
        <v>0</v>
      </c>
      <c r="J922" s="229">
        <v>0</v>
      </c>
      <c r="K922" s="230">
        <v>1</v>
      </c>
      <c r="L922" s="229" t="s">
        <v>1865</v>
      </c>
      <c r="M922" s="229">
        <v>1E-4</v>
      </c>
      <c r="N922" s="229" t="s">
        <v>300</v>
      </c>
      <c r="O922" s="229" t="s">
        <v>261</v>
      </c>
      <c r="P922" s="231"/>
    </row>
    <row r="923" spans="1:16" x14ac:dyDescent="0.25">
      <c r="A923" s="227" t="s">
        <v>2752</v>
      </c>
      <c r="B923" s="228" t="s">
        <v>2753</v>
      </c>
      <c r="C923" s="228" t="s">
        <v>1215</v>
      </c>
      <c r="D923" s="228" t="s">
        <v>1222</v>
      </c>
      <c r="E923" s="229"/>
      <c r="F923" s="229" t="s">
        <v>141</v>
      </c>
      <c r="G923" s="229" t="s">
        <v>82</v>
      </c>
      <c r="H923" s="229"/>
      <c r="I923" s="229">
        <v>0</v>
      </c>
      <c r="J923" s="229">
        <v>0</v>
      </c>
      <c r="K923" s="230">
        <v>2</v>
      </c>
      <c r="L923" s="229" t="s">
        <v>1865</v>
      </c>
      <c r="M923" s="229">
        <v>2.5000000000000001E-3</v>
      </c>
      <c r="N923" s="229" t="s">
        <v>300</v>
      </c>
      <c r="O923" s="229" t="s">
        <v>261</v>
      </c>
      <c r="P923" s="231"/>
    </row>
    <row r="924" spans="1:16" ht="20.399999999999999" x14ac:dyDescent="0.25">
      <c r="A924" s="227" t="s">
        <v>2754</v>
      </c>
      <c r="B924" s="228" t="s">
        <v>2755</v>
      </c>
      <c r="C924" s="228" t="s">
        <v>1215</v>
      </c>
      <c r="D924" s="228" t="s">
        <v>1222</v>
      </c>
      <c r="E924" s="229"/>
      <c r="F924" s="229" t="s">
        <v>141</v>
      </c>
      <c r="G924" s="229" t="s">
        <v>82</v>
      </c>
      <c r="H924" s="229"/>
      <c r="I924" s="229">
        <v>0</v>
      </c>
      <c r="J924" s="229">
        <v>5.0000000000000001E-3</v>
      </c>
      <c r="K924" s="230">
        <v>0.12565000000000001</v>
      </c>
      <c r="L924" s="229" t="s">
        <v>1865</v>
      </c>
      <c r="M924" s="229">
        <v>9.5370000000000008E-7</v>
      </c>
      <c r="N924" s="229" t="s">
        <v>1265</v>
      </c>
      <c r="O924" s="229" t="s">
        <v>261</v>
      </c>
      <c r="P924" s="231"/>
    </row>
    <row r="925" spans="1:16" ht="20.399999999999999" x14ac:dyDescent="0.25">
      <c r="A925" s="227" t="s">
        <v>2756</v>
      </c>
      <c r="B925" s="228" t="s">
        <v>2757</v>
      </c>
      <c r="C925" s="228" t="s">
        <v>1215</v>
      </c>
      <c r="D925" s="228" t="s">
        <v>1222</v>
      </c>
      <c r="E925" s="229"/>
      <c r="F925" s="229" t="s">
        <v>141</v>
      </c>
      <c r="G925" s="229" t="s">
        <v>82</v>
      </c>
      <c r="H925" s="229"/>
      <c r="I925" s="229">
        <v>0</v>
      </c>
      <c r="J925" s="229">
        <v>5.0000000000000001E-3</v>
      </c>
      <c r="K925" s="230">
        <v>0.12565000000000001</v>
      </c>
      <c r="L925" s="229" t="s">
        <v>1865</v>
      </c>
      <c r="M925" s="229">
        <v>9.5370000000000008E-7</v>
      </c>
      <c r="N925" s="229" t="s">
        <v>1265</v>
      </c>
      <c r="O925" s="229" t="s">
        <v>261</v>
      </c>
      <c r="P925" s="231"/>
    </row>
    <row r="926" spans="1:16" x14ac:dyDescent="0.25">
      <c r="A926" s="227" t="s">
        <v>2290</v>
      </c>
      <c r="B926" s="228" t="s">
        <v>2290</v>
      </c>
      <c r="C926" s="228" t="s">
        <v>1215</v>
      </c>
      <c r="D926" s="228" t="s">
        <v>1222</v>
      </c>
      <c r="E926" s="229"/>
      <c r="F926" s="229" t="s">
        <v>136</v>
      </c>
      <c r="G926" s="229" t="s">
        <v>82</v>
      </c>
      <c r="H926" s="229"/>
      <c r="I926" s="229">
        <v>0</v>
      </c>
      <c r="J926" s="229">
        <v>5</v>
      </c>
      <c r="K926" s="230">
        <v>31</v>
      </c>
      <c r="L926" s="229" t="s">
        <v>1865</v>
      </c>
      <c r="M926" s="229"/>
      <c r="N926" s="229" t="s">
        <v>654</v>
      </c>
      <c r="O926" s="229" t="s">
        <v>261</v>
      </c>
      <c r="P926" s="231"/>
    </row>
    <row r="927" spans="1:16" x14ac:dyDescent="0.25">
      <c r="A927" s="227" t="s">
        <v>2736</v>
      </c>
      <c r="B927" s="228" t="s">
        <v>2291</v>
      </c>
      <c r="C927" s="228" t="s">
        <v>1215</v>
      </c>
      <c r="D927" s="228" t="s">
        <v>1222</v>
      </c>
      <c r="E927" s="229"/>
      <c r="F927" s="229" t="s">
        <v>136</v>
      </c>
      <c r="G927" s="229" t="s">
        <v>82</v>
      </c>
      <c r="H927" s="229"/>
      <c r="I927" s="229">
        <v>0</v>
      </c>
      <c r="J927" s="229">
        <v>-220</v>
      </c>
      <c r="K927" s="230">
        <v>220</v>
      </c>
      <c r="L927" s="229" t="s">
        <v>1865</v>
      </c>
      <c r="M927" s="229"/>
      <c r="N927" s="229" t="s">
        <v>648</v>
      </c>
      <c r="O927" s="229" t="s">
        <v>261</v>
      </c>
      <c r="P927" s="231"/>
    </row>
    <row r="928" spans="1:16" x14ac:dyDescent="0.25">
      <c r="A928" s="227" t="s">
        <v>2758</v>
      </c>
      <c r="B928" s="228" t="s">
        <v>2709</v>
      </c>
      <c r="C928" s="228" t="s">
        <v>1215</v>
      </c>
      <c r="D928" s="228" t="s">
        <v>1222</v>
      </c>
      <c r="E928" s="229"/>
      <c r="F928" s="229" t="s">
        <v>136</v>
      </c>
      <c r="G928" s="229" t="s">
        <v>82</v>
      </c>
      <c r="H928" s="229"/>
      <c r="I928" s="229">
        <v>0</v>
      </c>
      <c r="J928" s="229">
        <v>-220</v>
      </c>
      <c r="K928" s="230">
        <v>220</v>
      </c>
      <c r="L928" s="229" t="s">
        <v>1865</v>
      </c>
      <c r="M928" s="229"/>
      <c r="N928" s="229" t="s">
        <v>648</v>
      </c>
      <c r="O928" s="229" t="s">
        <v>261</v>
      </c>
      <c r="P928" s="231"/>
    </row>
    <row r="929" spans="1:16" x14ac:dyDescent="0.25">
      <c r="A929" s="227" t="s">
        <v>2711</v>
      </c>
      <c r="B929" s="228" t="s">
        <v>2711</v>
      </c>
      <c r="C929" s="228" t="s">
        <v>1215</v>
      </c>
      <c r="D929" s="228" t="s">
        <v>1222</v>
      </c>
      <c r="E929" s="229"/>
      <c r="F929" s="229" t="s">
        <v>136</v>
      </c>
      <c r="G929" s="229" t="s">
        <v>82</v>
      </c>
      <c r="H929" s="229"/>
      <c r="I929" s="229">
        <v>0</v>
      </c>
      <c r="J929" s="229">
        <v>-31</v>
      </c>
      <c r="K929" s="230">
        <v>31</v>
      </c>
      <c r="L929" s="229" t="s">
        <v>1865</v>
      </c>
      <c r="M929" s="229"/>
      <c r="N929" s="229" t="s">
        <v>654</v>
      </c>
      <c r="O929" s="229" t="s">
        <v>261</v>
      </c>
      <c r="P929" s="231"/>
    </row>
    <row r="930" spans="1:16" x14ac:dyDescent="0.25">
      <c r="A930" s="227" t="s">
        <v>2713</v>
      </c>
      <c r="B930" s="228" t="s">
        <v>2711</v>
      </c>
      <c r="C930" s="228" t="s">
        <v>1215</v>
      </c>
      <c r="D930" s="228" t="s">
        <v>1222</v>
      </c>
      <c r="E930" s="229"/>
      <c r="F930" s="229" t="s">
        <v>136</v>
      </c>
      <c r="G930" s="229" t="s">
        <v>82</v>
      </c>
      <c r="H930" s="229"/>
      <c r="I930" s="229">
        <v>0</v>
      </c>
      <c r="J930" s="229">
        <v>-31</v>
      </c>
      <c r="K930" s="230">
        <v>31</v>
      </c>
      <c r="L930" s="229" t="s">
        <v>1865</v>
      </c>
      <c r="M930" s="229"/>
      <c r="N930" s="229" t="s">
        <v>654</v>
      </c>
      <c r="O930" s="229" t="s">
        <v>261</v>
      </c>
      <c r="P930" s="231"/>
    </row>
    <row r="931" spans="1:16" x14ac:dyDescent="0.25">
      <c r="A931" s="227" t="s">
        <v>2759</v>
      </c>
      <c r="B931" s="228" t="s">
        <v>2760</v>
      </c>
      <c r="C931" s="228" t="s">
        <v>1215</v>
      </c>
      <c r="D931" s="228" t="s">
        <v>1222</v>
      </c>
      <c r="E931" s="229"/>
      <c r="F931" s="229" t="s">
        <v>136</v>
      </c>
      <c r="G931" s="229" t="s">
        <v>82</v>
      </c>
      <c r="H931" s="229"/>
      <c r="I931" s="229">
        <v>0</v>
      </c>
      <c r="J931" s="229">
        <v>0</v>
      </c>
      <c r="K931" s="230">
        <v>2</v>
      </c>
      <c r="L931" s="229" t="s">
        <v>1865</v>
      </c>
      <c r="M931" s="229"/>
      <c r="N931" s="229" t="s">
        <v>260</v>
      </c>
      <c r="O931" s="229" t="s">
        <v>261</v>
      </c>
      <c r="P931" s="231"/>
    </row>
    <row r="932" spans="1:16" x14ac:dyDescent="0.25">
      <c r="A932" s="227" t="s">
        <v>2761</v>
      </c>
      <c r="B932" s="228" t="s">
        <v>2762</v>
      </c>
      <c r="C932" s="228" t="s">
        <v>1215</v>
      </c>
      <c r="D932" s="228" t="s">
        <v>1222</v>
      </c>
      <c r="E932" s="229"/>
      <c r="F932" s="229" t="s">
        <v>136</v>
      </c>
      <c r="G932" s="229" t="s">
        <v>82</v>
      </c>
      <c r="H932" s="229"/>
      <c r="I932" s="229">
        <v>0</v>
      </c>
      <c r="J932" s="229">
        <v>0</v>
      </c>
      <c r="K932" s="230">
        <v>1024</v>
      </c>
      <c r="L932" s="229" t="s">
        <v>1865</v>
      </c>
      <c r="M932" s="229"/>
      <c r="N932" s="229" t="s">
        <v>260</v>
      </c>
      <c r="O932" s="229" t="s">
        <v>261</v>
      </c>
      <c r="P932" s="231"/>
    </row>
    <row r="933" spans="1:16" x14ac:dyDescent="0.25">
      <c r="A933" s="227" t="s">
        <v>2763</v>
      </c>
      <c r="B933" s="228" t="s">
        <v>2764</v>
      </c>
      <c r="C933" s="228" t="s">
        <v>1215</v>
      </c>
      <c r="D933" s="228" t="s">
        <v>1222</v>
      </c>
      <c r="E933" s="229"/>
      <c r="F933" s="229" t="s">
        <v>136</v>
      </c>
      <c r="G933" s="229" t="s">
        <v>82</v>
      </c>
      <c r="H933" s="229"/>
      <c r="I933" s="229">
        <v>0</v>
      </c>
      <c r="J933" s="229">
        <v>0</v>
      </c>
      <c r="K933" s="230">
        <v>2</v>
      </c>
      <c r="L933" s="229" t="s">
        <v>1865</v>
      </c>
      <c r="M933" s="229"/>
      <c r="N933" s="229" t="s">
        <v>260</v>
      </c>
      <c r="O933" s="229" t="s">
        <v>261</v>
      </c>
      <c r="P933" s="231"/>
    </row>
    <row r="934" spans="1:16" x14ac:dyDescent="0.25">
      <c r="A934" s="227" t="s">
        <v>2765</v>
      </c>
      <c r="B934" s="228" t="s">
        <v>2766</v>
      </c>
      <c r="C934" s="228" t="s">
        <v>1215</v>
      </c>
      <c r="D934" s="228" t="s">
        <v>1222</v>
      </c>
      <c r="E934" s="229"/>
      <c r="F934" s="229" t="s">
        <v>136</v>
      </c>
      <c r="G934" s="229" t="s">
        <v>82</v>
      </c>
      <c r="H934" s="229"/>
      <c r="I934" s="229">
        <v>0</v>
      </c>
      <c r="J934" s="229">
        <v>0</v>
      </c>
      <c r="K934" s="230">
        <v>1024</v>
      </c>
      <c r="L934" s="229" t="s">
        <v>1865</v>
      </c>
      <c r="M934" s="229"/>
      <c r="N934" s="229" t="s">
        <v>260</v>
      </c>
      <c r="O934" s="229" t="s">
        <v>261</v>
      </c>
      <c r="P934" s="231"/>
    </row>
    <row r="935" spans="1:16" x14ac:dyDescent="0.25">
      <c r="A935" s="227" t="s">
        <v>2443</v>
      </c>
      <c r="B935" s="228" t="s">
        <v>2252</v>
      </c>
      <c r="C935" s="228" t="s">
        <v>1215</v>
      </c>
      <c r="D935" s="228" t="s">
        <v>1222</v>
      </c>
      <c r="E935" s="229"/>
      <c r="F935" s="229" t="s">
        <v>136</v>
      </c>
      <c r="G935" s="229" t="s">
        <v>82</v>
      </c>
      <c r="H935" s="229"/>
      <c r="I935" s="229">
        <v>0</v>
      </c>
      <c r="J935" s="229">
        <v>-220</v>
      </c>
      <c r="K935" s="230">
        <v>220</v>
      </c>
      <c r="L935" s="229" t="s">
        <v>1865</v>
      </c>
      <c r="M935" s="229"/>
      <c r="N935" s="229" t="s">
        <v>648</v>
      </c>
      <c r="O935" s="229" t="s">
        <v>261</v>
      </c>
      <c r="P935" s="231"/>
    </row>
    <row r="936" spans="1:16" x14ac:dyDescent="0.25">
      <c r="A936" s="227" t="s">
        <v>2441</v>
      </c>
      <c r="B936" s="228" t="s">
        <v>2254</v>
      </c>
      <c r="C936" s="228" t="s">
        <v>1215</v>
      </c>
      <c r="D936" s="228" t="s">
        <v>1222</v>
      </c>
      <c r="E936" s="229"/>
      <c r="F936" s="229" t="s">
        <v>136</v>
      </c>
      <c r="G936" s="229" t="s">
        <v>82</v>
      </c>
      <c r="H936" s="229"/>
      <c r="I936" s="229">
        <v>0</v>
      </c>
      <c r="J936" s="229">
        <v>-220</v>
      </c>
      <c r="K936" s="230">
        <v>220</v>
      </c>
      <c r="L936" s="229" t="s">
        <v>1865</v>
      </c>
      <c r="M936" s="229"/>
      <c r="N936" s="229" t="s">
        <v>648</v>
      </c>
      <c r="O936" s="229" t="s">
        <v>261</v>
      </c>
      <c r="P936" s="231"/>
    </row>
    <row r="937" spans="1:16" x14ac:dyDescent="0.25">
      <c r="A937" s="227" t="s">
        <v>2767</v>
      </c>
      <c r="B937" s="228" t="s">
        <v>2255</v>
      </c>
      <c r="C937" s="228" t="s">
        <v>1215</v>
      </c>
      <c r="D937" s="228" t="s">
        <v>1222</v>
      </c>
      <c r="E937" s="229"/>
      <c r="F937" s="229" t="s">
        <v>136</v>
      </c>
      <c r="G937" s="229" t="s">
        <v>82</v>
      </c>
      <c r="H937" s="229"/>
      <c r="I937" s="229">
        <v>0</v>
      </c>
      <c r="J937" s="229">
        <v>-3.1415926535897931</v>
      </c>
      <c r="K937" s="230">
        <v>3.1415926535897931</v>
      </c>
      <c r="L937" s="229" t="s">
        <v>1865</v>
      </c>
      <c r="M937" s="229"/>
      <c r="N937" s="229" t="s">
        <v>1330</v>
      </c>
      <c r="O937" s="229" t="s">
        <v>261</v>
      </c>
      <c r="P937" s="231"/>
    </row>
    <row r="938" spans="1:16" x14ac:dyDescent="0.25">
      <c r="A938" s="227" t="s">
        <v>2292</v>
      </c>
      <c r="B938" s="228" t="s">
        <v>2293</v>
      </c>
      <c r="C938" s="228" t="s">
        <v>1215</v>
      </c>
      <c r="D938" s="228" t="s">
        <v>1222</v>
      </c>
      <c r="E938" s="229"/>
      <c r="F938" s="229" t="s">
        <v>138</v>
      </c>
      <c r="G938" s="229" t="s">
        <v>82</v>
      </c>
      <c r="H938" s="229"/>
      <c r="I938" s="229">
        <v>0</v>
      </c>
      <c r="J938" s="229">
        <v>0</v>
      </c>
      <c r="K938" s="230">
        <v>1</v>
      </c>
      <c r="L938" s="229" t="s">
        <v>1865</v>
      </c>
      <c r="M938" s="229"/>
      <c r="N938" s="229" t="s">
        <v>260</v>
      </c>
      <c r="O938" s="229" t="s">
        <v>261</v>
      </c>
      <c r="P938" s="231"/>
    </row>
    <row r="939" spans="1:16" x14ac:dyDescent="0.25">
      <c r="A939" s="227" t="s">
        <v>2768</v>
      </c>
      <c r="B939" s="228" t="s">
        <v>2769</v>
      </c>
      <c r="C939" s="228" t="s">
        <v>1215</v>
      </c>
      <c r="D939" s="228" t="s">
        <v>1222</v>
      </c>
      <c r="E939" s="229"/>
      <c r="F939" s="229" t="s">
        <v>138</v>
      </c>
      <c r="G939" s="229" t="s">
        <v>82</v>
      </c>
      <c r="H939" s="229"/>
      <c r="I939" s="229">
        <v>0</v>
      </c>
      <c r="J939" s="229">
        <v>0</v>
      </c>
      <c r="K939" s="230">
        <v>0.99998469999999995</v>
      </c>
      <c r="L939" s="229">
        <v>1.52587890625E-5</v>
      </c>
      <c r="M939" s="229"/>
      <c r="N939" s="229" t="s">
        <v>1353</v>
      </c>
      <c r="O939" s="229" t="s">
        <v>977</v>
      </c>
      <c r="P939" s="231"/>
    </row>
    <row r="940" spans="1:16" x14ac:dyDescent="0.25">
      <c r="A940" s="227" t="s">
        <v>2436</v>
      </c>
      <c r="B940" s="228" t="s">
        <v>2437</v>
      </c>
      <c r="C940" s="228" t="s">
        <v>1215</v>
      </c>
      <c r="D940" s="228" t="s">
        <v>1222</v>
      </c>
      <c r="E940" s="229"/>
      <c r="F940" s="229" t="s">
        <v>138</v>
      </c>
      <c r="G940" s="229" t="s">
        <v>82</v>
      </c>
      <c r="H940" s="229"/>
      <c r="I940" s="229">
        <v>0</v>
      </c>
      <c r="J940" s="229">
        <v>-31</v>
      </c>
      <c r="K940" s="230">
        <v>31</v>
      </c>
      <c r="L940" s="229" t="s">
        <v>1865</v>
      </c>
      <c r="M940" s="229"/>
      <c r="N940" s="229" t="s">
        <v>654</v>
      </c>
      <c r="O940" s="229" t="s">
        <v>261</v>
      </c>
      <c r="P940" s="231"/>
    </row>
    <row r="941" spans="1:16" x14ac:dyDescent="0.25">
      <c r="A941" s="227" t="s">
        <v>2438</v>
      </c>
      <c r="B941" s="228" t="s">
        <v>2439</v>
      </c>
      <c r="C941" s="228" t="s">
        <v>1215</v>
      </c>
      <c r="D941" s="228" t="s">
        <v>1222</v>
      </c>
      <c r="E941" s="229"/>
      <c r="F941" s="229" t="s">
        <v>138</v>
      </c>
      <c r="G941" s="229" t="s">
        <v>82</v>
      </c>
      <c r="H941" s="229"/>
      <c r="I941" s="229">
        <v>0</v>
      </c>
      <c r="J941" s="229">
        <v>-31</v>
      </c>
      <c r="K941" s="230">
        <v>31</v>
      </c>
      <c r="L941" s="229" t="s">
        <v>1865</v>
      </c>
      <c r="M941" s="229"/>
      <c r="N941" s="229" t="s">
        <v>654</v>
      </c>
      <c r="O941" s="229" t="s">
        <v>261</v>
      </c>
      <c r="P941" s="231"/>
    </row>
    <row r="942" spans="1:16" x14ac:dyDescent="0.25">
      <c r="A942" s="227" t="s">
        <v>2770</v>
      </c>
      <c r="B942" s="228" t="s">
        <v>2771</v>
      </c>
      <c r="C942" s="228" t="s">
        <v>1215</v>
      </c>
      <c r="D942" s="228" t="s">
        <v>1222</v>
      </c>
      <c r="E942" s="229"/>
      <c r="F942" s="229" t="s">
        <v>141</v>
      </c>
      <c r="G942" s="229" t="s">
        <v>82</v>
      </c>
      <c r="H942" s="229"/>
      <c r="I942" s="229">
        <v>0</v>
      </c>
      <c r="J942" s="229">
        <v>-220</v>
      </c>
      <c r="K942" s="230">
        <v>220</v>
      </c>
      <c r="L942" s="229" t="s">
        <v>1865</v>
      </c>
      <c r="M942" s="229"/>
      <c r="N942" s="229" t="s">
        <v>648</v>
      </c>
      <c r="O942" s="229" t="s">
        <v>261</v>
      </c>
      <c r="P942" s="231"/>
    </row>
    <row r="943" spans="1:16" x14ac:dyDescent="0.25">
      <c r="A943" s="227" t="s">
        <v>2772</v>
      </c>
      <c r="B943" s="228" t="s">
        <v>2773</v>
      </c>
      <c r="C943" s="228" t="s">
        <v>1215</v>
      </c>
      <c r="D943" s="228" t="s">
        <v>1222</v>
      </c>
      <c r="E943" s="229"/>
      <c r="F943" s="229" t="s">
        <v>141</v>
      </c>
      <c r="G943" s="229" t="s">
        <v>82</v>
      </c>
      <c r="H943" s="229"/>
      <c r="I943" s="229">
        <v>0</v>
      </c>
      <c r="J943" s="229">
        <v>-220</v>
      </c>
      <c r="K943" s="230">
        <v>220</v>
      </c>
      <c r="L943" s="229" t="s">
        <v>1865</v>
      </c>
      <c r="M943" s="229"/>
      <c r="N943" s="229" t="s">
        <v>648</v>
      </c>
      <c r="O943" s="229" t="s">
        <v>261</v>
      </c>
      <c r="P943" s="231"/>
    </row>
    <row r="944" spans="1:16" x14ac:dyDescent="0.25">
      <c r="A944" s="227" t="s">
        <v>2774</v>
      </c>
      <c r="B944" s="228" t="s">
        <v>2775</v>
      </c>
      <c r="C944" s="228" t="s">
        <v>1215</v>
      </c>
      <c r="D944" s="228" t="s">
        <v>1222</v>
      </c>
      <c r="E944" s="229"/>
      <c r="F944" s="229" t="s">
        <v>141</v>
      </c>
      <c r="G944" s="229" t="s">
        <v>82</v>
      </c>
      <c r="H944" s="229"/>
      <c r="I944" s="229">
        <v>0</v>
      </c>
      <c r="J944" s="229">
        <v>-31</v>
      </c>
      <c r="K944" s="230">
        <v>31</v>
      </c>
      <c r="L944" s="229" t="s">
        <v>1865</v>
      </c>
      <c r="M944" s="229"/>
      <c r="N944" s="229" t="s">
        <v>654</v>
      </c>
      <c r="O944" s="229" t="s">
        <v>261</v>
      </c>
      <c r="P944" s="231"/>
    </row>
    <row r="945" spans="1:16" x14ac:dyDescent="0.25">
      <c r="A945" s="227" t="s">
        <v>2776</v>
      </c>
      <c r="B945" s="228" t="s">
        <v>2777</v>
      </c>
      <c r="C945" s="228" t="s">
        <v>1215</v>
      </c>
      <c r="D945" s="228" t="s">
        <v>1222</v>
      </c>
      <c r="E945" s="229"/>
      <c r="F945" s="229" t="s">
        <v>141</v>
      </c>
      <c r="G945" s="229" t="s">
        <v>82</v>
      </c>
      <c r="H945" s="229"/>
      <c r="I945" s="229">
        <v>0</v>
      </c>
      <c r="J945" s="229">
        <v>-31</v>
      </c>
      <c r="K945" s="230">
        <v>31</v>
      </c>
      <c r="L945" s="229" t="s">
        <v>1865</v>
      </c>
      <c r="M945" s="229"/>
      <c r="N945" s="229" t="s">
        <v>654</v>
      </c>
      <c r="O945" s="229" t="s">
        <v>261</v>
      </c>
      <c r="P945" s="231"/>
    </row>
    <row r="946" spans="1:16" x14ac:dyDescent="0.25">
      <c r="A946" s="227" t="s">
        <v>2778</v>
      </c>
      <c r="B946" s="228" t="s">
        <v>2779</v>
      </c>
      <c r="C946" s="228" t="s">
        <v>1215</v>
      </c>
      <c r="D946" s="228" t="s">
        <v>1222</v>
      </c>
      <c r="E946" s="229"/>
      <c r="F946" s="229" t="s">
        <v>141</v>
      </c>
      <c r="G946" s="229" t="s">
        <v>82</v>
      </c>
      <c r="H946" s="229"/>
      <c r="I946" s="229">
        <v>0</v>
      </c>
      <c r="J946" s="229">
        <v>-31</v>
      </c>
      <c r="K946" s="230">
        <v>31</v>
      </c>
      <c r="L946" s="229" t="s">
        <v>1865</v>
      </c>
      <c r="M946" s="229"/>
      <c r="N946" s="229" t="s">
        <v>654</v>
      </c>
      <c r="O946" s="229" t="s">
        <v>261</v>
      </c>
      <c r="P946" s="231"/>
    </row>
    <row r="947" spans="1:16" x14ac:dyDescent="0.25">
      <c r="A947" s="227" t="s">
        <v>2780</v>
      </c>
      <c r="B947" s="228" t="s">
        <v>2781</v>
      </c>
      <c r="C947" s="228" t="s">
        <v>1215</v>
      </c>
      <c r="D947" s="228" t="s">
        <v>1222</v>
      </c>
      <c r="E947" s="229"/>
      <c r="F947" s="229" t="s">
        <v>141</v>
      </c>
      <c r="G947" s="229" t="s">
        <v>82</v>
      </c>
      <c r="H947" s="229"/>
      <c r="I947" s="229">
        <v>0</v>
      </c>
      <c r="J947" s="229">
        <v>-31</v>
      </c>
      <c r="K947" s="230">
        <v>31</v>
      </c>
      <c r="L947" s="229" t="s">
        <v>1865</v>
      </c>
      <c r="M947" s="229"/>
      <c r="N947" s="229" t="s">
        <v>654</v>
      </c>
      <c r="O947" s="229" t="s">
        <v>261</v>
      </c>
      <c r="P947" s="231"/>
    </row>
    <row r="948" spans="1:16" x14ac:dyDescent="0.25">
      <c r="A948" s="227" t="s">
        <v>2782</v>
      </c>
      <c r="B948" s="228" t="s">
        <v>2783</v>
      </c>
      <c r="C948" s="228" t="s">
        <v>1215</v>
      </c>
      <c r="D948" s="228" t="s">
        <v>1222</v>
      </c>
      <c r="E948" s="229"/>
      <c r="F948" s="229" t="s">
        <v>141</v>
      </c>
      <c r="G948" s="229" t="s">
        <v>82</v>
      </c>
      <c r="H948" s="229"/>
      <c r="I948" s="229">
        <v>0</v>
      </c>
      <c r="J948" s="229">
        <v>-31</v>
      </c>
      <c r="K948" s="230">
        <v>31</v>
      </c>
      <c r="L948" s="229" t="s">
        <v>1865</v>
      </c>
      <c r="M948" s="229"/>
      <c r="N948" s="229" t="s">
        <v>654</v>
      </c>
      <c r="O948" s="229" t="s">
        <v>261</v>
      </c>
      <c r="P948" s="231"/>
    </row>
    <row r="949" spans="1:16" x14ac:dyDescent="0.25">
      <c r="A949" s="227" t="s">
        <v>2784</v>
      </c>
      <c r="B949" s="228" t="s">
        <v>2785</v>
      </c>
      <c r="C949" s="228" t="s">
        <v>1215</v>
      </c>
      <c r="D949" s="228" t="s">
        <v>1222</v>
      </c>
      <c r="E949" s="229"/>
      <c r="F949" s="229" t="s">
        <v>141</v>
      </c>
      <c r="G949" s="229" t="s">
        <v>82</v>
      </c>
      <c r="H949" s="229"/>
      <c r="I949" s="229">
        <v>0</v>
      </c>
      <c r="J949" s="229">
        <v>-31</v>
      </c>
      <c r="K949" s="230">
        <v>31</v>
      </c>
      <c r="L949" s="229" t="s">
        <v>1865</v>
      </c>
      <c r="M949" s="229"/>
      <c r="N949" s="229" t="s">
        <v>654</v>
      </c>
      <c r="O949" s="229" t="s">
        <v>261</v>
      </c>
      <c r="P949" s="231"/>
    </row>
    <row r="950" spans="1:16" x14ac:dyDescent="0.25">
      <c r="A950" s="227" t="s">
        <v>2786</v>
      </c>
      <c r="B950" s="228" t="s">
        <v>2787</v>
      </c>
      <c r="C950" s="228" t="s">
        <v>1215</v>
      </c>
      <c r="D950" s="228" t="s">
        <v>1222</v>
      </c>
      <c r="E950" s="229"/>
      <c r="F950" s="229" t="s">
        <v>141</v>
      </c>
      <c r="G950" s="229" t="s">
        <v>82</v>
      </c>
      <c r="H950" s="229"/>
      <c r="I950" s="229">
        <v>0</v>
      </c>
      <c r="J950" s="229">
        <v>-31</v>
      </c>
      <c r="K950" s="230">
        <v>31</v>
      </c>
      <c r="L950" s="229" t="s">
        <v>1865</v>
      </c>
      <c r="M950" s="229"/>
      <c r="N950" s="229" t="s">
        <v>654</v>
      </c>
      <c r="O950" s="229" t="s">
        <v>261</v>
      </c>
      <c r="P950" s="231"/>
    </row>
    <row r="951" spans="1:16" x14ac:dyDescent="0.25">
      <c r="A951" s="227" t="s">
        <v>2443</v>
      </c>
      <c r="B951" s="228" t="s">
        <v>2444</v>
      </c>
      <c r="C951" s="228" t="s">
        <v>1215</v>
      </c>
      <c r="D951" s="228" t="s">
        <v>1222</v>
      </c>
      <c r="E951" s="229"/>
      <c r="F951" s="229" t="s">
        <v>136</v>
      </c>
      <c r="G951" s="229" t="s">
        <v>82</v>
      </c>
      <c r="H951" s="229"/>
      <c r="I951" s="229">
        <v>0</v>
      </c>
      <c r="J951" s="229">
        <v>-220</v>
      </c>
      <c r="K951" s="230">
        <v>220</v>
      </c>
      <c r="L951" s="229" t="s">
        <v>1865</v>
      </c>
      <c r="M951" s="229"/>
      <c r="N951" s="229" t="s">
        <v>648</v>
      </c>
      <c r="O951" s="229" t="s">
        <v>261</v>
      </c>
      <c r="P951" s="231"/>
    </row>
    <row r="952" spans="1:16" x14ac:dyDescent="0.25">
      <c r="A952" s="227" t="s">
        <v>2441</v>
      </c>
      <c r="B952" s="228" t="s">
        <v>2442</v>
      </c>
      <c r="C952" s="228" t="s">
        <v>1215</v>
      </c>
      <c r="D952" s="228" t="s">
        <v>1222</v>
      </c>
      <c r="E952" s="229"/>
      <c r="F952" s="229" t="s">
        <v>136</v>
      </c>
      <c r="G952" s="229" t="s">
        <v>82</v>
      </c>
      <c r="H952" s="229"/>
      <c r="I952" s="229">
        <v>0</v>
      </c>
      <c r="J952" s="229">
        <v>220</v>
      </c>
      <c r="K952" s="230">
        <v>220</v>
      </c>
      <c r="L952" s="229" t="s">
        <v>1865</v>
      </c>
      <c r="M952" s="229"/>
      <c r="N952" s="229" t="s">
        <v>648</v>
      </c>
      <c r="O952" s="229" t="s">
        <v>261</v>
      </c>
      <c r="P952" s="231"/>
    </row>
    <row r="953" spans="1:16" x14ac:dyDescent="0.25">
      <c r="A953" s="227" t="s">
        <v>2788</v>
      </c>
      <c r="B953" s="228" t="s">
        <v>2789</v>
      </c>
      <c r="C953" s="228" t="s">
        <v>1215</v>
      </c>
      <c r="D953" s="228" t="s">
        <v>1222</v>
      </c>
      <c r="E953" s="229"/>
      <c r="F953" s="229" t="s">
        <v>138</v>
      </c>
      <c r="G953" s="229" t="s">
        <v>82</v>
      </c>
      <c r="H953" s="229"/>
      <c r="I953" s="229">
        <v>0</v>
      </c>
      <c r="J953" s="229">
        <v>0</v>
      </c>
      <c r="K953" s="230">
        <v>48400</v>
      </c>
      <c r="L953" s="229" t="s">
        <v>1865</v>
      </c>
      <c r="M953" s="229"/>
      <c r="N953" s="229" t="s">
        <v>2790</v>
      </c>
      <c r="O953" s="229" t="s">
        <v>261</v>
      </c>
      <c r="P953" s="231"/>
    </row>
    <row r="954" spans="1:16" x14ac:dyDescent="0.25">
      <c r="A954" s="227" t="s">
        <v>2791</v>
      </c>
      <c r="B954" s="228" t="s">
        <v>2792</v>
      </c>
      <c r="C954" s="228" t="s">
        <v>1215</v>
      </c>
      <c r="D954" s="228" t="s">
        <v>1222</v>
      </c>
      <c r="E954" s="229"/>
      <c r="F954" s="229" t="s">
        <v>138</v>
      </c>
      <c r="G954" s="229" t="s">
        <v>82</v>
      </c>
      <c r="H954" s="229"/>
      <c r="I954" s="229">
        <v>0</v>
      </c>
      <c r="J954" s="229">
        <v>0</v>
      </c>
      <c r="K954" s="230">
        <v>48400</v>
      </c>
      <c r="L954" s="229" t="s">
        <v>1865</v>
      </c>
      <c r="M954" s="229"/>
      <c r="N954" s="229" t="s">
        <v>2790</v>
      </c>
      <c r="O954" s="229" t="s">
        <v>261</v>
      </c>
      <c r="P954" s="231"/>
    </row>
    <row r="955" spans="1:16" x14ac:dyDescent="0.25">
      <c r="A955" s="227" t="s">
        <v>2793</v>
      </c>
      <c r="B955" s="228" t="s">
        <v>2794</v>
      </c>
      <c r="C955" s="228" t="s">
        <v>1215</v>
      </c>
      <c r="D955" s="228" t="s">
        <v>1222</v>
      </c>
      <c r="E955" s="229"/>
      <c r="F955" s="229" t="s">
        <v>141</v>
      </c>
      <c r="G955" s="229" t="s">
        <v>82</v>
      </c>
      <c r="H955" s="229"/>
      <c r="I955" s="229">
        <v>0</v>
      </c>
      <c r="J955" s="229">
        <v>-220</v>
      </c>
      <c r="K955" s="230">
        <v>220</v>
      </c>
      <c r="L955" s="229" t="s">
        <v>1865</v>
      </c>
      <c r="M955" s="229" t="s">
        <v>1871</v>
      </c>
      <c r="N955" s="229" t="s">
        <v>648</v>
      </c>
      <c r="O955" s="229" t="s">
        <v>261</v>
      </c>
      <c r="P955" s="231"/>
    </row>
    <row r="956" spans="1:16" x14ac:dyDescent="0.25">
      <c r="A956" s="227" t="s">
        <v>2795</v>
      </c>
      <c r="B956" s="228" t="s">
        <v>2796</v>
      </c>
      <c r="C956" s="228" t="s">
        <v>1215</v>
      </c>
      <c r="D956" s="228" t="s">
        <v>1222</v>
      </c>
      <c r="E956" s="229"/>
      <c r="F956" s="229" t="s">
        <v>141</v>
      </c>
      <c r="G956" s="229" t="s">
        <v>82</v>
      </c>
      <c r="H956" s="229"/>
      <c r="I956" s="229">
        <v>0</v>
      </c>
      <c r="J956" s="229">
        <v>-220</v>
      </c>
      <c r="K956" s="230">
        <v>220</v>
      </c>
      <c r="L956" s="229" t="s">
        <v>1865</v>
      </c>
      <c r="M956" s="229" t="s">
        <v>1871</v>
      </c>
      <c r="N956" s="229" t="s">
        <v>648</v>
      </c>
      <c r="O956" s="229" t="s">
        <v>261</v>
      </c>
      <c r="P956" s="231"/>
    </row>
    <row r="957" spans="1:16" x14ac:dyDescent="0.25">
      <c r="A957" s="227" t="s">
        <v>2797</v>
      </c>
      <c r="B957" s="228" t="s">
        <v>2798</v>
      </c>
      <c r="C957" s="228" t="s">
        <v>1215</v>
      </c>
      <c r="D957" s="228" t="s">
        <v>1222</v>
      </c>
      <c r="E957" s="229"/>
      <c r="F957" s="229" t="s">
        <v>141</v>
      </c>
      <c r="G957" s="229" t="s">
        <v>82</v>
      </c>
      <c r="H957" s="229"/>
      <c r="I957" s="229">
        <v>0</v>
      </c>
      <c r="J957" s="229">
        <v>0</v>
      </c>
      <c r="K957" s="230">
        <v>48400</v>
      </c>
      <c r="L957" s="229" t="s">
        <v>1865</v>
      </c>
      <c r="M957" s="229" t="s">
        <v>1871</v>
      </c>
      <c r="N957" s="229" t="s">
        <v>2790</v>
      </c>
      <c r="O957" s="229" t="s">
        <v>261</v>
      </c>
      <c r="P957" s="231"/>
    </row>
    <row r="958" spans="1:16" x14ac:dyDescent="0.25">
      <c r="A958" s="227" t="s">
        <v>2799</v>
      </c>
      <c r="B958" s="228" t="s">
        <v>2800</v>
      </c>
      <c r="C958" s="228" t="s">
        <v>1215</v>
      </c>
      <c r="D958" s="228" t="s">
        <v>1222</v>
      </c>
      <c r="E958" s="229"/>
      <c r="F958" s="229" t="s">
        <v>141</v>
      </c>
      <c r="G958" s="229" t="s">
        <v>82</v>
      </c>
      <c r="H958" s="229"/>
      <c r="I958" s="229">
        <v>0</v>
      </c>
      <c r="J958" s="229">
        <v>0</v>
      </c>
      <c r="K958" s="230">
        <v>48400</v>
      </c>
      <c r="L958" s="229" t="s">
        <v>1865</v>
      </c>
      <c r="M958" s="229" t="s">
        <v>1871</v>
      </c>
      <c r="N958" s="229" t="s">
        <v>2790</v>
      </c>
      <c r="O958" s="229" t="s">
        <v>261</v>
      </c>
      <c r="P958" s="231"/>
    </row>
    <row r="959" spans="1:16" x14ac:dyDescent="0.25">
      <c r="A959" s="227" t="s">
        <v>2700</v>
      </c>
      <c r="B959" s="228" t="s">
        <v>2701</v>
      </c>
      <c r="C959" s="228" t="s">
        <v>1215</v>
      </c>
      <c r="D959" s="228" t="s">
        <v>1222</v>
      </c>
      <c r="E959" s="229"/>
      <c r="F959" s="229" t="s">
        <v>136</v>
      </c>
      <c r="G959" s="229" t="s">
        <v>82</v>
      </c>
      <c r="H959" s="229"/>
      <c r="I959" s="229">
        <v>0</v>
      </c>
      <c r="J959" s="229">
        <v>2.5000000000000001E-2</v>
      </c>
      <c r="K959" s="230">
        <v>7.4999999999999997E-2</v>
      </c>
      <c r="L959" s="229" t="s">
        <v>1865</v>
      </c>
      <c r="M959" s="229"/>
      <c r="N959" s="229" t="s">
        <v>1486</v>
      </c>
      <c r="O959" s="229" t="s">
        <v>261</v>
      </c>
      <c r="P959" s="231"/>
    </row>
    <row r="960" spans="1:16" x14ac:dyDescent="0.25">
      <c r="A960" s="227" t="s">
        <v>2702</v>
      </c>
      <c r="B960" s="228" t="s">
        <v>2703</v>
      </c>
      <c r="C960" s="228" t="s">
        <v>1215</v>
      </c>
      <c r="D960" s="228" t="s">
        <v>1222</v>
      </c>
      <c r="E960" s="229"/>
      <c r="F960" s="229" t="s">
        <v>136</v>
      </c>
      <c r="G960" s="229" t="s">
        <v>82</v>
      </c>
      <c r="H960" s="229"/>
      <c r="I960" s="229">
        <v>0</v>
      </c>
      <c r="J960" s="229">
        <v>5.0000000000000001E-3</v>
      </c>
      <c r="K960" s="230">
        <v>0.12565000000000001</v>
      </c>
      <c r="L960" s="229" t="s">
        <v>1865</v>
      </c>
      <c r="M960" s="229"/>
      <c r="N960" s="229" t="s">
        <v>1265</v>
      </c>
      <c r="O960" s="229" t="s">
        <v>261</v>
      </c>
      <c r="P960" s="231"/>
    </row>
    <row r="961" spans="1:16" x14ac:dyDescent="0.25">
      <c r="A961" s="227" t="s">
        <v>2691</v>
      </c>
      <c r="B961" s="228" t="s">
        <v>2268</v>
      </c>
      <c r="C961" s="228" t="s">
        <v>1215</v>
      </c>
      <c r="D961" s="228" t="s">
        <v>1222</v>
      </c>
      <c r="E961" s="229"/>
      <c r="F961" s="229" t="s">
        <v>136</v>
      </c>
      <c r="G961" s="229" t="s">
        <v>82</v>
      </c>
      <c r="H961" s="229"/>
      <c r="I961" s="229">
        <v>0</v>
      </c>
      <c r="J961" s="229">
        <v>-8.8000000000000007</v>
      </c>
      <c r="K961" s="230">
        <v>8.8000000000000007</v>
      </c>
      <c r="L961" s="229" t="s">
        <v>1865</v>
      </c>
      <c r="M961" s="229"/>
      <c r="N961" s="229" t="s">
        <v>256</v>
      </c>
      <c r="O961" s="229" t="s">
        <v>261</v>
      </c>
      <c r="P961" s="231"/>
    </row>
    <row r="962" spans="1:16" x14ac:dyDescent="0.25">
      <c r="A962" s="227" t="s">
        <v>2740</v>
      </c>
      <c r="B962" s="228" t="s">
        <v>2801</v>
      </c>
      <c r="C962" s="228" t="s">
        <v>1215</v>
      </c>
      <c r="D962" s="228" t="s">
        <v>1222</v>
      </c>
      <c r="E962" s="229"/>
      <c r="F962" s="229" t="s">
        <v>136</v>
      </c>
      <c r="G962" s="229" t="s">
        <v>82</v>
      </c>
      <c r="H962" s="229"/>
      <c r="I962" s="229">
        <v>0</v>
      </c>
      <c r="J962" s="229">
        <v>3.0000000000000001E-5</v>
      </c>
      <c r="K962" s="230">
        <v>4.0999999999999999E-4</v>
      </c>
      <c r="L962" s="229" t="s">
        <v>1865</v>
      </c>
      <c r="M962" s="229"/>
      <c r="N962" s="229" t="s">
        <v>1270</v>
      </c>
      <c r="O962" s="229" t="s">
        <v>261</v>
      </c>
      <c r="P962" s="231"/>
    </row>
    <row r="963" spans="1:16" x14ac:dyDescent="0.25">
      <c r="A963" s="227" t="s">
        <v>2741</v>
      </c>
      <c r="B963" s="228" t="s">
        <v>2802</v>
      </c>
      <c r="C963" s="228" t="s">
        <v>1215</v>
      </c>
      <c r="D963" s="228" t="s">
        <v>1222</v>
      </c>
      <c r="E963" s="229"/>
      <c r="F963" s="229" t="s">
        <v>136</v>
      </c>
      <c r="G963" s="229" t="s">
        <v>82</v>
      </c>
      <c r="H963" s="229"/>
      <c r="I963" s="229">
        <v>0</v>
      </c>
      <c r="J963" s="229">
        <v>3.0000000000000001E-5</v>
      </c>
      <c r="K963" s="230">
        <v>4.0999999999999999E-4</v>
      </c>
      <c r="L963" s="229" t="s">
        <v>1865</v>
      </c>
      <c r="M963" s="229"/>
      <c r="N963" s="229" t="s">
        <v>1270</v>
      </c>
      <c r="O963" s="229" t="s">
        <v>261</v>
      </c>
      <c r="P963" s="231"/>
    </row>
    <row r="964" spans="1:16" x14ac:dyDescent="0.25">
      <c r="A964" s="227" t="s">
        <v>2706</v>
      </c>
      <c r="B964" s="228" t="s">
        <v>2707</v>
      </c>
      <c r="C964" s="228" t="s">
        <v>1215</v>
      </c>
      <c r="D964" s="228" t="s">
        <v>1222</v>
      </c>
      <c r="E964" s="229"/>
      <c r="F964" s="229" t="s">
        <v>136</v>
      </c>
      <c r="G964" s="229" t="s">
        <v>82</v>
      </c>
      <c r="H964" s="229"/>
      <c r="I964" s="229">
        <v>0</v>
      </c>
      <c r="J964" s="229">
        <v>-1118</v>
      </c>
      <c r="K964" s="230">
        <v>1118</v>
      </c>
      <c r="L964" s="229" t="s">
        <v>1865</v>
      </c>
      <c r="M964" s="229"/>
      <c r="N964" s="229" t="s">
        <v>263</v>
      </c>
      <c r="O964" s="229" t="s">
        <v>261</v>
      </c>
      <c r="P964" s="231"/>
    </row>
    <row r="965" spans="1:16" x14ac:dyDescent="0.25">
      <c r="A965" s="227" t="s">
        <v>2290</v>
      </c>
      <c r="B965" s="228" t="s">
        <v>2218</v>
      </c>
      <c r="C965" s="228" t="s">
        <v>1215</v>
      </c>
      <c r="D965" s="228" t="s">
        <v>1222</v>
      </c>
      <c r="E965" s="229"/>
      <c r="F965" s="229" t="s">
        <v>136</v>
      </c>
      <c r="G965" s="229" t="s">
        <v>82</v>
      </c>
      <c r="H965" s="229"/>
      <c r="I965" s="229">
        <v>0</v>
      </c>
      <c r="J965" s="229">
        <v>5</v>
      </c>
      <c r="K965" s="230">
        <v>31</v>
      </c>
      <c r="L965" s="229" t="s">
        <v>1865</v>
      </c>
      <c r="M965" s="229"/>
      <c r="N965" s="229" t="s">
        <v>654</v>
      </c>
      <c r="O965" s="229" t="s">
        <v>261</v>
      </c>
      <c r="P965" s="231"/>
    </row>
    <row r="966" spans="1:16" x14ac:dyDescent="0.25">
      <c r="A966" s="227" t="s">
        <v>1980</v>
      </c>
      <c r="B966" s="228" t="s">
        <v>1876</v>
      </c>
      <c r="C966" s="228" t="s">
        <v>1215</v>
      </c>
      <c r="D966" s="228" t="s">
        <v>1222</v>
      </c>
      <c r="E966" s="229"/>
      <c r="F966" s="229" t="s">
        <v>136</v>
      </c>
      <c r="G966" s="229" t="s">
        <v>82</v>
      </c>
      <c r="H966" s="229"/>
      <c r="I966" s="229">
        <v>0</v>
      </c>
      <c r="J966" s="229">
        <v>0</v>
      </c>
      <c r="K966" s="230">
        <v>512</v>
      </c>
      <c r="L966" s="229" t="s">
        <v>1865</v>
      </c>
      <c r="M966" s="229"/>
      <c r="N966" s="229" t="s">
        <v>311</v>
      </c>
      <c r="O966" s="229" t="s">
        <v>261</v>
      </c>
      <c r="P966" s="231"/>
    </row>
    <row r="967" spans="1:16" x14ac:dyDescent="0.25">
      <c r="A967" s="227" t="s">
        <v>2736</v>
      </c>
      <c r="B967" s="228" t="s">
        <v>2708</v>
      </c>
      <c r="C967" s="228" t="s">
        <v>1215</v>
      </c>
      <c r="D967" s="228" t="s">
        <v>1222</v>
      </c>
      <c r="E967" s="229"/>
      <c r="F967" s="229" t="s">
        <v>138</v>
      </c>
      <c r="G967" s="229" t="s">
        <v>82</v>
      </c>
      <c r="H967" s="229"/>
      <c r="I967" s="229">
        <v>0</v>
      </c>
      <c r="J967" s="229">
        <v>-220</v>
      </c>
      <c r="K967" s="230">
        <v>220</v>
      </c>
      <c r="L967" s="229" t="s">
        <v>1865</v>
      </c>
      <c r="M967" s="229">
        <v>7.8125E-3</v>
      </c>
      <c r="N967" s="229" t="s">
        <v>648</v>
      </c>
      <c r="O967" s="229" t="s">
        <v>261</v>
      </c>
      <c r="P967" s="231"/>
    </row>
    <row r="968" spans="1:16" x14ac:dyDescent="0.25">
      <c r="A968" s="227" t="s">
        <v>2758</v>
      </c>
      <c r="B968" s="228" t="s">
        <v>2710</v>
      </c>
      <c r="C968" s="228" t="s">
        <v>1215</v>
      </c>
      <c r="D968" s="228" t="s">
        <v>1222</v>
      </c>
      <c r="E968" s="229"/>
      <c r="F968" s="229" t="s">
        <v>138</v>
      </c>
      <c r="G968" s="229" t="s">
        <v>82</v>
      </c>
      <c r="H968" s="229"/>
      <c r="I968" s="229">
        <v>0</v>
      </c>
      <c r="J968" s="229">
        <v>-220</v>
      </c>
      <c r="K968" s="230">
        <v>220</v>
      </c>
      <c r="L968" s="229" t="s">
        <v>1865</v>
      </c>
      <c r="M968" s="229">
        <v>7.8125E-3</v>
      </c>
      <c r="N968" s="229" t="s">
        <v>648</v>
      </c>
      <c r="O968" s="229" t="s">
        <v>261</v>
      </c>
      <c r="P968" s="231"/>
    </row>
    <row r="969" spans="1:16" x14ac:dyDescent="0.25">
      <c r="A969" s="227" t="s">
        <v>2711</v>
      </c>
      <c r="B969" s="228" t="s">
        <v>2712</v>
      </c>
      <c r="C969" s="228" t="s">
        <v>1215</v>
      </c>
      <c r="D969" s="228" t="s">
        <v>1222</v>
      </c>
      <c r="E969" s="229"/>
      <c r="F969" s="229" t="s">
        <v>138</v>
      </c>
      <c r="G969" s="229" t="s">
        <v>82</v>
      </c>
      <c r="H969" s="229"/>
      <c r="I969" s="229">
        <v>0</v>
      </c>
      <c r="J969" s="229">
        <v>-31</v>
      </c>
      <c r="K969" s="230">
        <v>31</v>
      </c>
      <c r="L969" s="229" t="s">
        <v>1865</v>
      </c>
      <c r="M969" s="229">
        <v>4.8828125E-4</v>
      </c>
      <c r="N969" s="229" t="s">
        <v>599</v>
      </c>
      <c r="O969" s="229" t="s">
        <v>261</v>
      </c>
      <c r="P969" s="231"/>
    </row>
    <row r="970" spans="1:16" x14ac:dyDescent="0.25">
      <c r="A970" s="227" t="s">
        <v>2713</v>
      </c>
      <c r="B970" s="228" t="s">
        <v>2714</v>
      </c>
      <c r="C970" s="228" t="s">
        <v>1215</v>
      </c>
      <c r="D970" s="228" t="s">
        <v>1222</v>
      </c>
      <c r="E970" s="229"/>
      <c r="F970" s="229" t="s">
        <v>138</v>
      </c>
      <c r="G970" s="229" t="s">
        <v>82</v>
      </c>
      <c r="H970" s="229"/>
      <c r="I970" s="229">
        <v>0</v>
      </c>
      <c r="J970" s="229">
        <v>-31</v>
      </c>
      <c r="K970" s="230">
        <v>31</v>
      </c>
      <c r="L970" s="229" t="s">
        <v>1865</v>
      </c>
      <c r="M970" s="229">
        <v>4.8828125E-4</v>
      </c>
      <c r="N970" s="229" t="s">
        <v>599</v>
      </c>
      <c r="O970" s="229" t="s">
        <v>261</v>
      </c>
      <c r="P970" s="231"/>
    </row>
    <row r="971" spans="1:16" x14ac:dyDescent="0.25">
      <c r="A971" s="227" t="s">
        <v>2249</v>
      </c>
      <c r="B971" s="228" t="s">
        <v>2250</v>
      </c>
      <c r="C971" s="228" t="s">
        <v>1215</v>
      </c>
      <c r="D971" s="228" t="s">
        <v>1222</v>
      </c>
      <c r="E971" s="229"/>
      <c r="F971" s="229" t="s">
        <v>138</v>
      </c>
      <c r="G971" s="229" t="s">
        <v>82</v>
      </c>
      <c r="H971" s="229"/>
      <c r="I971" s="229">
        <v>0</v>
      </c>
      <c r="J971" s="229">
        <v>0</v>
      </c>
      <c r="K971" s="230">
        <v>1</v>
      </c>
      <c r="L971" s="229" t="s">
        <v>1865</v>
      </c>
      <c r="M971" s="229">
        <v>3.0517578125E-5</v>
      </c>
      <c r="N971" s="229" t="s">
        <v>1353</v>
      </c>
      <c r="O971" s="229" t="s">
        <v>261</v>
      </c>
      <c r="P971" s="231"/>
    </row>
    <row r="972" spans="1:16" x14ac:dyDescent="0.25">
      <c r="A972" s="227" t="s">
        <v>2715</v>
      </c>
      <c r="B972" s="228" t="s">
        <v>2716</v>
      </c>
      <c r="C972" s="228" t="s">
        <v>1215</v>
      </c>
      <c r="D972" s="228" t="s">
        <v>1222</v>
      </c>
      <c r="E972" s="229"/>
      <c r="F972" s="229" t="s">
        <v>138</v>
      </c>
      <c r="G972" s="229" t="s">
        <v>82</v>
      </c>
      <c r="H972" s="229"/>
      <c r="I972" s="229">
        <v>0</v>
      </c>
      <c r="J972" s="229">
        <v>0</v>
      </c>
      <c r="K972" s="230">
        <v>2</v>
      </c>
      <c r="L972" s="229" t="s">
        <v>1865</v>
      </c>
      <c r="M972" s="229">
        <v>6.103515625E-5</v>
      </c>
      <c r="N972" s="229" t="s">
        <v>260</v>
      </c>
      <c r="O972" s="229" t="s">
        <v>261</v>
      </c>
      <c r="P972" s="231"/>
    </row>
    <row r="973" spans="1:16" x14ac:dyDescent="0.25">
      <c r="A973" s="227" t="s">
        <v>2717</v>
      </c>
      <c r="B973" s="228" t="s">
        <v>2718</v>
      </c>
      <c r="C973" s="228" t="s">
        <v>1215</v>
      </c>
      <c r="D973" s="228" t="s">
        <v>1222</v>
      </c>
      <c r="E973" s="229"/>
      <c r="F973" s="229" t="s">
        <v>138</v>
      </c>
      <c r="G973" s="229" t="s">
        <v>82</v>
      </c>
      <c r="H973" s="229"/>
      <c r="I973" s="229">
        <v>0</v>
      </c>
      <c r="J973" s="229">
        <v>0</v>
      </c>
      <c r="K973" s="230">
        <v>1024</v>
      </c>
      <c r="L973" s="229" t="s">
        <v>1865</v>
      </c>
      <c r="M973" s="229">
        <v>1.5625E-2</v>
      </c>
      <c r="N973" s="229" t="s">
        <v>260</v>
      </c>
      <c r="O973" s="229" t="s">
        <v>261</v>
      </c>
      <c r="P973" s="231"/>
    </row>
    <row r="974" spans="1:16" x14ac:dyDescent="0.25">
      <c r="A974" s="227" t="s">
        <v>2719</v>
      </c>
      <c r="B974" s="228" t="s">
        <v>2720</v>
      </c>
      <c r="C974" s="228" t="s">
        <v>1215</v>
      </c>
      <c r="D974" s="228" t="s">
        <v>1222</v>
      </c>
      <c r="E974" s="229"/>
      <c r="F974" s="229" t="s">
        <v>138</v>
      </c>
      <c r="G974" s="229" t="s">
        <v>82</v>
      </c>
      <c r="H974" s="229"/>
      <c r="I974" s="229">
        <v>0</v>
      </c>
      <c r="J974" s="229">
        <v>0</v>
      </c>
      <c r="K974" s="230">
        <v>2</v>
      </c>
      <c r="L974" s="229" t="s">
        <v>1865</v>
      </c>
      <c r="M974" s="229">
        <v>6.103515625E-5</v>
      </c>
      <c r="N974" s="229" t="s">
        <v>260</v>
      </c>
      <c r="O974" s="229" t="s">
        <v>261</v>
      </c>
      <c r="P974" s="231"/>
    </row>
    <row r="975" spans="1:16" x14ac:dyDescent="0.25">
      <c r="A975" s="227" t="s">
        <v>2721</v>
      </c>
      <c r="B975" s="228" t="s">
        <v>2722</v>
      </c>
      <c r="C975" s="228" t="s">
        <v>1215</v>
      </c>
      <c r="D975" s="228" t="s">
        <v>1222</v>
      </c>
      <c r="E975" s="229"/>
      <c r="F975" s="229" t="s">
        <v>138</v>
      </c>
      <c r="G975" s="229" t="s">
        <v>82</v>
      </c>
      <c r="H975" s="229"/>
      <c r="I975" s="229">
        <v>0</v>
      </c>
      <c r="J975" s="229">
        <v>0</v>
      </c>
      <c r="K975" s="230">
        <v>1024</v>
      </c>
      <c r="L975" s="229" t="s">
        <v>1865</v>
      </c>
      <c r="M975" s="229">
        <v>1.5625E-2</v>
      </c>
      <c r="N975" s="229" t="s">
        <v>260</v>
      </c>
      <c r="O975" s="229" t="s">
        <v>261</v>
      </c>
      <c r="P975" s="231"/>
    </row>
    <row r="976" spans="1:16" x14ac:dyDescent="0.25">
      <c r="A976" s="227" t="s">
        <v>2723</v>
      </c>
      <c r="B976" s="228" t="s">
        <v>2724</v>
      </c>
      <c r="C976" s="228" t="s">
        <v>1215</v>
      </c>
      <c r="D976" s="228" t="s">
        <v>1222</v>
      </c>
      <c r="E976" s="229"/>
      <c r="F976" s="229" t="s">
        <v>138</v>
      </c>
      <c r="G976" s="229" t="s">
        <v>82</v>
      </c>
      <c r="H976" s="229"/>
      <c r="I976" s="229">
        <v>0</v>
      </c>
      <c r="J976" s="229">
        <v>-180</v>
      </c>
      <c r="K976" s="230">
        <v>180</v>
      </c>
      <c r="L976" s="229" t="s">
        <v>1865</v>
      </c>
      <c r="M976" s="229">
        <v>7.8125E-3</v>
      </c>
      <c r="N976" s="229" t="s">
        <v>2725</v>
      </c>
      <c r="O976" s="229" t="s">
        <v>261</v>
      </c>
      <c r="P976" s="231"/>
    </row>
    <row r="977" spans="1:16" x14ac:dyDescent="0.25">
      <c r="A977" s="227" t="s">
        <v>2726</v>
      </c>
      <c r="B977" s="228"/>
      <c r="C977" s="228" t="s">
        <v>1215</v>
      </c>
      <c r="D977" s="228" t="s">
        <v>1222</v>
      </c>
      <c r="E977" s="229"/>
      <c r="F977" s="229" t="s">
        <v>139</v>
      </c>
      <c r="G977" s="229" t="s">
        <v>82</v>
      </c>
      <c r="H977" s="229"/>
      <c r="I977" s="229">
        <v>0</v>
      </c>
      <c r="J977" s="229">
        <v>-1118</v>
      </c>
      <c r="K977" s="230">
        <v>1118</v>
      </c>
      <c r="L977" s="229">
        <v>9.5367431640625E-7</v>
      </c>
      <c r="M977" s="229">
        <v>6.25E-2</v>
      </c>
      <c r="N977" s="229" t="s">
        <v>263</v>
      </c>
      <c r="O977" s="229" t="s">
        <v>2382</v>
      </c>
      <c r="P977" s="231"/>
    </row>
    <row r="978" spans="1:16" x14ac:dyDescent="0.25">
      <c r="A978" s="227" t="s">
        <v>2727</v>
      </c>
      <c r="B978" s="228"/>
      <c r="C978" s="228" t="s">
        <v>1215</v>
      </c>
      <c r="D978" s="228" t="s">
        <v>1222</v>
      </c>
      <c r="E978" s="229"/>
      <c r="F978" s="229" t="s">
        <v>139</v>
      </c>
      <c r="G978" s="229" t="s">
        <v>82</v>
      </c>
      <c r="H978" s="229"/>
      <c r="I978" s="229">
        <v>0</v>
      </c>
      <c r="J978" s="229">
        <v>-1118</v>
      </c>
      <c r="K978" s="230">
        <v>1118</v>
      </c>
      <c r="L978" s="229">
        <v>9.5367431640625E-7</v>
      </c>
      <c r="M978" s="229">
        <v>6.25E-2</v>
      </c>
      <c r="N978" s="229" t="s">
        <v>263</v>
      </c>
      <c r="O978" s="229" t="s">
        <v>2382</v>
      </c>
      <c r="P978" s="231"/>
    </row>
    <row r="979" spans="1:16" x14ac:dyDescent="0.25">
      <c r="A979" s="227" t="s">
        <v>2700</v>
      </c>
      <c r="B979" s="228" t="s">
        <v>2701</v>
      </c>
      <c r="C979" s="228" t="s">
        <v>1215</v>
      </c>
      <c r="D979" s="228" t="s">
        <v>1222</v>
      </c>
      <c r="E979" s="229"/>
      <c r="F979" s="229" t="s">
        <v>136</v>
      </c>
      <c r="G979" s="229" t="s">
        <v>82</v>
      </c>
      <c r="H979" s="229"/>
      <c r="I979" s="229">
        <v>0</v>
      </c>
      <c r="J979" s="229">
        <v>2.5000000000000001E-2</v>
      </c>
      <c r="K979" s="230">
        <v>7.4999999999999997E-2</v>
      </c>
      <c r="L979" s="229" t="s">
        <v>1865</v>
      </c>
      <c r="M979" s="229"/>
      <c r="N979" s="229" t="s">
        <v>1486</v>
      </c>
      <c r="O979" s="229" t="s">
        <v>261</v>
      </c>
      <c r="P979" s="231"/>
    </row>
    <row r="980" spans="1:16" x14ac:dyDescent="0.25">
      <c r="A980" s="227" t="s">
        <v>2706</v>
      </c>
      <c r="B980" s="228" t="s">
        <v>2707</v>
      </c>
      <c r="C980" s="228" t="s">
        <v>1215</v>
      </c>
      <c r="D980" s="228" t="s">
        <v>1222</v>
      </c>
      <c r="E980" s="229"/>
      <c r="F980" s="229" t="s">
        <v>136</v>
      </c>
      <c r="G980" s="229" t="s">
        <v>82</v>
      </c>
      <c r="H980" s="229"/>
      <c r="I980" s="229">
        <v>0</v>
      </c>
      <c r="J980" s="229">
        <v>-1118</v>
      </c>
      <c r="K980" s="230">
        <v>1118</v>
      </c>
      <c r="L980" s="229" t="s">
        <v>1865</v>
      </c>
      <c r="M980" s="229"/>
      <c r="N980" s="229" t="s">
        <v>263</v>
      </c>
      <c r="O980" s="229" t="s">
        <v>261</v>
      </c>
      <c r="P980" s="231"/>
    </row>
    <row r="981" spans="1:16" x14ac:dyDescent="0.25">
      <c r="A981" s="227" t="s">
        <v>2736</v>
      </c>
      <c r="B981" s="228" t="s">
        <v>2708</v>
      </c>
      <c r="C981" s="228" t="s">
        <v>1215</v>
      </c>
      <c r="D981" s="228" t="s">
        <v>1222</v>
      </c>
      <c r="E981" s="229"/>
      <c r="F981" s="229" t="s">
        <v>136</v>
      </c>
      <c r="G981" s="229" t="s">
        <v>82</v>
      </c>
      <c r="H981" s="229"/>
      <c r="I981" s="229">
        <v>0</v>
      </c>
      <c r="J981" s="229">
        <v>-220</v>
      </c>
      <c r="K981" s="230">
        <v>220</v>
      </c>
      <c r="L981" s="229" t="s">
        <v>1865</v>
      </c>
      <c r="M981" s="229"/>
      <c r="N981" s="229" t="s">
        <v>648</v>
      </c>
      <c r="O981" s="229" t="s">
        <v>261</v>
      </c>
      <c r="P981" s="231"/>
    </row>
    <row r="982" spans="1:16" x14ac:dyDescent="0.25">
      <c r="A982" s="227" t="s">
        <v>2758</v>
      </c>
      <c r="B982" s="228" t="s">
        <v>2710</v>
      </c>
      <c r="C982" s="228" t="s">
        <v>1215</v>
      </c>
      <c r="D982" s="228" t="s">
        <v>1222</v>
      </c>
      <c r="E982" s="229"/>
      <c r="F982" s="229" t="s">
        <v>136</v>
      </c>
      <c r="G982" s="229" t="s">
        <v>82</v>
      </c>
      <c r="H982" s="229"/>
      <c r="I982" s="229">
        <v>0</v>
      </c>
      <c r="J982" s="229">
        <v>-220</v>
      </c>
      <c r="K982" s="230">
        <v>220</v>
      </c>
      <c r="L982" s="229" t="s">
        <v>1865</v>
      </c>
      <c r="M982" s="229"/>
      <c r="N982" s="229" t="s">
        <v>648</v>
      </c>
      <c r="O982" s="229" t="s">
        <v>261</v>
      </c>
      <c r="P982" s="231"/>
    </row>
    <row r="983" spans="1:16" x14ac:dyDescent="0.25">
      <c r="A983" s="227" t="s">
        <v>3509</v>
      </c>
      <c r="B983" s="228" t="s">
        <v>2803</v>
      </c>
      <c r="C983" s="228" t="s">
        <v>1215</v>
      </c>
      <c r="D983" s="228" t="s">
        <v>1222</v>
      </c>
      <c r="E983" s="229"/>
      <c r="F983" s="229" t="s">
        <v>139</v>
      </c>
      <c r="G983" s="229" t="s">
        <v>82</v>
      </c>
      <c r="H983" s="229"/>
      <c r="I983" s="229">
        <v>0</v>
      </c>
      <c r="J983" s="229">
        <v>-220</v>
      </c>
      <c r="K983" s="230">
        <v>220</v>
      </c>
      <c r="L983" s="229" t="s">
        <v>1865</v>
      </c>
      <c r="M983" s="229">
        <v>7.8125E-3</v>
      </c>
      <c r="N983" s="229" t="s">
        <v>648</v>
      </c>
      <c r="O983" s="229" t="s">
        <v>261</v>
      </c>
      <c r="P983" s="231"/>
    </row>
    <row r="984" spans="1:16" x14ac:dyDescent="0.25">
      <c r="A984" s="227" t="s">
        <v>3510</v>
      </c>
      <c r="B984" s="228" t="s">
        <v>3511</v>
      </c>
      <c r="C984" s="228" t="s">
        <v>1215</v>
      </c>
      <c r="D984" s="228" t="s">
        <v>1222</v>
      </c>
      <c r="E984" s="229"/>
      <c r="F984" s="229" t="s">
        <v>139</v>
      </c>
      <c r="G984" s="229" t="s">
        <v>82</v>
      </c>
      <c r="H984" s="229"/>
      <c r="I984" s="229">
        <v>0</v>
      </c>
      <c r="J984" s="229">
        <v>-220</v>
      </c>
      <c r="K984" s="230">
        <v>220</v>
      </c>
      <c r="L984" s="229" t="s">
        <v>1865</v>
      </c>
      <c r="M984" s="229">
        <v>7.8125E-3</v>
      </c>
      <c r="N984" s="229" t="s">
        <v>648</v>
      </c>
      <c r="O984" s="229" t="s">
        <v>261</v>
      </c>
      <c r="P984" s="231"/>
    </row>
    <row r="985" spans="1:16" x14ac:dyDescent="0.25">
      <c r="A985" s="227" t="s">
        <v>3512</v>
      </c>
      <c r="B985" s="228" t="s">
        <v>2804</v>
      </c>
      <c r="C985" s="228" t="s">
        <v>1215</v>
      </c>
      <c r="D985" s="228" t="s">
        <v>1222</v>
      </c>
      <c r="E985" s="229"/>
      <c r="F985" s="229" t="s">
        <v>139</v>
      </c>
      <c r="G985" s="229" t="s">
        <v>82</v>
      </c>
      <c r="H985" s="229"/>
      <c r="I985" s="229">
        <v>0</v>
      </c>
      <c r="J985" s="229">
        <v>-6.29</v>
      </c>
      <c r="K985" s="230">
        <v>6.29</v>
      </c>
      <c r="L985" s="229" t="s">
        <v>1865</v>
      </c>
      <c r="M985" s="229">
        <v>7.8125E-3</v>
      </c>
      <c r="N985" s="229" t="s">
        <v>648</v>
      </c>
      <c r="O985" s="229" t="s">
        <v>261</v>
      </c>
      <c r="P985" s="231"/>
    </row>
    <row r="986" spans="1:16" x14ac:dyDescent="0.25">
      <c r="A986" s="227" t="s">
        <v>3513</v>
      </c>
      <c r="B986" s="228" t="s">
        <v>2805</v>
      </c>
      <c r="C986" s="228" t="s">
        <v>1215</v>
      </c>
      <c r="D986" s="228" t="s">
        <v>1222</v>
      </c>
      <c r="E986" s="229"/>
      <c r="F986" s="229" t="s">
        <v>139</v>
      </c>
      <c r="G986" s="229" t="s">
        <v>82</v>
      </c>
      <c r="H986" s="229"/>
      <c r="I986" s="229">
        <v>0</v>
      </c>
      <c r="J986" s="229">
        <v>-6.29</v>
      </c>
      <c r="K986" s="230">
        <v>6.29</v>
      </c>
      <c r="L986" s="229" t="s">
        <v>1865</v>
      </c>
      <c r="M986" s="229">
        <v>7.8125E-3</v>
      </c>
      <c r="N986" s="229" t="s">
        <v>648</v>
      </c>
      <c r="O986" s="229" t="s">
        <v>261</v>
      </c>
      <c r="P986" s="231"/>
    </row>
    <row r="987" spans="1:16" ht="26.4" x14ac:dyDescent="0.25">
      <c r="A987" s="227" t="s">
        <v>2697</v>
      </c>
      <c r="B987" s="228" t="s">
        <v>2806</v>
      </c>
      <c r="C987" s="228" t="s">
        <v>1215</v>
      </c>
      <c r="D987" s="228"/>
      <c r="E987" s="229" t="s">
        <v>2807</v>
      </c>
      <c r="F987" s="229" t="s">
        <v>136</v>
      </c>
      <c r="G987" s="229" t="s">
        <v>82</v>
      </c>
      <c r="H987" s="229"/>
      <c r="I987" s="229">
        <v>0</v>
      </c>
      <c r="J987" s="229">
        <v>-8.8000000000000007</v>
      </c>
      <c r="K987" s="230">
        <v>8.8000000000000007</v>
      </c>
      <c r="L987" s="229">
        <v>3.90625E-3</v>
      </c>
      <c r="M987" s="229"/>
      <c r="N987" s="229" t="s">
        <v>256</v>
      </c>
      <c r="O987" s="229" t="s">
        <v>261</v>
      </c>
      <c r="P987" s="231"/>
    </row>
    <row r="988" spans="1:16" ht="26.4" x14ac:dyDescent="0.25">
      <c r="A988" s="227" t="s">
        <v>2808</v>
      </c>
      <c r="B988" s="228" t="s">
        <v>2809</v>
      </c>
      <c r="C988" s="228" t="s">
        <v>1215</v>
      </c>
      <c r="D988" s="228"/>
      <c r="E988" s="229" t="s">
        <v>2810</v>
      </c>
      <c r="F988" s="229" t="s">
        <v>136</v>
      </c>
      <c r="G988" s="229" t="s">
        <v>82</v>
      </c>
      <c r="H988" s="229"/>
      <c r="I988" s="229">
        <v>0</v>
      </c>
      <c r="J988" s="229">
        <v>-11797200</v>
      </c>
      <c r="K988" s="230">
        <v>11797200</v>
      </c>
      <c r="L988" s="229" t="s">
        <v>1865</v>
      </c>
      <c r="M988" s="229"/>
      <c r="N988" s="229" t="s">
        <v>2811</v>
      </c>
      <c r="O988" s="229" t="s">
        <v>261</v>
      </c>
      <c r="P988" s="231"/>
    </row>
    <row r="989" spans="1:16" ht="26.4" x14ac:dyDescent="0.25">
      <c r="A989" s="227" t="s">
        <v>2812</v>
      </c>
      <c r="B989" s="228" t="s">
        <v>2813</v>
      </c>
      <c r="C989" s="228" t="s">
        <v>1215</v>
      </c>
      <c r="D989" s="228" t="s">
        <v>219</v>
      </c>
      <c r="E989" s="229" t="s">
        <v>2813</v>
      </c>
      <c r="F989" s="229" t="s">
        <v>138</v>
      </c>
      <c r="G989" s="229" t="s">
        <v>82</v>
      </c>
      <c r="H989" s="229"/>
      <c r="I989" s="229">
        <v>0</v>
      </c>
      <c r="J989" s="229">
        <v>-1</v>
      </c>
      <c r="K989" s="230">
        <v>1</v>
      </c>
      <c r="L989" s="229">
        <v>1</v>
      </c>
      <c r="M989" s="229">
        <v>0</v>
      </c>
      <c r="N989" s="229" t="s">
        <v>1668</v>
      </c>
      <c r="O989" s="229" t="s">
        <v>2265</v>
      </c>
      <c r="P989" s="231"/>
    </row>
    <row r="990" spans="1:16" x14ac:dyDescent="0.25">
      <c r="A990" s="227" t="s">
        <v>2814</v>
      </c>
      <c r="B990" s="228" t="s">
        <v>2815</v>
      </c>
      <c r="C990" s="228" t="s">
        <v>1215</v>
      </c>
      <c r="D990" s="228" t="s">
        <v>219</v>
      </c>
      <c r="E990" s="229" t="s">
        <v>2816</v>
      </c>
      <c r="F990" s="229" t="s">
        <v>138</v>
      </c>
      <c r="G990" s="229" t="s">
        <v>82</v>
      </c>
      <c r="H990" s="229"/>
      <c r="I990" s="229">
        <v>1</v>
      </c>
      <c r="J990" s="229">
        <v>1</v>
      </c>
      <c r="K990" s="230">
        <v>4</v>
      </c>
      <c r="L990" s="229">
        <v>1</v>
      </c>
      <c r="M990" s="229">
        <v>0</v>
      </c>
      <c r="N990" s="229" t="s">
        <v>1668</v>
      </c>
      <c r="O990" s="229" t="s">
        <v>1003</v>
      </c>
      <c r="P990" s="231"/>
    </row>
    <row r="991" spans="1:16" ht="26.4" x14ac:dyDescent="0.25">
      <c r="A991" s="227" t="s">
        <v>2817</v>
      </c>
      <c r="B991" s="228" t="s">
        <v>2818</v>
      </c>
      <c r="C991" s="228" t="s">
        <v>1215</v>
      </c>
      <c r="D991" s="228" t="s">
        <v>219</v>
      </c>
      <c r="E991" s="229" t="s">
        <v>2818</v>
      </c>
      <c r="F991" s="229" t="s">
        <v>141</v>
      </c>
      <c r="G991" s="229" t="s">
        <v>82</v>
      </c>
      <c r="H991" s="229"/>
      <c r="I991" s="229">
        <v>0</v>
      </c>
      <c r="J991" s="229">
        <v>-1</v>
      </c>
      <c r="K991" s="230">
        <v>1</v>
      </c>
      <c r="L991" s="229">
        <v>1</v>
      </c>
      <c r="M991" s="229">
        <v>0</v>
      </c>
      <c r="N991" s="229" t="s">
        <v>1668</v>
      </c>
      <c r="O991" s="229" t="s">
        <v>2265</v>
      </c>
      <c r="P991" s="231"/>
    </row>
    <row r="992" spans="1:16" ht="26.4" x14ac:dyDescent="0.25">
      <c r="A992" s="227" t="s">
        <v>2819</v>
      </c>
      <c r="B992" s="228" t="s">
        <v>2820</v>
      </c>
      <c r="C992" s="228" t="s">
        <v>1215</v>
      </c>
      <c r="D992" s="228" t="s">
        <v>219</v>
      </c>
      <c r="E992" s="229" t="s">
        <v>2821</v>
      </c>
      <c r="F992" s="229" t="s">
        <v>139</v>
      </c>
      <c r="G992" s="229" t="s">
        <v>82</v>
      </c>
      <c r="H992" s="229"/>
      <c r="I992" s="229">
        <v>0</v>
      </c>
      <c r="J992" s="229">
        <v>-11797200</v>
      </c>
      <c r="K992" s="230">
        <v>11797200</v>
      </c>
      <c r="L992" s="229" t="s">
        <v>1865</v>
      </c>
      <c r="M992" s="229" t="s">
        <v>1871</v>
      </c>
      <c r="N992" s="229" t="s">
        <v>2811</v>
      </c>
      <c r="O992" s="229" t="s">
        <v>261</v>
      </c>
      <c r="P992" s="231"/>
    </row>
    <row r="993" spans="1:16" ht="26.4" x14ac:dyDescent="0.25">
      <c r="A993" s="227" t="s">
        <v>2822</v>
      </c>
      <c r="B993" s="228" t="s">
        <v>2823</v>
      </c>
      <c r="C993" s="228" t="s">
        <v>1215</v>
      </c>
      <c r="D993" s="228" t="s">
        <v>219</v>
      </c>
      <c r="E993" s="229" t="s">
        <v>2823</v>
      </c>
      <c r="F993" s="229" t="s">
        <v>139</v>
      </c>
      <c r="G993" s="229" t="s">
        <v>82</v>
      </c>
      <c r="H993" s="229"/>
      <c r="I993" s="229">
        <v>0</v>
      </c>
      <c r="J993" s="229">
        <v>-1</v>
      </c>
      <c r="K993" s="230">
        <v>1</v>
      </c>
      <c r="L993" s="229">
        <v>1</v>
      </c>
      <c r="M993" s="229">
        <v>0</v>
      </c>
      <c r="N993" s="229" t="s">
        <v>1668</v>
      </c>
      <c r="O993" s="229" t="s">
        <v>2265</v>
      </c>
      <c r="P993" s="231"/>
    </row>
    <row r="994" spans="1:16" x14ac:dyDescent="0.25">
      <c r="A994" s="227" t="s">
        <v>2824</v>
      </c>
      <c r="B994" s="228" t="s">
        <v>2825</v>
      </c>
      <c r="C994" s="228" t="s">
        <v>1215</v>
      </c>
      <c r="D994" s="228" t="s">
        <v>219</v>
      </c>
      <c r="E994" s="229"/>
      <c r="F994" s="229" t="s">
        <v>138</v>
      </c>
      <c r="G994" s="229" t="s">
        <v>82</v>
      </c>
      <c r="H994" s="229"/>
      <c r="I994" s="229">
        <v>0</v>
      </c>
      <c r="J994" s="229">
        <v>-31</v>
      </c>
      <c r="K994" s="230">
        <v>31</v>
      </c>
      <c r="L994" s="229" t="s">
        <v>1865</v>
      </c>
      <c r="M994" s="229" t="s">
        <v>1871</v>
      </c>
      <c r="N994" s="229" t="s">
        <v>654</v>
      </c>
      <c r="O994" s="229" t="s">
        <v>261</v>
      </c>
      <c r="P994" s="231"/>
    </row>
    <row r="995" spans="1:16" x14ac:dyDescent="0.25">
      <c r="A995" s="227" t="s">
        <v>2826</v>
      </c>
      <c r="B995" s="228" t="s">
        <v>2827</v>
      </c>
      <c r="C995" s="228" t="s">
        <v>1215</v>
      </c>
      <c r="D995" s="228" t="s">
        <v>219</v>
      </c>
      <c r="E995" s="229"/>
      <c r="F995" s="229" t="s">
        <v>138</v>
      </c>
      <c r="G995" s="229" t="s">
        <v>82</v>
      </c>
      <c r="H995" s="229"/>
      <c r="I995" s="229">
        <v>0</v>
      </c>
      <c r="J995" s="229">
        <v>0</v>
      </c>
      <c r="K995" s="230">
        <v>31</v>
      </c>
      <c r="L995" s="229" t="s">
        <v>1865</v>
      </c>
      <c r="M995" s="229" t="s">
        <v>1871</v>
      </c>
      <c r="N995" s="229" t="s">
        <v>654</v>
      </c>
      <c r="O995" s="229" t="s">
        <v>261</v>
      </c>
      <c r="P995" s="231"/>
    </row>
    <row r="996" spans="1:16" x14ac:dyDescent="0.25">
      <c r="A996" s="227" t="s">
        <v>2828</v>
      </c>
      <c r="B996" s="228" t="s">
        <v>2829</v>
      </c>
      <c r="C996" s="228" t="s">
        <v>1215</v>
      </c>
      <c r="D996" s="228" t="s">
        <v>219</v>
      </c>
      <c r="E996" s="229"/>
      <c r="F996" s="229" t="s">
        <v>136</v>
      </c>
      <c r="G996" s="229" t="s">
        <v>82</v>
      </c>
      <c r="H996" s="229"/>
      <c r="I996" s="229">
        <v>0</v>
      </c>
      <c r="J996" s="229">
        <v>-220</v>
      </c>
      <c r="K996" s="230">
        <v>220</v>
      </c>
      <c r="L996" s="229" t="s">
        <v>1865</v>
      </c>
      <c r="M996" s="229"/>
      <c r="N996" s="229" t="s">
        <v>648</v>
      </c>
      <c r="O996" s="229" t="s">
        <v>261</v>
      </c>
      <c r="P996" s="231"/>
    </row>
    <row r="997" spans="1:16" x14ac:dyDescent="0.25">
      <c r="A997" s="227" t="s">
        <v>2830</v>
      </c>
      <c r="B997" s="228" t="s">
        <v>2831</v>
      </c>
      <c r="C997" s="228" t="s">
        <v>1215</v>
      </c>
      <c r="D997" s="228" t="s">
        <v>219</v>
      </c>
      <c r="E997" s="229"/>
      <c r="F997" s="229" t="s">
        <v>136</v>
      </c>
      <c r="G997" s="229" t="s">
        <v>82</v>
      </c>
      <c r="H997" s="229"/>
      <c r="I997" s="229">
        <v>0</v>
      </c>
      <c r="J997" s="229">
        <v>-31</v>
      </c>
      <c r="K997" s="230">
        <v>31</v>
      </c>
      <c r="L997" s="229" t="s">
        <v>1865</v>
      </c>
      <c r="M997" s="229"/>
      <c r="N997" s="229" t="s">
        <v>654</v>
      </c>
      <c r="O997" s="229" t="s">
        <v>261</v>
      </c>
      <c r="P997" s="231"/>
    </row>
    <row r="998" spans="1:16" x14ac:dyDescent="0.25">
      <c r="A998" s="227" t="s">
        <v>2832</v>
      </c>
      <c r="B998" s="228" t="s">
        <v>2833</v>
      </c>
      <c r="C998" s="228" t="s">
        <v>1215</v>
      </c>
      <c r="D998" s="228" t="s">
        <v>219</v>
      </c>
      <c r="E998" s="229"/>
      <c r="F998" s="229" t="s">
        <v>136</v>
      </c>
      <c r="G998" s="229" t="s">
        <v>82</v>
      </c>
      <c r="H998" s="229"/>
      <c r="I998" s="229">
        <v>0</v>
      </c>
      <c r="J998" s="229">
        <v>-31</v>
      </c>
      <c r="K998" s="230">
        <v>31</v>
      </c>
      <c r="L998" s="229" t="s">
        <v>1865</v>
      </c>
      <c r="M998" s="229"/>
      <c r="N998" s="229" t="s">
        <v>654</v>
      </c>
      <c r="O998" s="229" t="s">
        <v>261</v>
      </c>
      <c r="P998" s="231"/>
    </row>
    <row r="999" spans="1:16" x14ac:dyDescent="0.25">
      <c r="A999" s="227" t="s">
        <v>2834</v>
      </c>
      <c r="B999" s="228" t="s">
        <v>2835</v>
      </c>
      <c r="C999" s="228" t="s">
        <v>1215</v>
      </c>
      <c r="D999" s="228" t="s">
        <v>219</v>
      </c>
      <c r="E999" s="229"/>
      <c r="F999" s="229" t="s">
        <v>136</v>
      </c>
      <c r="G999" s="229" t="s">
        <v>82</v>
      </c>
      <c r="H999" s="229"/>
      <c r="I999" s="229">
        <v>0</v>
      </c>
      <c r="J999" s="229">
        <v>-31</v>
      </c>
      <c r="K999" s="230">
        <v>31</v>
      </c>
      <c r="L999" s="229" t="s">
        <v>1865</v>
      </c>
      <c r="M999" s="229"/>
      <c r="N999" s="229" t="s">
        <v>654</v>
      </c>
      <c r="O999" s="229" t="s">
        <v>261</v>
      </c>
      <c r="P999" s="231"/>
    </row>
    <row r="1000" spans="1:16" x14ac:dyDescent="0.25">
      <c r="A1000" s="227" t="s">
        <v>2836</v>
      </c>
      <c r="B1000" s="228" t="s">
        <v>2837</v>
      </c>
      <c r="C1000" s="228" t="s">
        <v>1215</v>
      </c>
      <c r="D1000" s="228" t="s">
        <v>219</v>
      </c>
      <c r="E1000" s="229"/>
      <c r="F1000" s="229" t="s">
        <v>141</v>
      </c>
      <c r="G1000" s="229" t="s">
        <v>82</v>
      </c>
      <c r="H1000" s="229"/>
      <c r="I1000" s="229">
        <v>0</v>
      </c>
      <c r="J1000" s="229">
        <v>-8.8000000000000007</v>
      </c>
      <c r="K1000" s="230">
        <v>8.8000000000000007</v>
      </c>
      <c r="L1000" s="229" t="s">
        <v>1865</v>
      </c>
      <c r="M1000" s="229">
        <v>6.25E-2</v>
      </c>
      <c r="N1000" s="229" t="s">
        <v>256</v>
      </c>
      <c r="O1000" s="229" t="s">
        <v>261</v>
      </c>
      <c r="P1000" s="231"/>
    </row>
    <row r="1001" spans="1:16" x14ac:dyDescent="0.25">
      <c r="A1001" s="227" t="s">
        <v>2838</v>
      </c>
      <c r="B1001" s="228" t="s">
        <v>2839</v>
      </c>
      <c r="C1001" s="228" t="s">
        <v>1215</v>
      </c>
      <c r="D1001" s="228" t="s">
        <v>219</v>
      </c>
      <c r="E1001" s="229"/>
      <c r="F1001" s="229" t="s">
        <v>141</v>
      </c>
      <c r="G1001" s="229" t="s">
        <v>82</v>
      </c>
      <c r="H1001" s="229"/>
      <c r="I1001" s="229">
        <v>0</v>
      </c>
      <c r="J1001" s="229">
        <v>-1118</v>
      </c>
      <c r="K1001" s="230">
        <v>1118</v>
      </c>
      <c r="L1001" s="229" t="s">
        <v>1865</v>
      </c>
      <c r="M1001" s="229">
        <v>6.25E-2</v>
      </c>
      <c r="N1001" s="229" t="s">
        <v>263</v>
      </c>
      <c r="O1001" s="229" t="s">
        <v>261</v>
      </c>
      <c r="P1001" s="231"/>
    </row>
    <row r="1002" spans="1:16" x14ac:dyDescent="0.25">
      <c r="A1002" s="227" t="s">
        <v>2840</v>
      </c>
      <c r="B1002" s="228" t="s">
        <v>2841</v>
      </c>
      <c r="C1002" s="228" t="s">
        <v>1215</v>
      </c>
      <c r="D1002" s="228" t="s">
        <v>219</v>
      </c>
      <c r="E1002" s="229"/>
      <c r="F1002" s="229" t="s">
        <v>141</v>
      </c>
      <c r="G1002" s="229" t="s">
        <v>82</v>
      </c>
      <c r="H1002" s="229"/>
      <c r="I1002" s="229">
        <v>0</v>
      </c>
      <c r="J1002" s="229">
        <v>0</v>
      </c>
      <c r="K1002" s="230">
        <v>100</v>
      </c>
      <c r="L1002" s="229" t="s">
        <v>1865</v>
      </c>
      <c r="M1002" s="229">
        <v>6.25E-2</v>
      </c>
      <c r="N1002" s="229" t="s">
        <v>260</v>
      </c>
      <c r="O1002" s="229" t="s">
        <v>261</v>
      </c>
      <c r="P1002" s="231"/>
    </row>
    <row r="1003" spans="1:16" x14ac:dyDescent="0.25">
      <c r="A1003" s="227" t="s">
        <v>2842</v>
      </c>
      <c r="B1003" s="228" t="s">
        <v>2843</v>
      </c>
      <c r="C1003" s="228" t="s">
        <v>1215</v>
      </c>
      <c r="D1003" s="228" t="s">
        <v>219</v>
      </c>
      <c r="E1003" s="229"/>
      <c r="F1003" s="229" t="s">
        <v>141</v>
      </c>
      <c r="G1003" s="229" t="s">
        <v>82</v>
      </c>
      <c r="H1003" s="229"/>
      <c r="I1003" s="229">
        <v>0</v>
      </c>
      <c r="J1003" s="229">
        <v>0</v>
      </c>
      <c r="K1003" s="230">
        <v>100</v>
      </c>
      <c r="L1003" s="229" t="s">
        <v>1865</v>
      </c>
      <c r="M1003" s="229">
        <v>6.25E-2</v>
      </c>
      <c r="N1003" s="229" t="s">
        <v>260</v>
      </c>
      <c r="O1003" s="229" t="s">
        <v>261</v>
      </c>
      <c r="P1003" s="231"/>
    </row>
    <row r="1004" spans="1:16" x14ac:dyDescent="0.25">
      <c r="A1004" s="227" t="s">
        <v>2844</v>
      </c>
      <c r="B1004" s="228" t="s">
        <v>2845</v>
      </c>
      <c r="C1004" s="228" t="s">
        <v>1215</v>
      </c>
      <c r="D1004" s="228" t="s">
        <v>219</v>
      </c>
      <c r="E1004" s="229"/>
      <c r="F1004" s="229" t="s">
        <v>141</v>
      </c>
      <c r="G1004" s="229" t="s">
        <v>82</v>
      </c>
      <c r="H1004" s="229"/>
      <c r="I1004" s="229">
        <v>0</v>
      </c>
      <c r="J1004" s="229">
        <v>0</v>
      </c>
      <c r="K1004" s="230">
        <v>100</v>
      </c>
      <c r="L1004" s="229" t="s">
        <v>1865</v>
      </c>
      <c r="M1004" s="229">
        <v>6.25E-2</v>
      </c>
      <c r="N1004" s="229" t="s">
        <v>260</v>
      </c>
      <c r="O1004" s="229" t="s">
        <v>261</v>
      </c>
      <c r="P1004" s="231"/>
    </row>
    <row r="1005" spans="1:16" x14ac:dyDescent="0.25">
      <c r="A1005" s="227" t="s">
        <v>2846</v>
      </c>
      <c r="B1005" s="228" t="s">
        <v>2847</v>
      </c>
      <c r="C1005" s="228" t="s">
        <v>1215</v>
      </c>
      <c r="D1005" s="228" t="s">
        <v>219</v>
      </c>
      <c r="E1005" s="229"/>
      <c r="F1005" s="229" t="s">
        <v>141</v>
      </c>
      <c r="G1005" s="229" t="s">
        <v>82</v>
      </c>
      <c r="H1005" s="229"/>
      <c r="I1005" s="229">
        <v>0</v>
      </c>
      <c r="J1005" s="229">
        <v>0</v>
      </c>
      <c r="K1005" s="230">
        <v>100</v>
      </c>
      <c r="L1005" s="229" t="s">
        <v>1865</v>
      </c>
      <c r="M1005" s="229">
        <v>6.25E-2</v>
      </c>
      <c r="N1005" s="229" t="s">
        <v>260</v>
      </c>
      <c r="O1005" s="229" t="s">
        <v>261</v>
      </c>
      <c r="P1005" s="231"/>
    </row>
    <row r="1006" spans="1:16" x14ac:dyDescent="0.25">
      <c r="A1006" s="227" t="s">
        <v>2848</v>
      </c>
      <c r="B1006" s="228" t="s">
        <v>2849</v>
      </c>
      <c r="C1006" s="228" t="s">
        <v>1215</v>
      </c>
      <c r="D1006" s="228" t="s">
        <v>219</v>
      </c>
      <c r="E1006" s="229"/>
      <c r="F1006" s="229" t="s">
        <v>141</v>
      </c>
      <c r="G1006" s="229" t="s">
        <v>82</v>
      </c>
      <c r="H1006" s="229"/>
      <c r="I1006" s="229">
        <v>0</v>
      </c>
      <c r="J1006" s="229">
        <v>-220</v>
      </c>
      <c r="K1006" s="230">
        <v>220</v>
      </c>
      <c r="L1006" s="229" t="s">
        <v>1865</v>
      </c>
      <c r="M1006" s="229">
        <v>6.25E-2</v>
      </c>
      <c r="N1006" s="229" t="s">
        <v>648</v>
      </c>
      <c r="O1006" s="229" t="s">
        <v>261</v>
      </c>
      <c r="P1006" s="231"/>
    </row>
    <row r="1007" spans="1:16" x14ac:dyDescent="0.25">
      <c r="A1007" s="227" t="s">
        <v>2850</v>
      </c>
      <c r="B1007" s="228" t="s">
        <v>2851</v>
      </c>
      <c r="C1007" s="228" t="s">
        <v>1215</v>
      </c>
      <c r="D1007" s="228" t="s">
        <v>219</v>
      </c>
      <c r="E1007" s="229"/>
      <c r="F1007" s="229" t="s">
        <v>141</v>
      </c>
      <c r="G1007" s="229" t="s">
        <v>82</v>
      </c>
      <c r="H1007" s="229"/>
      <c r="I1007" s="229">
        <v>0</v>
      </c>
      <c r="J1007" s="229">
        <v>-220</v>
      </c>
      <c r="K1007" s="230">
        <v>220</v>
      </c>
      <c r="L1007" s="229" t="s">
        <v>1865</v>
      </c>
      <c r="M1007" s="229">
        <v>6.25E-2</v>
      </c>
      <c r="N1007" s="229" t="s">
        <v>648</v>
      </c>
      <c r="O1007" s="229" t="s">
        <v>261</v>
      </c>
      <c r="P1007" s="231"/>
    </row>
    <row r="1008" spans="1:16" x14ac:dyDescent="0.25">
      <c r="A1008" s="227" t="s">
        <v>2852</v>
      </c>
      <c r="B1008" s="228" t="s">
        <v>2853</v>
      </c>
      <c r="C1008" s="228" t="s">
        <v>1215</v>
      </c>
      <c r="D1008" s="228" t="s">
        <v>219</v>
      </c>
      <c r="E1008" s="229"/>
      <c r="F1008" s="229" t="s">
        <v>141</v>
      </c>
      <c r="G1008" s="229" t="s">
        <v>82</v>
      </c>
      <c r="H1008" s="229"/>
      <c r="I1008" s="229">
        <v>0</v>
      </c>
      <c r="J1008" s="229">
        <v>-220</v>
      </c>
      <c r="K1008" s="230">
        <v>220</v>
      </c>
      <c r="L1008" s="229" t="s">
        <v>1865</v>
      </c>
      <c r="M1008" s="229">
        <v>6.25E-2</v>
      </c>
      <c r="N1008" s="229" t="s">
        <v>648</v>
      </c>
      <c r="O1008" s="229" t="s">
        <v>261</v>
      </c>
      <c r="P1008" s="231"/>
    </row>
    <row r="1009" spans="1:16" x14ac:dyDescent="0.25">
      <c r="A1009" s="227" t="s">
        <v>2854</v>
      </c>
      <c r="B1009" s="228" t="s">
        <v>2855</v>
      </c>
      <c r="C1009" s="228" t="s">
        <v>1215</v>
      </c>
      <c r="D1009" s="228" t="s">
        <v>219</v>
      </c>
      <c r="E1009" s="229"/>
      <c r="F1009" s="229" t="s">
        <v>141</v>
      </c>
      <c r="G1009" s="229" t="s">
        <v>82</v>
      </c>
      <c r="H1009" s="229"/>
      <c r="I1009" s="229">
        <v>0</v>
      </c>
      <c r="J1009" s="229">
        <v>-220</v>
      </c>
      <c r="K1009" s="230">
        <v>220</v>
      </c>
      <c r="L1009" s="229" t="s">
        <v>1865</v>
      </c>
      <c r="M1009" s="229">
        <v>6.25E-2</v>
      </c>
      <c r="N1009" s="229" t="s">
        <v>648</v>
      </c>
      <c r="O1009" s="229" t="s">
        <v>261</v>
      </c>
      <c r="P1009" s="231"/>
    </row>
    <row r="1010" spans="1:16" x14ac:dyDescent="0.25">
      <c r="A1010" s="227" t="s">
        <v>2856</v>
      </c>
      <c r="B1010" s="228" t="s">
        <v>2857</v>
      </c>
      <c r="C1010" s="228" t="s">
        <v>1215</v>
      </c>
      <c r="D1010" s="228" t="s">
        <v>219</v>
      </c>
      <c r="E1010" s="229"/>
      <c r="F1010" s="229" t="s">
        <v>141</v>
      </c>
      <c r="G1010" s="229" t="s">
        <v>82</v>
      </c>
      <c r="H1010" s="229"/>
      <c r="I1010" s="229">
        <v>0</v>
      </c>
      <c r="J1010" s="229">
        <v>0</v>
      </c>
      <c r="K1010" s="230">
        <v>96800</v>
      </c>
      <c r="L1010" s="229" t="s">
        <v>1865</v>
      </c>
      <c r="M1010" s="229">
        <v>6.25E-2</v>
      </c>
      <c r="N1010" s="229" t="s">
        <v>2790</v>
      </c>
      <c r="O1010" s="229" t="s">
        <v>261</v>
      </c>
      <c r="P1010" s="231"/>
    </row>
    <row r="1011" spans="1:16" x14ac:dyDescent="0.25">
      <c r="A1011" s="227" t="s">
        <v>2858</v>
      </c>
      <c r="B1011" s="228" t="s">
        <v>2859</v>
      </c>
      <c r="C1011" s="228" t="s">
        <v>1215</v>
      </c>
      <c r="D1011" s="228" t="s">
        <v>219</v>
      </c>
      <c r="E1011" s="229"/>
      <c r="F1011" s="229" t="s">
        <v>141</v>
      </c>
      <c r="G1011" s="229" t="s">
        <v>82</v>
      </c>
      <c r="H1011" s="229"/>
      <c r="I1011" s="229">
        <v>0</v>
      </c>
      <c r="J1011" s="229">
        <v>-8.8000000000000007</v>
      </c>
      <c r="K1011" s="230">
        <v>8.8000000000000007</v>
      </c>
      <c r="L1011" s="229" t="s">
        <v>1865</v>
      </c>
      <c r="M1011" s="229">
        <v>6.25E-2</v>
      </c>
      <c r="N1011" s="229" t="s">
        <v>256</v>
      </c>
      <c r="O1011" s="229" t="s">
        <v>261</v>
      </c>
      <c r="P1011" s="231"/>
    </row>
    <row r="1012" spans="1:16" x14ac:dyDescent="0.25">
      <c r="A1012" s="227" t="s">
        <v>2860</v>
      </c>
      <c r="B1012" s="228" t="s">
        <v>2861</v>
      </c>
      <c r="C1012" s="228" t="s">
        <v>1215</v>
      </c>
      <c r="D1012" s="228" t="s">
        <v>219</v>
      </c>
      <c r="E1012" s="229"/>
      <c r="F1012" s="229" t="s">
        <v>141</v>
      </c>
      <c r="G1012" s="229" t="s">
        <v>82</v>
      </c>
      <c r="H1012" s="229"/>
      <c r="I1012" s="229">
        <v>0</v>
      </c>
      <c r="J1012" s="229">
        <v>-6.29</v>
      </c>
      <c r="K1012" s="230">
        <v>6.29</v>
      </c>
      <c r="L1012" s="229" t="s">
        <v>1865</v>
      </c>
      <c r="M1012" s="229">
        <v>6.25E-2</v>
      </c>
      <c r="N1012" s="229" t="s">
        <v>2862</v>
      </c>
      <c r="O1012" s="229" t="s">
        <v>261</v>
      </c>
      <c r="P1012" s="231"/>
    </row>
    <row r="1013" spans="1:16" x14ac:dyDescent="0.25">
      <c r="A1013" s="227" t="s">
        <v>2863</v>
      </c>
      <c r="B1013" s="228" t="s">
        <v>2864</v>
      </c>
      <c r="C1013" s="228" t="s">
        <v>1215</v>
      </c>
      <c r="D1013" s="228" t="s">
        <v>219</v>
      </c>
      <c r="E1013" s="229"/>
      <c r="F1013" s="229" t="s">
        <v>139</v>
      </c>
      <c r="G1013" s="229" t="s">
        <v>82</v>
      </c>
      <c r="H1013" s="229"/>
      <c r="I1013" s="229">
        <v>0</v>
      </c>
      <c r="J1013" s="229">
        <v>-1</v>
      </c>
      <c r="K1013" s="230">
        <v>1</v>
      </c>
      <c r="L1013" s="229" t="s">
        <v>1865</v>
      </c>
      <c r="M1013" s="229">
        <v>6.25E-2</v>
      </c>
      <c r="N1013" s="229" t="s">
        <v>271</v>
      </c>
      <c r="O1013" s="229" t="s">
        <v>261</v>
      </c>
      <c r="P1013" s="231"/>
    </row>
    <row r="1014" spans="1:16" x14ac:dyDescent="0.25">
      <c r="A1014" s="227" t="s">
        <v>2865</v>
      </c>
      <c r="B1014" s="228" t="s">
        <v>2866</v>
      </c>
      <c r="C1014" s="228" t="s">
        <v>1215</v>
      </c>
      <c r="D1014" s="228" t="s">
        <v>219</v>
      </c>
      <c r="E1014" s="229"/>
      <c r="F1014" s="229" t="s">
        <v>139</v>
      </c>
      <c r="G1014" s="229" t="s">
        <v>82</v>
      </c>
      <c r="H1014" s="229"/>
      <c r="I1014" s="229">
        <v>0</v>
      </c>
      <c r="J1014" s="229">
        <v>-1</v>
      </c>
      <c r="K1014" s="230">
        <v>1</v>
      </c>
      <c r="L1014" s="229" t="s">
        <v>1865</v>
      </c>
      <c r="M1014" s="229">
        <v>6.25E-2</v>
      </c>
      <c r="N1014" s="229" t="s">
        <v>271</v>
      </c>
      <c r="O1014" s="229" t="s">
        <v>261</v>
      </c>
      <c r="P1014" s="231"/>
    </row>
    <row r="1015" spans="1:16" x14ac:dyDescent="0.25">
      <c r="A1015" s="227" t="s">
        <v>2867</v>
      </c>
      <c r="B1015" s="228" t="s">
        <v>2868</v>
      </c>
      <c r="C1015" s="228" t="s">
        <v>1215</v>
      </c>
      <c r="D1015" s="228" t="s">
        <v>219</v>
      </c>
      <c r="E1015" s="229"/>
      <c r="F1015" s="229" t="s">
        <v>139</v>
      </c>
      <c r="G1015" s="229" t="s">
        <v>82</v>
      </c>
      <c r="H1015" s="229"/>
      <c r="I1015" s="229">
        <v>0</v>
      </c>
      <c r="J1015" s="229">
        <v>2.5000000000000001E-2</v>
      </c>
      <c r="K1015" s="230">
        <v>7.4999999999999997E-2</v>
      </c>
      <c r="L1015" s="229" t="s">
        <v>1865</v>
      </c>
      <c r="M1015" s="229">
        <v>6.25E-2</v>
      </c>
      <c r="N1015" s="229" t="s">
        <v>1486</v>
      </c>
      <c r="O1015" s="229" t="s">
        <v>261</v>
      </c>
      <c r="P1015" s="231"/>
    </row>
    <row r="1016" spans="1:16" x14ac:dyDescent="0.25">
      <c r="A1016" s="227" t="s">
        <v>2869</v>
      </c>
      <c r="B1016" s="228" t="s">
        <v>2870</v>
      </c>
      <c r="C1016" s="228" t="s">
        <v>1215</v>
      </c>
      <c r="D1016" s="228" t="s">
        <v>219</v>
      </c>
      <c r="E1016" s="229"/>
      <c r="F1016" s="229" t="s">
        <v>139</v>
      </c>
      <c r="G1016" s="229" t="s">
        <v>82</v>
      </c>
      <c r="H1016" s="229"/>
      <c r="I1016" s="229">
        <v>0</v>
      </c>
      <c r="J1016" s="229">
        <v>-90</v>
      </c>
      <c r="K1016" s="230">
        <v>90</v>
      </c>
      <c r="L1016" s="229" t="s">
        <v>1865</v>
      </c>
      <c r="M1016" s="229">
        <v>6.25E-2</v>
      </c>
      <c r="N1016" s="229" t="s">
        <v>260</v>
      </c>
      <c r="O1016" s="229" t="s">
        <v>261</v>
      </c>
      <c r="P1016" s="231"/>
    </row>
    <row r="1017" spans="1:16" x14ac:dyDescent="0.25">
      <c r="A1017" s="227" t="s">
        <v>2871</v>
      </c>
      <c r="B1017" s="228" t="s">
        <v>2872</v>
      </c>
      <c r="C1017" s="228" t="s">
        <v>1215</v>
      </c>
      <c r="D1017" s="228" t="s">
        <v>219</v>
      </c>
      <c r="E1017" s="229"/>
      <c r="F1017" s="229" t="s">
        <v>139</v>
      </c>
      <c r="G1017" s="229" t="s">
        <v>82</v>
      </c>
      <c r="H1017" s="229"/>
      <c r="I1017" s="229">
        <v>0</v>
      </c>
      <c r="J1017" s="229">
        <v>-60</v>
      </c>
      <c r="K1017" s="230">
        <v>60</v>
      </c>
      <c r="L1017" s="229" t="s">
        <v>1865</v>
      </c>
      <c r="M1017" s="229">
        <v>6.25E-2</v>
      </c>
      <c r="N1017" s="229" t="s">
        <v>260</v>
      </c>
      <c r="O1017" s="229" t="s">
        <v>261</v>
      </c>
      <c r="P1017" s="231"/>
    </row>
    <row r="1018" spans="1:16" x14ac:dyDescent="0.25">
      <c r="A1018" s="227" t="s">
        <v>2873</v>
      </c>
      <c r="B1018" s="228" t="s">
        <v>2874</v>
      </c>
      <c r="C1018" s="228" t="s">
        <v>1215</v>
      </c>
      <c r="D1018" s="228" t="s">
        <v>219</v>
      </c>
      <c r="E1018" s="229"/>
      <c r="F1018" s="229" t="s">
        <v>139</v>
      </c>
      <c r="G1018" s="229" t="s">
        <v>82</v>
      </c>
      <c r="H1018" s="229"/>
      <c r="I1018" s="229">
        <v>0</v>
      </c>
      <c r="J1018" s="229">
        <v>-4050</v>
      </c>
      <c r="K1018" s="230">
        <v>4050</v>
      </c>
      <c r="L1018" s="229" t="s">
        <v>1865</v>
      </c>
      <c r="M1018" s="229">
        <v>6.25E-2</v>
      </c>
      <c r="N1018" s="229" t="s">
        <v>648</v>
      </c>
      <c r="O1018" s="229" t="s">
        <v>261</v>
      </c>
      <c r="P1018" s="231"/>
    </row>
    <row r="1019" spans="1:16" x14ac:dyDescent="0.25">
      <c r="A1019" s="227" t="s">
        <v>2875</v>
      </c>
      <c r="B1019" s="228" t="s">
        <v>2876</v>
      </c>
      <c r="C1019" s="228" t="s">
        <v>1215</v>
      </c>
      <c r="D1019" s="228" t="s">
        <v>219</v>
      </c>
      <c r="E1019" s="229"/>
      <c r="F1019" s="229" t="s">
        <v>139</v>
      </c>
      <c r="G1019" s="229" t="s">
        <v>82</v>
      </c>
      <c r="H1019" s="229"/>
      <c r="I1019" s="229">
        <v>0</v>
      </c>
      <c r="J1019" s="229">
        <v>14400</v>
      </c>
      <c r="K1019" s="230">
        <v>810000</v>
      </c>
      <c r="L1019" s="229" t="s">
        <v>1865</v>
      </c>
      <c r="M1019" s="229">
        <v>6.25E-2</v>
      </c>
      <c r="N1019" s="229" t="s">
        <v>2790</v>
      </c>
      <c r="O1019" s="229" t="s">
        <v>261</v>
      </c>
      <c r="P1019" s="231"/>
    </row>
    <row r="1020" spans="1:16" x14ac:dyDescent="0.25">
      <c r="A1020" s="227" t="s">
        <v>2877</v>
      </c>
      <c r="B1020" s="228" t="s">
        <v>2878</v>
      </c>
      <c r="C1020" s="228" t="s">
        <v>1215</v>
      </c>
      <c r="D1020" s="228" t="s">
        <v>219</v>
      </c>
      <c r="E1020" s="229"/>
      <c r="F1020" s="229" t="s">
        <v>139</v>
      </c>
      <c r="G1020" s="229" t="s">
        <v>82</v>
      </c>
      <c r="H1020" s="229"/>
      <c r="I1020" s="229">
        <v>0</v>
      </c>
      <c r="J1020" s="229">
        <v>-5</v>
      </c>
      <c r="K1020" s="230">
        <v>5</v>
      </c>
      <c r="L1020" s="229" t="s">
        <v>1865</v>
      </c>
      <c r="M1020" s="229">
        <v>6.25E-2</v>
      </c>
      <c r="N1020" s="229" t="s">
        <v>648</v>
      </c>
      <c r="O1020" s="229" t="s">
        <v>261</v>
      </c>
      <c r="P1020" s="231"/>
    </row>
    <row r="1021" spans="1:16" x14ac:dyDescent="0.25">
      <c r="A1021" s="227" t="s">
        <v>2879</v>
      </c>
      <c r="B1021" s="228" t="s">
        <v>2880</v>
      </c>
      <c r="C1021" s="228" t="s">
        <v>1215</v>
      </c>
      <c r="D1021" s="228" t="s">
        <v>219</v>
      </c>
      <c r="E1021" s="229"/>
      <c r="F1021" s="229" t="s">
        <v>139</v>
      </c>
      <c r="G1021" s="229" t="s">
        <v>82</v>
      </c>
      <c r="H1021" s="229"/>
      <c r="I1021" s="229">
        <v>0</v>
      </c>
      <c r="J1021" s="229">
        <v>0.02</v>
      </c>
      <c r="K1021" s="230">
        <v>900</v>
      </c>
      <c r="L1021" s="229" t="s">
        <v>1865</v>
      </c>
      <c r="M1021" s="229">
        <v>6.25E-2</v>
      </c>
      <c r="N1021" s="229" t="s">
        <v>648</v>
      </c>
      <c r="O1021" s="229" t="s">
        <v>261</v>
      </c>
      <c r="P1021" s="231"/>
    </row>
    <row r="1022" spans="1:16" x14ac:dyDescent="0.25">
      <c r="A1022" s="227" t="s">
        <v>2881</v>
      </c>
      <c r="B1022" s="228" t="s">
        <v>2882</v>
      </c>
      <c r="C1022" s="228" t="s">
        <v>1215</v>
      </c>
      <c r="D1022" s="228" t="s">
        <v>219</v>
      </c>
      <c r="E1022" s="229"/>
      <c r="F1022" s="229" t="s">
        <v>139</v>
      </c>
      <c r="G1022" s="229" t="s">
        <v>82</v>
      </c>
      <c r="H1022" s="229"/>
      <c r="I1022" s="229">
        <v>0</v>
      </c>
      <c r="J1022" s="229">
        <v>120</v>
      </c>
      <c r="K1022" s="230">
        <v>900</v>
      </c>
      <c r="L1022" s="229" t="s">
        <v>1865</v>
      </c>
      <c r="M1022" s="229">
        <v>6.25E-2</v>
      </c>
      <c r="N1022" s="229" t="s">
        <v>648</v>
      </c>
      <c r="O1022" s="229" t="s">
        <v>261</v>
      </c>
      <c r="P1022" s="231"/>
    </row>
    <row r="1023" spans="1:16" x14ac:dyDescent="0.25">
      <c r="A1023" s="227" t="s">
        <v>2883</v>
      </c>
      <c r="B1023" s="228" t="s">
        <v>2884</v>
      </c>
      <c r="C1023" s="228" t="s">
        <v>1215</v>
      </c>
      <c r="D1023" s="228" t="s">
        <v>219</v>
      </c>
      <c r="E1023" s="229"/>
      <c r="F1023" s="229" t="s">
        <v>139</v>
      </c>
      <c r="G1023" s="229" t="s">
        <v>82</v>
      </c>
      <c r="H1023" s="229"/>
      <c r="I1023" s="229">
        <v>0</v>
      </c>
      <c r="J1023" s="229">
        <v>2.0000000000000001E-4</v>
      </c>
      <c r="K1023" s="230">
        <v>5.0000000000000001E-4</v>
      </c>
      <c r="L1023" s="229" t="s">
        <v>1865</v>
      </c>
      <c r="M1023" s="229">
        <v>6.25E-2</v>
      </c>
      <c r="N1023" s="229" t="s">
        <v>1270</v>
      </c>
      <c r="O1023" s="229" t="s">
        <v>261</v>
      </c>
      <c r="P1023" s="231"/>
    </row>
    <row r="1024" spans="1:16" x14ac:dyDescent="0.25">
      <c r="A1024" s="227" t="s">
        <v>2885</v>
      </c>
      <c r="B1024" s="228" t="s">
        <v>2886</v>
      </c>
      <c r="C1024" s="228" t="s">
        <v>1215</v>
      </c>
      <c r="D1024" s="228" t="s">
        <v>219</v>
      </c>
      <c r="E1024" s="229"/>
      <c r="F1024" s="229" t="s">
        <v>141</v>
      </c>
      <c r="G1024" s="229" t="s">
        <v>82</v>
      </c>
      <c r="H1024" s="229"/>
      <c r="I1024" s="229">
        <v>0</v>
      </c>
      <c r="J1024" s="229">
        <v>0</v>
      </c>
      <c r="K1024" s="230">
        <v>5</v>
      </c>
      <c r="L1024" s="229">
        <v>1</v>
      </c>
      <c r="M1024" s="229">
        <v>1</v>
      </c>
      <c r="N1024" s="229" t="s">
        <v>271</v>
      </c>
      <c r="O1024" s="229" t="s">
        <v>267</v>
      </c>
      <c r="P1024" s="231"/>
    </row>
    <row r="1025" spans="1:16" x14ac:dyDescent="0.25">
      <c r="A1025" s="227" t="s">
        <v>2887</v>
      </c>
      <c r="B1025" s="228" t="s">
        <v>2888</v>
      </c>
      <c r="C1025" s="228" t="s">
        <v>1215</v>
      </c>
      <c r="D1025" s="228" t="s">
        <v>219</v>
      </c>
      <c r="E1025" s="229"/>
      <c r="F1025" s="229" t="s">
        <v>141</v>
      </c>
      <c r="G1025" s="229" t="s">
        <v>82</v>
      </c>
      <c r="H1025" s="229"/>
      <c r="I1025" s="229">
        <v>0</v>
      </c>
      <c r="J1025" s="229">
        <v>0</v>
      </c>
      <c r="K1025" s="230">
        <v>5</v>
      </c>
      <c r="L1025" s="229">
        <v>1</v>
      </c>
      <c r="M1025" s="229">
        <v>1</v>
      </c>
      <c r="N1025" s="229" t="s">
        <v>271</v>
      </c>
      <c r="O1025" s="229" t="s">
        <v>267</v>
      </c>
      <c r="P1025" s="231"/>
    </row>
    <row r="1026" spans="1:16" x14ac:dyDescent="0.25">
      <c r="A1026" s="227" t="s">
        <v>2814</v>
      </c>
      <c r="B1026" s="228" t="s">
        <v>2889</v>
      </c>
      <c r="C1026" s="228" t="s">
        <v>1215</v>
      </c>
      <c r="D1026" s="228" t="s">
        <v>219</v>
      </c>
      <c r="E1026" s="229"/>
      <c r="F1026" s="229" t="s">
        <v>136</v>
      </c>
      <c r="G1026" s="229" t="s">
        <v>82</v>
      </c>
      <c r="H1026" s="229"/>
      <c r="I1026" s="229">
        <v>1</v>
      </c>
      <c r="J1026" s="229">
        <v>1</v>
      </c>
      <c r="K1026" s="230">
        <v>4</v>
      </c>
      <c r="L1026" s="229">
        <v>1</v>
      </c>
      <c r="M1026" s="229"/>
      <c r="N1026" s="229" t="s">
        <v>271</v>
      </c>
      <c r="O1026" s="229" t="s">
        <v>1003</v>
      </c>
      <c r="P1026" s="231"/>
    </row>
    <row r="1027" spans="1:16" x14ac:dyDescent="0.25">
      <c r="A1027" s="227" t="s">
        <v>2890</v>
      </c>
      <c r="B1027" s="228" t="s">
        <v>2891</v>
      </c>
      <c r="C1027" s="228" t="s">
        <v>1215</v>
      </c>
      <c r="D1027" s="228" t="s">
        <v>219</v>
      </c>
      <c r="E1027" s="229"/>
      <c r="F1027" s="229" t="s">
        <v>141</v>
      </c>
      <c r="G1027" s="229" t="s">
        <v>82</v>
      </c>
      <c r="H1027" s="229"/>
      <c r="I1027" s="229">
        <v>0</v>
      </c>
      <c r="J1027" s="229">
        <v>-6.29</v>
      </c>
      <c r="K1027" s="230">
        <v>6.29</v>
      </c>
      <c r="L1027" s="229" t="s">
        <v>1865</v>
      </c>
      <c r="M1027" s="229">
        <v>2.44140625E-4</v>
      </c>
      <c r="N1027" s="229" t="s">
        <v>1330</v>
      </c>
      <c r="O1027" s="229" t="s">
        <v>261</v>
      </c>
      <c r="P1027" s="231"/>
    </row>
    <row r="1028" spans="1:16" x14ac:dyDescent="0.25">
      <c r="A1028" s="227" t="s">
        <v>2892</v>
      </c>
      <c r="B1028" s="228" t="s">
        <v>2893</v>
      </c>
      <c r="C1028" s="228" t="s">
        <v>1215</v>
      </c>
      <c r="D1028" s="228" t="s">
        <v>219</v>
      </c>
      <c r="E1028" s="229"/>
      <c r="F1028" s="229" t="s">
        <v>141</v>
      </c>
      <c r="G1028" s="229" t="s">
        <v>82</v>
      </c>
      <c r="H1028" s="229"/>
      <c r="I1028" s="229">
        <v>0</v>
      </c>
      <c r="J1028" s="229">
        <v>-6.29</v>
      </c>
      <c r="K1028" s="230">
        <v>6.29</v>
      </c>
      <c r="L1028" s="229" t="s">
        <v>1865</v>
      </c>
      <c r="M1028" s="229">
        <v>2.44140625E-4</v>
      </c>
      <c r="N1028" s="229" t="s">
        <v>1330</v>
      </c>
      <c r="O1028" s="229" t="s">
        <v>261</v>
      </c>
      <c r="P1028" s="231"/>
    </row>
    <row r="1029" spans="1:16" x14ac:dyDescent="0.25">
      <c r="A1029" s="227" t="s">
        <v>2894</v>
      </c>
      <c r="B1029" s="228" t="s">
        <v>2895</v>
      </c>
      <c r="C1029" s="228" t="s">
        <v>1215</v>
      </c>
      <c r="D1029" s="228" t="s">
        <v>219</v>
      </c>
      <c r="E1029" s="229"/>
      <c r="F1029" s="229" t="s">
        <v>141</v>
      </c>
      <c r="G1029" s="229" t="s">
        <v>82</v>
      </c>
      <c r="H1029" s="229"/>
      <c r="I1029" s="229">
        <v>0</v>
      </c>
      <c r="J1029" s="229">
        <v>-8.8000000000000007</v>
      </c>
      <c r="K1029" s="230">
        <v>8.8000000000000007</v>
      </c>
      <c r="L1029" s="229" t="s">
        <v>1865</v>
      </c>
      <c r="M1029" s="229">
        <v>2.44140625E-4</v>
      </c>
      <c r="N1029" s="229" t="s">
        <v>256</v>
      </c>
      <c r="O1029" s="229" t="s">
        <v>261</v>
      </c>
      <c r="P1029" s="231"/>
    </row>
    <row r="1030" spans="1:16" x14ac:dyDescent="0.25">
      <c r="A1030" s="227" t="s">
        <v>2896</v>
      </c>
      <c r="B1030" s="228" t="s">
        <v>2897</v>
      </c>
      <c r="C1030" s="228" t="s">
        <v>1215</v>
      </c>
      <c r="D1030" s="228" t="s">
        <v>219</v>
      </c>
      <c r="E1030" s="229"/>
      <c r="F1030" s="229" t="s">
        <v>141</v>
      </c>
      <c r="G1030" s="229" t="s">
        <v>82</v>
      </c>
      <c r="H1030" s="229"/>
      <c r="I1030" s="229">
        <v>0</v>
      </c>
      <c r="J1030" s="229">
        <v>-220</v>
      </c>
      <c r="K1030" s="230">
        <v>220</v>
      </c>
      <c r="L1030" s="229" t="s">
        <v>1865</v>
      </c>
      <c r="M1030" s="229">
        <v>6.25E-2</v>
      </c>
      <c r="N1030" s="229" t="s">
        <v>648</v>
      </c>
      <c r="O1030" s="229" t="s">
        <v>261</v>
      </c>
      <c r="P1030" s="231"/>
    </row>
    <row r="1031" spans="1:16" x14ac:dyDescent="0.25">
      <c r="A1031" s="227" t="s">
        <v>2898</v>
      </c>
      <c r="B1031" s="228" t="s">
        <v>2899</v>
      </c>
      <c r="C1031" s="228" t="s">
        <v>1215</v>
      </c>
      <c r="D1031" s="228" t="s">
        <v>219</v>
      </c>
      <c r="E1031" s="229"/>
      <c r="F1031" s="229" t="s">
        <v>141</v>
      </c>
      <c r="G1031" s="229" t="s">
        <v>82</v>
      </c>
      <c r="H1031" s="229"/>
      <c r="I1031" s="229">
        <v>0</v>
      </c>
      <c r="J1031" s="229">
        <v>-220</v>
      </c>
      <c r="K1031" s="230">
        <v>220</v>
      </c>
      <c r="L1031" s="229" t="s">
        <v>1865</v>
      </c>
      <c r="M1031" s="229">
        <v>6.25E-2</v>
      </c>
      <c r="N1031" s="229" t="s">
        <v>648</v>
      </c>
      <c r="O1031" s="229" t="s">
        <v>261</v>
      </c>
      <c r="P1031" s="231"/>
    </row>
    <row r="1032" spans="1:16" x14ac:dyDescent="0.25">
      <c r="A1032" s="227" t="s">
        <v>2900</v>
      </c>
      <c r="B1032" s="228" t="s">
        <v>2901</v>
      </c>
      <c r="C1032" s="228" t="s">
        <v>1215</v>
      </c>
      <c r="D1032" s="228" t="s">
        <v>219</v>
      </c>
      <c r="E1032" s="229"/>
      <c r="F1032" s="229" t="s">
        <v>141</v>
      </c>
      <c r="G1032" s="229" t="s">
        <v>82</v>
      </c>
      <c r="H1032" s="229"/>
      <c r="I1032" s="229">
        <v>0</v>
      </c>
      <c r="J1032" s="229">
        <v>-220</v>
      </c>
      <c r="K1032" s="230">
        <v>220</v>
      </c>
      <c r="L1032" s="229" t="s">
        <v>1865</v>
      </c>
      <c r="M1032" s="229">
        <v>6.25E-2</v>
      </c>
      <c r="N1032" s="229" t="s">
        <v>648</v>
      </c>
      <c r="O1032" s="229" t="s">
        <v>261</v>
      </c>
      <c r="P1032" s="231"/>
    </row>
    <row r="1033" spans="1:16" x14ac:dyDescent="0.25">
      <c r="A1033" s="227" t="s">
        <v>2902</v>
      </c>
      <c r="B1033" s="228" t="s">
        <v>2903</v>
      </c>
      <c r="C1033" s="228" t="s">
        <v>1215</v>
      </c>
      <c r="D1033" s="228" t="s">
        <v>219</v>
      </c>
      <c r="E1033" s="229"/>
      <c r="F1033" s="229" t="s">
        <v>141</v>
      </c>
      <c r="G1033" s="229" t="s">
        <v>82</v>
      </c>
      <c r="H1033" s="229"/>
      <c r="I1033" s="229">
        <v>0</v>
      </c>
      <c r="J1033" s="229">
        <v>-6.29</v>
      </c>
      <c r="K1033" s="230">
        <v>6.29</v>
      </c>
      <c r="L1033" s="229" t="s">
        <v>1865</v>
      </c>
      <c r="M1033" s="229">
        <v>6.25E-2</v>
      </c>
      <c r="N1033" s="229" t="s">
        <v>1330</v>
      </c>
      <c r="O1033" s="229" t="s">
        <v>261</v>
      </c>
      <c r="P1033" s="231"/>
    </row>
    <row r="1034" spans="1:16" x14ac:dyDescent="0.25">
      <c r="A1034" s="227" t="s">
        <v>2904</v>
      </c>
      <c r="B1034" s="228" t="s">
        <v>2905</v>
      </c>
      <c r="C1034" s="228" t="s">
        <v>1215</v>
      </c>
      <c r="D1034" s="228" t="s">
        <v>219</v>
      </c>
      <c r="E1034" s="229"/>
      <c r="F1034" s="229" t="s">
        <v>141</v>
      </c>
      <c r="G1034" s="229" t="s">
        <v>82</v>
      </c>
      <c r="H1034" s="229"/>
      <c r="I1034" s="229">
        <v>0</v>
      </c>
      <c r="J1034" s="229">
        <v>-220</v>
      </c>
      <c r="K1034" s="230">
        <v>220</v>
      </c>
      <c r="L1034" s="229" t="s">
        <v>1865</v>
      </c>
      <c r="M1034" s="229">
        <v>6.25E-2</v>
      </c>
      <c r="N1034" s="229" t="s">
        <v>648</v>
      </c>
      <c r="O1034" s="229" t="s">
        <v>261</v>
      </c>
      <c r="P1034" s="231"/>
    </row>
    <row r="1035" spans="1:16" x14ac:dyDescent="0.25">
      <c r="A1035" s="227" t="s">
        <v>2906</v>
      </c>
      <c r="B1035" s="228" t="s">
        <v>2907</v>
      </c>
      <c r="C1035" s="228" t="s">
        <v>1215</v>
      </c>
      <c r="D1035" s="228" t="s">
        <v>219</v>
      </c>
      <c r="E1035" s="229"/>
      <c r="F1035" s="229" t="s">
        <v>141</v>
      </c>
      <c r="G1035" s="229" t="s">
        <v>82</v>
      </c>
      <c r="H1035" s="229"/>
      <c r="I1035" s="229">
        <v>0</v>
      </c>
      <c r="J1035" s="229">
        <v>-6.29</v>
      </c>
      <c r="K1035" s="230">
        <v>6.29</v>
      </c>
      <c r="L1035" s="229" t="s">
        <v>1865</v>
      </c>
      <c r="M1035" s="229">
        <v>6.25E-2</v>
      </c>
      <c r="N1035" s="229" t="s">
        <v>1330</v>
      </c>
      <c r="O1035" s="229" t="s">
        <v>261</v>
      </c>
      <c r="P1035" s="231"/>
    </row>
    <row r="1036" spans="1:16" x14ac:dyDescent="0.25">
      <c r="A1036" s="227" t="s">
        <v>2908</v>
      </c>
      <c r="B1036" s="228" t="s">
        <v>2909</v>
      </c>
      <c r="C1036" s="228" t="s">
        <v>1215</v>
      </c>
      <c r="D1036" s="228" t="s">
        <v>219</v>
      </c>
      <c r="E1036" s="229"/>
      <c r="F1036" s="229" t="s">
        <v>141</v>
      </c>
      <c r="G1036" s="229" t="s">
        <v>82</v>
      </c>
      <c r="H1036" s="229"/>
      <c r="I1036" s="229">
        <v>0</v>
      </c>
      <c r="J1036" s="229">
        <v>0</v>
      </c>
      <c r="K1036" s="230">
        <v>1</v>
      </c>
      <c r="L1036" s="229" t="s">
        <v>1865</v>
      </c>
      <c r="M1036" s="229">
        <v>6.25E-2</v>
      </c>
      <c r="N1036" s="229" t="s">
        <v>1353</v>
      </c>
      <c r="O1036" s="229" t="s">
        <v>261</v>
      </c>
      <c r="P1036" s="231"/>
    </row>
    <row r="1037" spans="1:16" x14ac:dyDescent="0.25">
      <c r="A1037" s="227" t="s">
        <v>2910</v>
      </c>
      <c r="B1037" s="228" t="s">
        <v>2911</v>
      </c>
      <c r="C1037" s="228" t="s">
        <v>1215</v>
      </c>
      <c r="D1037" s="228" t="s">
        <v>219</v>
      </c>
      <c r="E1037" s="229"/>
      <c r="F1037" s="229" t="s">
        <v>141</v>
      </c>
      <c r="G1037" s="229" t="s">
        <v>82</v>
      </c>
      <c r="H1037" s="229"/>
      <c r="I1037" s="229">
        <v>0</v>
      </c>
      <c r="J1037" s="229">
        <v>0</v>
      </c>
      <c r="K1037" s="230">
        <v>256</v>
      </c>
      <c r="L1037" s="229">
        <v>1</v>
      </c>
      <c r="M1037" s="229">
        <v>0</v>
      </c>
      <c r="N1037" s="229" t="s">
        <v>271</v>
      </c>
      <c r="O1037" s="229" t="s">
        <v>267</v>
      </c>
      <c r="P1037" s="231"/>
    </row>
    <row r="1038" spans="1:16" x14ac:dyDescent="0.25">
      <c r="A1038" s="227" t="s">
        <v>2912</v>
      </c>
      <c r="B1038" s="228"/>
      <c r="C1038" s="228" t="s">
        <v>1215</v>
      </c>
      <c r="D1038" s="228" t="s">
        <v>219</v>
      </c>
      <c r="E1038" s="229"/>
      <c r="F1038" s="229" t="s">
        <v>136</v>
      </c>
      <c r="G1038" s="229" t="s">
        <v>82</v>
      </c>
      <c r="H1038" s="229"/>
      <c r="I1038" s="229" t="b">
        <v>0</v>
      </c>
      <c r="J1038" s="229" t="b">
        <v>1</v>
      </c>
      <c r="K1038" s="230" t="b">
        <v>0</v>
      </c>
      <c r="L1038" s="229" t="s">
        <v>1871</v>
      </c>
      <c r="M1038" s="229"/>
      <c r="N1038" s="229" t="s">
        <v>271</v>
      </c>
      <c r="O1038" s="229" t="s">
        <v>929</v>
      </c>
      <c r="P1038" s="231"/>
    </row>
    <row r="1039" spans="1:16" x14ac:dyDescent="0.25">
      <c r="A1039" s="227" t="s">
        <v>2913</v>
      </c>
      <c r="B1039" s="228"/>
      <c r="C1039" s="228" t="s">
        <v>1215</v>
      </c>
      <c r="D1039" s="228" t="s">
        <v>219</v>
      </c>
      <c r="E1039" s="229"/>
      <c r="F1039" s="229" t="s">
        <v>136</v>
      </c>
      <c r="G1039" s="229" t="s">
        <v>82</v>
      </c>
      <c r="H1039" s="229"/>
      <c r="I1039" s="229" t="s">
        <v>1871</v>
      </c>
      <c r="J1039" s="229" t="s">
        <v>1871</v>
      </c>
      <c r="K1039" s="230" t="s">
        <v>1871</v>
      </c>
      <c r="L1039" s="229" t="s">
        <v>1871</v>
      </c>
      <c r="M1039" s="229"/>
      <c r="N1039" s="229"/>
      <c r="O1039" s="229"/>
      <c r="P1039" s="231"/>
    </row>
    <row r="1040" spans="1:16" x14ac:dyDescent="0.25">
      <c r="A1040" s="227" t="s">
        <v>2914</v>
      </c>
      <c r="B1040" s="228" t="s">
        <v>2915</v>
      </c>
      <c r="C1040" s="228" t="s">
        <v>1215</v>
      </c>
      <c r="D1040" s="228" t="s">
        <v>219</v>
      </c>
      <c r="E1040" s="229"/>
      <c r="F1040" s="229" t="s">
        <v>136</v>
      </c>
      <c r="G1040" s="229" t="s">
        <v>82</v>
      </c>
      <c r="H1040" s="229"/>
      <c r="I1040" s="229">
        <v>0</v>
      </c>
      <c r="J1040" s="229">
        <v>0</v>
      </c>
      <c r="K1040" s="230">
        <v>5000</v>
      </c>
      <c r="L1040" s="229">
        <v>1</v>
      </c>
      <c r="M1040" s="229"/>
      <c r="N1040" s="229" t="s">
        <v>271</v>
      </c>
      <c r="O1040" s="229" t="s">
        <v>267</v>
      </c>
      <c r="P1040" s="231"/>
    </row>
    <row r="1041" spans="1:16" x14ac:dyDescent="0.25">
      <c r="A1041" s="227" t="s">
        <v>2916</v>
      </c>
      <c r="B1041" s="228" t="s">
        <v>2829</v>
      </c>
      <c r="C1041" s="228" t="s">
        <v>1215</v>
      </c>
      <c r="D1041" s="228" t="s">
        <v>219</v>
      </c>
      <c r="E1041" s="229"/>
      <c r="F1041" s="229" t="s">
        <v>136</v>
      </c>
      <c r="G1041" s="229" t="s">
        <v>82</v>
      </c>
      <c r="H1041" s="229"/>
      <c r="I1041" s="229">
        <v>0</v>
      </c>
      <c r="J1041" s="229">
        <v>-220</v>
      </c>
      <c r="K1041" s="230">
        <v>220</v>
      </c>
      <c r="L1041" s="229" t="s">
        <v>1865</v>
      </c>
      <c r="M1041" s="229"/>
      <c r="N1041" s="229" t="s">
        <v>648</v>
      </c>
      <c r="O1041" s="229" t="s">
        <v>261</v>
      </c>
      <c r="P1041" s="231"/>
    </row>
    <row r="1042" spans="1:16" x14ac:dyDescent="0.25">
      <c r="A1042" s="227" t="s">
        <v>2917</v>
      </c>
      <c r="B1042" s="228" t="s">
        <v>2918</v>
      </c>
      <c r="C1042" s="228" t="s">
        <v>1215</v>
      </c>
      <c r="D1042" s="228" t="s">
        <v>219</v>
      </c>
      <c r="E1042" s="229"/>
      <c r="F1042" s="229" t="s">
        <v>136</v>
      </c>
      <c r="G1042" s="229" t="s">
        <v>82</v>
      </c>
      <c r="H1042" s="229"/>
      <c r="I1042" s="229">
        <v>0</v>
      </c>
      <c r="J1042" s="229">
        <v>-220</v>
      </c>
      <c r="K1042" s="230">
        <v>220</v>
      </c>
      <c r="L1042" s="229" t="s">
        <v>1865</v>
      </c>
      <c r="M1042" s="229"/>
      <c r="N1042" s="229" t="s">
        <v>648</v>
      </c>
      <c r="O1042" s="229" t="s">
        <v>261</v>
      </c>
      <c r="P1042" s="231"/>
    </row>
    <row r="1043" spans="1:16" x14ac:dyDescent="0.25">
      <c r="A1043" s="227" t="s">
        <v>3514</v>
      </c>
      <c r="B1043" s="228"/>
      <c r="C1043" s="228" t="s">
        <v>1215</v>
      </c>
      <c r="D1043" s="228" t="s">
        <v>219</v>
      </c>
      <c r="E1043" s="229"/>
      <c r="F1043" s="229" t="s">
        <v>139</v>
      </c>
      <c r="G1043" s="229" t="s">
        <v>82</v>
      </c>
      <c r="H1043" s="229"/>
      <c r="I1043" s="229">
        <v>0</v>
      </c>
      <c r="J1043" s="229">
        <v>0</v>
      </c>
      <c r="K1043" s="230">
        <v>1</v>
      </c>
      <c r="L1043" s="229">
        <v>1</v>
      </c>
      <c r="M1043" s="229">
        <v>0</v>
      </c>
      <c r="N1043" s="229" t="s">
        <v>271</v>
      </c>
      <c r="O1043" s="229" t="s">
        <v>267</v>
      </c>
      <c r="P1043" s="231"/>
    </row>
    <row r="1044" spans="1:16" x14ac:dyDescent="0.25">
      <c r="A1044" s="227" t="s">
        <v>3515</v>
      </c>
      <c r="B1044" s="228"/>
      <c r="C1044" s="228" t="s">
        <v>1215</v>
      </c>
      <c r="D1044" s="228" t="s">
        <v>219</v>
      </c>
      <c r="E1044" s="229"/>
      <c r="F1044" s="229" t="s">
        <v>139</v>
      </c>
      <c r="G1044" s="229" t="s">
        <v>82</v>
      </c>
      <c r="H1044" s="229"/>
      <c r="I1044" s="229">
        <v>0</v>
      </c>
      <c r="J1044" s="229">
        <v>0</v>
      </c>
      <c r="K1044" s="230">
        <v>1</v>
      </c>
      <c r="L1044" s="229">
        <v>1</v>
      </c>
      <c r="M1044" s="229">
        <v>0</v>
      </c>
      <c r="N1044" s="229" t="s">
        <v>271</v>
      </c>
      <c r="O1044" s="229" t="s">
        <v>267</v>
      </c>
      <c r="P1044" s="231"/>
    </row>
    <row r="1045" spans="1:16" x14ac:dyDescent="0.25">
      <c r="A1045" s="227" t="s">
        <v>3516</v>
      </c>
      <c r="B1045" s="228" t="s">
        <v>3517</v>
      </c>
      <c r="C1045" s="228" t="s">
        <v>1215</v>
      </c>
      <c r="D1045" s="228" t="s">
        <v>219</v>
      </c>
      <c r="E1045" s="229"/>
      <c r="F1045" s="229" t="s">
        <v>141</v>
      </c>
      <c r="G1045" s="229" t="s">
        <v>82</v>
      </c>
      <c r="H1045" s="229"/>
      <c r="I1045" s="229">
        <v>0</v>
      </c>
      <c r="J1045" s="229">
        <v>-220</v>
      </c>
      <c r="K1045" s="230">
        <v>220</v>
      </c>
      <c r="L1045" s="229" t="s">
        <v>1865</v>
      </c>
      <c r="M1045" s="229">
        <v>6.25E-2</v>
      </c>
      <c r="N1045" s="229" t="s">
        <v>648</v>
      </c>
      <c r="O1045" s="229" t="s">
        <v>261</v>
      </c>
      <c r="P1045" s="231"/>
    </row>
    <row r="1046" spans="1:16" x14ac:dyDescent="0.25">
      <c r="A1046" s="227" t="s">
        <v>3518</v>
      </c>
      <c r="B1046" s="228" t="s">
        <v>3519</v>
      </c>
      <c r="C1046" s="228" t="s">
        <v>1215</v>
      </c>
      <c r="D1046" s="228" t="s">
        <v>219</v>
      </c>
      <c r="E1046" s="229"/>
      <c r="F1046" s="229" t="s">
        <v>141</v>
      </c>
      <c r="G1046" s="229" t="s">
        <v>82</v>
      </c>
      <c r="H1046" s="229"/>
      <c r="I1046" s="229">
        <v>0</v>
      </c>
      <c r="J1046" s="229">
        <v>-6.29</v>
      </c>
      <c r="K1046" s="230">
        <v>6.29</v>
      </c>
      <c r="L1046" s="229" t="s">
        <v>1865</v>
      </c>
      <c r="M1046" s="229">
        <v>6.25E-2</v>
      </c>
      <c r="N1046" s="229" t="s">
        <v>1330</v>
      </c>
      <c r="O1046" s="229" t="s">
        <v>261</v>
      </c>
      <c r="P1046" s="231"/>
    </row>
    <row r="1047" spans="1:16" x14ac:dyDescent="0.25">
      <c r="A1047" s="227" t="s">
        <v>3520</v>
      </c>
      <c r="B1047" s="228" t="s">
        <v>3521</v>
      </c>
      <c r="C1047" s="228" t="s">
        <v>1215</v>
      </c>
      <c r="D1047" s="228" t="s">
        <v>219</v>
      </c>
      <c r="E1047" s="229"/>
      <c r="F1047" s="229" t="s">
        <v>141</v>
      </c>
      <c r="G1047" s="229" t="s">
        <v>82</v>
      </c>
      <c r="H1047" s="229"/>
      <c r="I1047" s="229">
        <v>0</v>
      </c>
      <c r="J1047" s="229">
        <v>-220</v>
      </c>
      <c r="K1047" s="230">
        <v>220</v>
      </c>
      <c r="L1047" s="229" t="s">
        <v>1865</v>
      </c>
      <c r="M1047" s="229">
        <v>6.25E-2</v>
      </c>
      <c r="N1047" s="229" t="s">
        <v>648</v>
      </c>
      <c r="O1047" s="229" t="s">
        <v>261</v>
      </c>
      <c r="P1047" s="231"/>
    </row>
    <row r="1048" spans="1:16" x14ac:dyDescent="0.25">
      <c r="A1048" s="227" t="s">
        <v>3522</v>
      </c>
      <c r="B1048" s="228" t="s">
        <v>3523</v>
      </c>
      <c r="C1048" s="228" t="s">
        <v>1215</v>
      </c>
      <c r="D1048" s="228" t="s">
        <v>219</v>
      </c>
      <c r="E1048" s="229"/>
      <c r="F1048" s="229" t="s">
        <v>141</v>
      </c>
      <c r="G1048" s="229" t="s">
        <v>82</v>
      </c>
      <c r="H1048" s="229"/>
      <c r="I1048" s="229">
        <v>0</v>
      </c>
      <c r="J1048" s="229">
        <v>-6.29</v>
      </c>
      <c r="K1048" s="230">
        <v>6.29</v>
      </c>
      <c r="L1048" s="229" t="s">
        <v>1865</v>
      </c>
      <c r="M1048" s="229">
        <v>2.44140625E-4</v>
      </c>
      <c r="N1048" s="229" t="s">
        <v>1330</v>
      </c>
      <c r="O1048" s="229" t="s">
        <v>261</v>
      </c>
      <c r="P1048" s="231"/>
    </row>
    <row r="1049" spans="1:16" x14ac:dyDescent="0.25">
      <c r="A1049" s="227" t="s">
        <v>3524</v>
      </c>
      <c r="B1049" s="228" t="s">
        <v>3525</v>
      </c>
      <c r="C1049" s="228" t="s">
        <v>1215</v>
      </c>
      <c r="D1049" s="228" t="s">
        <v>1222</v>
      </c>
      <c r="E1049" s="229"/>
      <c r="F1049" s="229" t="s">
        <v>139</v>
      </c>
      <c r="G1049" s="229" t="s">
        <v>82</v>
      </c>
      <c r="H1049" s="229"/>
      <c r="I1049" s="229">
        <v>0</v>
      </c>
      <c r="J1049" s="229">
        <v>-220</v>
      </c>
      <c r="K1049" s="230">
        <v>220</v>
      </c>
      <c r="L1049" s="229" t="s">
        <v>1865</v>
      </c>
      <c r="M1049" s="229">
        <v>7.8125E-3</v>
      </c>
      <c r="N1049" s="229" t="s">
        <v>648</v>
      </c>
      <c r="O1049" s="229" t="s">
        <v>261</v>
      </c>
      <c r="P1049" s="231"/>
    </row>
    <row r="1050" spans="1:16" x14ac:dyDescent="0.25">
      <c r="A1050" s="227" t="s">
        <v>3526</v>
      </c>
      <c r="B1050" s="228" t="s">
        <v>3527</v>
      </c>
      <c r="C1050" s="228" t="s">
        <v>1215</v>
      </c>
      <c r="D1050" s="228" t="s">
        <v>1222</v>
      </c>
      <c r="E1050" s="229"/>
      <c r="F1050" s="229" t="s">
        <v>139</v>
      </c>
      <c r="G1050" s="229" t="s">
        <v>82</v>
      </c>
      <c r="H1050" s="229"/>
      <c r="I1050" s="229">
        <v>0</v>
      </c>
      <c r="J1050" s="229">
        <v>-6.29</v>
      </c>
      <c r="K1050" s="230">
        <v>6.29</v>
      </c>
      <c r="L1050" s="229" t="s">
        <v>1865</v>
      </c>
      <c r="M1050" s="229">
        <v>7.8125E-3</v>
      </c>
      <c r="N1050" s="229" t="s">
        <v>648</v>
      </c>
      <c r="O1050" s="229" t="s">
        <v>261</v>
      </c>
      <c r="P1050" s="231"/>
    </row>
    <row r="1051" spans="1:16" x14ac:dyDescent="0.25">
      <c r="A1051" s="227" t="s">
        <v>4108</v>
      </c>
      <c r="B1051" s="228" t="s">
        <v>4109</v>
      </c>
      <c r="C1051" s="228" t="s">
        <v>1215</v>
      </c>
      <c r="D1051" s="228" t="s">
        <v>1222</v>
      </c>
      <c r="E1051" s="229"/>
      <c r="F1051" s="229" t="s">
        <v>141</v>
      </c>
      <c r="G1051" s="229" t="s">
        <v>82</v>
      </c>
      <c r="H1051" s="229"/>
      <c r="I1051" s="229">
        <v>0</v>
      </c>
      <c r="J1051" s="229">
        <v>-220</v>
      </c>
      <c r="K1051" s="230">
        <v>220</v>
      </c>
      <c r="L1051" s="229" t="s">
        <v>1865</v>
      </c>
      <c r="M1051" s="229">
        <v>7.8125E-3</v>
      </c>
      <c r="N1051" s="229" t="s">
        <v>648</v>
      </c>
      <c r="O1051" s="229" t="s">
        <v>261</v>
      </c>
      <c r="P1051" s="231"/>
    </row>
    <row r="1052" spans="1:16" x14ac:dyDescent="0.25">
      <c r="A1052" s="227" t="s">
        <v>4110</v>
      </c>
      <c r="B1052" s="228" t="s">
        <v>4111</v>
      </c>
      <c r="C1052" s="228" t="s">
        <v>1215</v>
      </c>
      <c r="D1052" s="228" t="s">
        <v>1222</v>
      </c>
      <c r="E1052" s="229"/>
      <c r="F1052" s="229" t="s">
        <v>141</v>
      </c>
      <c r="G1052" s="229" t="s">
        <v>82</v>
      </c>
      <c r="H1052" s="229"/>
      <c r="I1052" s="229">
        <v>0</v>
      </c>
      <c r="J1052" s="229">
        <v>-220</v>
      </c>
      <c r="K1052" s="230">
        <v>220</v>
      </c>
      <c r="L1052" s="229" t="s">
        <v>1865</v>
      </c>
      <c r="M1052" s="229">
        <v>7.8125E-3</v>
      </c>
      <c r="N1052" s="229" t="s">
        <v>648</v>
      </c>
      <c r="O1052" s="229" t="s">
        <v>261</v>
      </c>
      <c r="P1052" s="231"/>
    </row>
    <row r="1053" spans="1:16" ht="20.399999999999999" x14ac:dyDescent="0.25">
      <c r="A1053" s="227" t="s">
        <v>4112</v>
      </c>
      <c r="B1053" s="228" t="s">
        <v>4113</v>
      </c>
      <c r="C1053" s="228" t="s">
        <v>1215</v>
      </c>
      <c r="D1053" s="228" t="s">
        <v>1222</v>
      </c>
      <c r="E1053" s="229"/>
      <c r="F1053" s="229" t="s">
        <v>139</v>
      </c>
      <c r="G1053" s="229" t="s">
        <v>82</v>
      </c>
      <c r="H1053" s="229"/>
      <c r="I1053" s="229">
        <v>0</v>
      </c>
      <c r="J1053" s="229" t="s">
        <v>909</v>
      </c>
      <c r="K1053" s="230" t="s">
        <v>909</v>
      </c>
      <c r="L1053" s="229">
        <v>1.953125E-3</v>
      </c>
      <c r="M1053" s="229">
        <v>0</v>
      </c>
      <c r="N1053" s="229" t="s">
        <v>648</v>
      </c>
      <c r="O1053" s="229" t="s">
        <v>1343</v>
      </c>
      <c r="P1053" s="231"/>
    </row>
    <row r="1054" spans="1:16" ht="20.399999999999999" x14ac:dyDescent="0.25">
      <c r="A1054" s="227" t="s">
        <v>4114</v>
      </c>
      <c r="B1054" s="228" t="s">
        <v>4115</v>
      </c>
      <c r="C1054" s="228" t="s">
        <v>1215</v>
      </c>
      <c r="D1054" s="228" t="s">
        <v>1222</v>
      </c>
      <c r="E1054" s="229"/>
      <c r="F1054" s="229" t="s">
        <v>139</v>
      </c>
      <c r="G1054" s="229" t="s">
        <v>82</v>
      </c>
      <c r="H1054" s="229"/>
      <c r="I1054" s="229">
        <v>0</v>
      </c>
      <c r="J1054" s="229" t="s">
        <v>909</v>
      </c>
      <c r="K1054" s="230" t="s">
        <v>909</v>
      </c>
      <c r="L1054" s="229">
        <v>1.953125E-3</v>
      </c>
      <c r="M1054" s="229">
        <v>0</v>
      </c>
      <c r="N1054" s="229" t="s">
        <v>648</v>
      </c>
      <c r="O1054" s="229" t="s">
        <v>1343</v>
      </c>
      <c r="P1054" s="231"/>
    </row>
    <row r="1055" spans="1:16" ht="20.399999999999999" x14ac:dyDescent="0.25">
      <c r="A1055" s="227" t="s">
        <v>4116</v>
      </c>
      <c r="B1055" s="228" t="s">
        <v>4117</v>
      </c>
      <c r="C1055" s="228" t="s">
        <v>1215</v>
      </c>
      <c r="D1055" s="228" t="s">
        <v>1222</v>
      </c>
      <c r="E1055" s="229"/>
      <c r="F1055" s="229" t="s">
        <v>139</v>
      </c>
      <c r="G1055" s="229" t="s">
        <v>82</v>
      </c>
      <c r="H1055" s="229"/>
      <c r="I1055" s="229">
        <v>0</v>
      </c>
      <c r="J1055" s="229" t="s">
        <v>909</v>
      </c>
      <c r="K1055" s="230" t="s">
        <v>909</v>
      </c>
      <c r="L1055" s="229">
        <v>1.953125E-3</v>
      </c>
      <c r="M1055" s="229">
        <v>0</v>
      </c>
      <c r="N1055" s="229" t="s">
        <v>648</v>
      </c>
      <c r="O1055" s="229" t="s">
        <v>1343</v>
      </c>
      <c r="P1055" s="231"/>
    </row>
    <row r="1056" spans="1:16" ht="20.399999999999999" x14ac:dyDescent="0.25">
      <c r="A1056" s="227" t="s">
        <v>4118</v>
      </c>
      <c r="B1056" s="228" t="s">
        <v>4119</v>
      </c>
      <c r="C1056" s="228" t="s">
        <v>1215</v>
      </c>
      <c r="D1056" s="228" t="s">
        <v>1222</v>
      </c>
      <c r="E1056" s="229"/>
      <c r="F1056" s="229" t="s">
        <v>139</v>
      </c>
      <c r="G1056" s="229" t="s">
        <v>82</v>
      </c>
      <c r="H1056" s="229"/>
      <c r="I1056" s="229">
        <v>0</v>
      </c>
      <c r="J1056" s="229" t="s">
        <v>909</v>
      </c>
      <c r="K1056" s="230" t="s">
        <v>909</v>
      </c>
      <c r="L1056" s="229">
        <v>1.953125E-3</v>
      </c>
      <c r="M1056" s="229">
        <v>0</v>
      </c>
      <c r="N1056" s="229" t="s">
        <v>648</v>
      </c>
      <c r="O1056" s="229" t="s">
        <v>1343</v>
      </c>
      <c r="P1056" s="231"/>
    </row>
    <row r="1057" spans="1:16" ht="20.399999999999999" x14ac:dyDescent="0.25">
      <c r="A1057" s="227" t="s">
        <v>4120</v>
      </c>
      <c r="B1057" s="228" t="s">
        <v>4121</v>
      </c>
      <c r="C1057" s="228" t="s">
        <v>1215</v>
      </c>
      <c r="D1057" s="228" t="s">
        <v>1222</v>
      </c>
      <c r="E1057" s="229"/>
      <c r="F1057" s="229" t="s">
        <v>139</v>
      </c>
      <c r="G1057" s="229" t="s">
        <v>82</v>
      </c>
      <c r="H1057" s="229"/>
      <c r="I1057" s="229">
        <v>0</v>
      </c>
      <c r="J1057" s="229" t="s">
        <v>909</v>
      </c>
      <c r="K1057" s="230" t="s">
        <v>909</v>
      </c>
      <c r="L1057" s="229">
        <v>1.953125E-3</v>
      </c>
      <c r="M1057" s="229">
        <v>0</v>
      </c>
      <c r="N1057" s="229" t="s">
        <v>648</v>
      </c>
      <c r="O1057" s="229" t="s">
        <v>1343</v>
      </c>
      <c r="P1057" s="231"/>
    </row>
    <row r="1058" spans="1:16" ht="20.399999999999999" x14ac:dyDescent="0.25">
      <c r="A1058" s="227" t="s">
        <v>4122</v>
      </c>
      <c r="B1058" s="228" t="s">
        <v>4123</v>
      </c>
      <c r="C1058" s="228" t="s">
        <v>1215</v>
      </c>
      <c r="D1058" s="228" t="s">
        <v>1222</v>
      </c>
      <c r="E1058" s="229"/>
      <c r="F1058" s="229" t="s">
        <v>139</v>
      </c>
      <c r="G1058" s="229" t="s">
        <v>82</v>
      </c>
      <c r="H1058" s="229"/>
      <c r="I1058" s="229">
        <v>0</v>
      </c>
      <c r="J1058" s="229" t="s">
        <v>909</v>
      </c>
      <c r="K1058" s="230" t="s">
        <v>909</v>
      </c>
      <c r="L1058" s="229">
        <v>1.953125E-3</v>
      </c>
      <c r="M1058" s="229">
        <v>0</v>
      </c>
      <c r="N1058" s="229" t="s">
        <v>648</v>
      </c>
      <c r="O1058" s="229" t="s">
        <v>1343</v>
      </c>
      <c r="P1058" s="231"/>
    </row>
    <row r="1059" spans="1:16" x14ac:dyDescent="0.25">
      <c r="A1059" s="227" t="s">
        <v>4124</v>
      </c>
      <c r="B1059" s="228"/>
      <c r="C1059" s="228" t="s">
        <v>1215</v>
      </c>
      <c r="D1059" s="228" t="s">
        <v>1222</v>
      </c>
      <c r="E1059" s="229"/>
      <c r="F1059" s="229" t="s">
        <v>139</v>
      </c>
      <c r="G1059" s="229" t="s">
        <v>82</v>
      </c>
      <c r="H1059" s="229"/>
      <c r="I1059" s="229">
        <v>0</v>
      </c>
      <c r="J1059" s="229">
        <v>2.5000000000000001E-2</v>
      </c>
      <c r="K1059" s="230">
        <v>7.4999999999999997E-2</v>
      </c>
      <c r="L1059" s="229" t="s">
        <v>1865</v>
      </c>
      <c r="M1059" s="229">
        <v>7.4279999999999999E-6</v>
      </c>
      <c r="N1059" s="229" t="s">
        <v>1260</v>
      </c>
      <c r="O1059" s="229" t="s">
        <v>261</v>
      </c>
      <c r="P1059" s="231"/>
    </row>
    <row r="1060" spans="1:16" x14ac:dyDescent="0.25">
      <c r="A1060" s="227" t="s">
        <v>4235</v>
      </c>
      <c r="B1060" s="228" t="s">
        <v>4260</v>
      </c>
      <c r="C1060" s="228" t="s">
        <v>1215</v>
      </c>
      <c r="D1060" s="228" t="s">
        <v>1222</v>
      </c>
      <c r="E1060" s="229"/>
      <c r="F1060" s="229" t="s">
        <v>139</v>
      </c>
      <c r="G1060" s="229" t="s">
        <v>82</v>
      </c>
      <c r="H1060" s="229"/>
      <c r="I1060" s="229" t="b">
        <v>0</v>
      </c>
      <c r="J1060" s="229" t="b">
        <v>0</v>
      </c>
      <c r="K1060" s="230" t="b">
        <v>1</v>
      </c>
      <c r="L1060" s="229" t="s">
        <v>1865</v>
      </c>
      <c r="M1060" s="229">
        <v>1</v>
      </c>
      <c r="N1060" s="229" t="s">
        <v>271</v>
      </c>
      <c r="O1060" s="229" t="s">
        <v>929</v>
      </c>
      <c r="P1060" s="231"/>
    </row>
    <row r="1061" spans="1:16" x14ac:dyDescent="0.25">
      <c r="A1061" s="227" t="s">
        <v>4261</v>
      </c>
      <c r="B1061" s="228" t="s">
        <v>2437</v>
      </c>
      <c r="C1061" s="228" t="s">
        <v>1215</v>
      </c>
      <c r="D1061" s="228" t="s">
        <v>1222</v>
      </c>
      <c r="E1061" s="229"/>
      <c r="F1061" s="229" t="s">
        <v>139</v>
      </c>
      <c r="G1061" s="229" t="s">
        <v>82</v>
      </c>
      <c r="H1061" s="229"/>
      <c r="I1061" s="229">
        <v>0</v>
      </c>
      <c r="J1061" s="229">
        <v>-31</v>
      </c>
      <c r="K1061" s="230">
        <v>31</v>
      </c>
      <c r="L1061" s="229" t="s">
        <v>1865</v>
      </c>
      <c r="M1061" s="229">
        <v>4.8828125E-4</v>
      </c>
      <c r="N1061" s="229" t="s">
        <v>654</v>
      </c>
      <c r="O1061" s="229" t="s">
        <v>261</v>
      </c>
      <c r="P1061" s="231"/>
    </row>
    <row r="1062" spans="1:16" x14ac:dyDescent="0.25">
      <c r="A1062" s="227" t="s">
        <v>4262</v>
      </c>
      <c r="B1062" s="228" t="s">
        <v>2439</v>
      </c>
      <c r="C1062" s="228" t="s">
        <v>1215</v>
      </c>
      <c r="D1062" s="228" t="s">
        <v>1222</v>
      </c>
      <c r="E1062" s="229"/>
      <c r="F1062" s="229" t="s">
        <v>139</v>
      </c>
      <c r="G1062" s="229" t="s">
        <v>82</v>
      </c>
      <c r="H1062" s="229"/>
      <c r="I1062" s="229">
        <v>0</v>
      </c>
      <c r="J1062" s="229">
        <v>-31</v>
      </c>
      <c r="K1062" s="230">
        <v>31</v>
      </c>
      <c r="L1062" s="229" t="s">
        <v>1865</v>
      </c>
      <c r="M1062" s="229">
        <v>4.8828125E-4</v>
      </c>
      <c r="N1062" s="229" t="s">
        <v>654</v>
      </c>
      <c r="O1062" s="229" t="s">
        <v>261</v>
      </c>
      <c r="P1062" s="231"/>
    </row>
    <row r="1063" spans="1:16" x14ac:dyDescent="0.25">
      <c r="A1063" s="227" t="s">
        <v>4263</v>
      </c>
      <c r="B1063" s="228" t="s">
        <v>4264</v>
      </c>
      <c r="C1063" s="228" t="s">
        <v>1215</v>
      </c>
      <c r="D1063" s="228" t="s">
        <v>1222</v>
      </c>
      <c r="E1063" s="229"/>
      <c r="F1063" s="229" t="s">
        <v>139</v>
      </c>
      <c r="G1063" s="229" t="s">
        <v>82</v>
      </c>
      <c r="H1063" s="229"/>
      <c r="I1063" s="229">
        <v>0</v>
      </c>
      <c r="J1063" s="229">
        <v>-220</v>
      </c>
      <c r="K1063" s="230">
        <v>220</v>
      </c>
      <c r="L1063" s="229" t="s">
        <v>1865</v>
      </c>
      <c r="M1063" s="229">
        <v>7.8125E-3</v>
      </c>
      <c r="N1063" s="229" t="s">
        <v>648</v>
      </c>
      <c r="O1063" s="229" t="s">
        <v>261</v>
      </c>
      <c r="P1063" s="231"/>
    </row>
    <row r="1064" spans="1:16" x14ac:dyDescent="0.25">
      <c r="A1064" s="227" t="s">
        <v>4265</v>
      </c>
      <c r="B1064" s="228" t="s">
        <v>4266</v>
      </c>
      <c r="C1064" s="228" t="s">
        <v>1215</v>
      </c>
      <c r="D1064" s="228" t="s">
        <v>1222</v>
      </c>
      <c r="E1064" s="229"/>
      <c r="F1064" s="229" t="s">
        <v>139</v>
      </c>
      <c r="G1064" s="229" t="s">
        <v>82</v>
      </c>
      <c r="H1064" s="229"/>
      <c r="I1064" s="229">
        <v>0</v>
      </c>
      <c r="J1064" s="229">
        <v>-31</v>
      </c>
      <c r="K1064" s="230">
        <v>31</v>
      </c>
      <c r="L1064" s="229" t="s">
        <v>1865</v>
      </c>
      <c r="M1064" s="229">
        <v>4.8828125E-4</v>
      </c>
      <c r="N1064" s="229" t="s">
        <v>654</v>
      </c>
      <c r="O1064" s="229" t="s">
        <v>261</v>
      </c>
      <c r="P1064" s="231"/>
    </row>
    <row r="1065" spans="1:16" x14ac:dyDescent="0.25">
      <c r="A1065" s="227" t="s">
        <v>4267</v>
      </c>
      <c r="B1065" s="228" t="s">
        <v>4268</v>
      </c>
      <c r="C1065" s="228" t="s">
        <v>1215</v>
      </c>
      <c r="D1065" s="228" t="s">
        <v>1222</v>
      </c>
      <c r="E1065" s="229"/>
      <c r="F1065" s="229" t="s">
        <v>139</v>
      </c>
      <c r="G1065" s="229" t="s">
        <v>82</v>
      </c>
      <c r="H1065" s="229"/>
      <c r="I1065" s="229">
        <v>0</v>
      </c>
      <c r="J1065" s="229">
        <v>-31</v>
      </c>
      <c r="K1065" s="230">
        <v>31</v>
      </c>
      <c r="L1065" s="229" t="s">
        <v>1865</v>
      </c>
      <c r="M1065" s="229">
        <v>4.8828125E-4</v>
      </c>
      <c r="N1065" s="229" t="s">
        <v>654</v>
      </c>
      <c r="O1065" s="229" t="s">
        <v>261</v>
      </c>
      <c r="P1065" s="231"/>
    </row>
    <row r="1066" spans="1:16" x14ac:dyDescent="0.25">
      <c r="A1066" s="227" t="s">
        <v>4269</v>
      </c>
      <c r="B1066" s="228" t="s">
        <v>4270</v>
      </c>
      <c r="C1066" s="228" t="s">
        <v>1215</v>
      </c>
      <c r="D1066" s="228" t="s">
        <v>1222</v>
      </c>
      <c r="E1066" s="229"/>
      <c r="F1066" s="229" t="s">
        <v>139</v>
      </c>
      <c r="G1066" s="229" t="s">
        <v>82</v>
      </c>
      <c r="H1066" s="229"/>
      <c r="I1066" s="229">
        <v>0</v>
      </c>
      <c r="J1066" s="229">
        <v>0</v>
      </c>
      <c r="K1066" s="230">
        <v>0.9999847412109375</v>
      </c>
      <c r="L1066" s="229" t="s">
        <v>1865</v>
      </c>
      <c r="M1066" s="229">
        <v>1.52587890625E-5</v>
      </c>
      <c r="N1066" s="229" t="s">
        <v>1353</v>
      </c>
      <c r="O1066" s="229" t="s">
        <v>261</v>
      </c>
      <c r="P1066" s="231"/>
    </row>
    <row r="1067" spans="1:16" x14ac:dyDescent="0.25">
      <c r="A1067" s="227" t="s">
        <v>4271</v>
      </c>
      <c r="B1067" s="228" t="s">
        <v>4272</v>
      </c>
      <c r="C1067" s="228" t="s">
        <v>1215</v>
      </c>
      <c r="D1067" s="228" t="s">
        <v>1222</v>
      </c>
      <c r="E1067" s="229"/>
      <c r="F1067" s="229" t="s">
        <v>139</v>
      </c>
      <c r="G1067" s="229" t="s">
        <v>82</v>
      </c>
      <c r="H1067" s="229"/>
      <c r="I1067" s="229">
        <v>0</v>
      </c>
      <c r="J1067" s="229">
        <v>-31</v>
      </c>
      <c r="K1067" s="230">
        <v>31</v>
      </c>
      <c r="L1067" s="229" t="s">
        <v>1865</v>
      </c>
      <c r="M1067" s="229">
        <v>4.8828125E-4</v>
      </c>
      <c r="N1067" s="229" t="s">
        <v>654</v>
      </c>
      <c r="O1067" s="229" t="s">
        <v>261</v>
      </c>
      <c r="P1067" s="231"/>
    </row>
    <row r="1068" spans="1:16" x14ac:dyDescent="0.25">
      <c r="A1068" s="227" t="s">
        <v>4273</v>
      </c>
      <c r="B1068" s="228" t="s">
        <v>4274</v>
      </c>
      <c r="C1068" s="228" t="s">
        <v>1215</v>
      </c>
      <c r="D1068" s="228" t="s">
        <v>1222</v>
      </c>
      <c r="E1068" s="229"/>
      <c r="F1068" s="229" t="s">
        <v>139</v>
      </c>
      <c r="G1068" s="229" t="s">
        <v>82</v>
      </c>
      <c r="H1068" s="229"/>
      <c r="I1068" s="229">
        <v>0</v>
      </c>
      <c r="J1068" s="229">
        <v>-31</v>
      </c>
      <c r="K1068" s="230">
        <v>31</v>
      </c>
      <c r="L1068" s="229" t="s">
        <v>1865</v>
      </c>
      <c r="M1068" s="229">
        <v>4.8828125E-4</v>
      </c>
      <c r="N1068" s="229" t="s">
        <v>654</v>
      </c>
      <c r="O1068" s="229" t="s">
        <v>261</v>
      </c>
      <c r="P1068" s="231"/>
    </row>
    <row r="1069" spans="1:16" x14ac:dyDescent="0.25">
      <c r="A1069" s="227" t="s">
        <v>4275</v>
      </c>
      <c r="B1069" s="228" t="s">
        <v>4276</v>
      </c>
      <c r="C1069" s="228" t="s">
        <v>1215</v>
      </c>
      <c r="D1069" s="228" t="s">
        <v>1222</v>
      </c>
      <c r="E1069" s="229"/>
      <c r="F1069" s="229" t="s">
        <v>139</v>
      </c>
      <c r="G1069" s="229" t="s">
        <v>82</v>
      </c>
      <c r="H1069" s="229"/>
      <c r="I1069" s="229">
        <v>0</v>
      </c>
      <c r="J1069" s="229">
        <v>-220</v>
      </c>
      <c r="K1069" s="230">
        <v>220</v>
      </c>
      <c r="L1069" s="229" t="s">
        <v>1865</v>
      </c>
      <c r="M1069" s="229">
        <v>7.8125E-3</v>
      </c>
      <c r="N1069" s="229" t="s">
        <v>648</v>
      </c>
      <c r="O1069" s="229" t="s">
        <v>261</v>
      </c>
      <c r="P1069" s="231"/>
    </row>
    <row r="1070" spans="1:16" x14ac:dyDescent="0.25">
      <c r="A1070" s="227" t="s">
        <v>4969</v>
      </c>
      <c r="B1070" s="228" t="s">
        <v>4970</v>
      </c>
      <c r="C1070" s="228" t="s">
        <v>1215</v>
      </c>
      <c r="D1070" s="228" t="s">
        <v>1222</v>
      </c>
      <c r="E1070" s="229"/>
      <c r="F1070" s="229" t="s">
        <v>139</v>
      </c>
      <c r="G1070" s="229" t="s">
        <v>82</v>
      </c>
      <c r="H1070" s="229"/>
      <c r="I1070" s="229">
        <v>0</v>
      </c>
      <c r="J1070" s="229">
        <v>-220</v>
      </c>
      <c r="K1070" s="230">
        <v>220</v>
      </c>
      <c r="L1070" s="229" t="s">
        <v>1865</v>
      </c>
      <c r="M1070" s="229"/>
      <c r="N1070" s="229" t="s">
        <v>648</v>
      </c>
      <c r="O1070" s="229" t="s">
        <v>261</v>
      </c>
      <c r="P1070" s="231"/>
    </row>
    <row r="1071" spans="1:16" x14ac:dyDescent="0.25">
      <c r="A1071" s="227" t="s">
        <v>4971</v>
      </c>
      <c r="B1071" s="228" t="s">
        <v>4972</v>
      </c>
      <c r="C1071" s="228" t="s">
        <v>1215</v>
      </c>
      <c r="D1071" s="228" t="s">
        <v>1222</v>
      </c>
      <c r="E1071" s="229"/>
      <c r="F1071" s="229" t="s">
        <v>139</v>
      </c>
      <c r="G1071" s="229" t="s">
        <v>82</v>
      </c>
      <c r="H1071" s="229"/>
      <c r="I1071" s="229">
        <v>0</v>
      </c>
      <c r="J1071" s="229">
        <v>-220</v>
      </c>
      <c r="K1071" s="230">
        <v>220</v>
      </c>
      <c r="L1071" s="229" t="s">
        <v>1865</v>
      </c>
      <c r="M1071" s="229"/>
      <c r="N1071" s="229" t="s">
        <v>648</v>
      </c>
      <c r="O1071" s="229" t="s">
        <v>261</v>
      </c>
      <c r="P1071" s="231"/>
    </row>
    <row r="1072" spans="1:16" x14ac:dyDescent="0.25">
      <c r="A1072" s="227" t="s">
        <v>4973</v>
      </c>
      <c r="B1072" s="228" t="s">
        <v>4974</v>
      </c>
      <c r="C1072" s="228" t="s">
        <v>1215</v>
      </c>
      <c r="D1072" s="228" t="s">
        <v>1222</v>
      </c>
      <c r="E1072" s="229"/>
      <c r="F1072" s="229" t="s">
        <v>139</v>
      </c>
      <c r="G1072" s="229" t="s">
        <v>82</v>
      </c>
      <c r="H1072" s="229"/>
      <c r="I1072" s="229">
        <v>0</v>
      </c>
      <c r="J1072" s="229">
        <v>0</v>
      </c>
      <c r="K1072" s="230">
        <v>2</v>
      </c>
      <c r="L1072" s="229" t="s">
        <v>1865</v>
      </c>
      <c r="M1072" s="229"/>
      <c r="N1072" s="229" t="s">
        <v>260</v>
      </c>
      <c r="O1072" s="229" t="s">
        <v>261</v>
      </c>
      <c r="P1072" s="231"/>
    </row>
    <row r="1073" spans="1:16" x14ac:dyDescent="0.25">
      <c r="A1073" s="227" t="s">
        <v>4975</v>
      </c>
      <c r="B1073" s="228" t="s">
        <v>4976</v>
      </c>
      <c r="C1073" s="228" t="s">
        <v>1215</v>
      </c>
      <c r="D1073" s="228" t="s">
        <v>1222</v>
      </c>
      <c r="E1073" s="229"/>
      <c r="F1073" s="229" t="s">
        <v>139</v>
      </c>
      <c r="G1073" s="229" t="s">
        <v>82</v>
      </c>
      <c r="H1073" s="229"/>
      <c r="I1073" s="229">
        <v>0</v>
      </c>
      <c r="J1073" s="229">
        <v>0</v>
      </c>
      <c r="K1073" s="230">
        <v>2</v>
      </c>
      <c r="L1073" s="229" t="s">
        <v>1865</v>
      </c>
      <c r="M1073" s="229"/>
      <c r="N1073" s="229" t="s">
        <v>260</v>
      </c>
      <c r="O1073" s="229" t="s">
        <v>261</v>
      </c>
      <c r="P1073" s="231"/>
    </row>
    <row r="1074" spans="1:16" x14ac:dyDescent="0.25">
      <c r="A1074" s="227" t="s">
        <v>4977</v>
      </c>
      <c r="B1074" s="228" t="s">
        <v>4978</v>
      </c>
      <c r="C1074" s="228" t="s">
        <v>1215</v>
      </c>
      <c r="D1074" s="228" t="s">
        <v>1222</v>
      </c>
      <c r="E1074" s="229"/>
      <c r="F1074" s="229" t="s">
        <v>139</v>
      </c>
      <c r="G1074" s="229" t="s">
        <v>82</v>
      </c>
      <c r="H1074" s="229"/>
      <c r="I1074" s="229">
        <v>0</v>
      </c>
      <c r="J1074" s="229">
        <v>-1024</v>
      </c>
      <c r="K1074" s="230">
        <v>1024</v>
      </c>
      <c r="L1074" s="229" t="s">
        <v>1865</v>
      </c>
      <c r="M1074" s="229"/>
      <c r="N1074" s="229" t="s">
        <v>260</v>
      </c>
      <c r="O1074" s="229" t="s">
        <v>261</v>
      </c>
      <c r="P1074" s="231"/>
    </row>
    <row r="1075" spans="1:16" x14ac:dyDescent="0.25">
      <c r="A1075" s="227" t="s">
        <v>4979</v>
      </c>
      <c r="B1075" s="228" t="s">
        <v>4980</v>
      </c>
      <c r="C1075" s="228" t="s">
        <v>1215</v>
      </c>
      <c r="D1075" s="228" t="s">
        <v>1222</v>
      </c>
      <c r="E1075" s="229"/>
      <c r="F1075" s="229" t="s">
        <v>139</v>
      </c>
      <c r="G1075" s="229" t="s">
        <v>82</v>
      </c>
      <c r="H1075" s="229"/>
      <c r="I1075" s="229">
        <v>0</v>
      </c>
      <c r="J1075" s="229">
        <v>-1024</v>
      </c>
      <c r="K1075" s="230">
        <v>1024</v>
      </c>
      <c r="L1075" s="229" t="s">
        <v>1865</v>
      </c>
      <c r="M1075" s="229"/>
      <c r="N1075" s="229" t="s">
        <v>260</v>
      </c>
      <c r="O1075" s="229" t="s">
        <v>261</v>
      </c>
      <c r="P1075" s="231"/>
    </row>
    <row r="1076" spans="1:16" x14ac:dyDescent="0.25">
      <c r="A1076" s="227" t="s">
        <v>4981</v>
      </c>
      <c r="B1076" s="228" t="s">
        <v>4982</v>
      </c>
      <c r="C1076" s="228" t="s">
        <v>1215</v>
      </c>
      <c r="D1076" s="228" t="s">
        <v>1222</v>
      </c>
      <c r="E1076" s="229"/>
      <c r="F1076" s="229" t="s">
        <v>139</v>
      </c>
      <c r="G1076" s="229" t="s">
        <v>82</v>
      </c>
      <c r="H1076" s="229"/>
      <c r="I1076" s="229">
        <v>0</v>
      </c>
      <c r="J1076" s="229">
        <v>-31</v>
      </c>
      <c r="K1076" s="230">
        <v>31</v>
      </c>
      <c r="L1076" s="229" t="s">
        <v>1865</v>
      </c>
      <c r="M1076" s="229"/>
      <c r="N1076" s="229" t="s">
        <v>654</v>
      </c>
      <c r="O1076" s="229" t="s">
        <v>261</v>
      </c>
      <c r="P1076" s="231"/>
    </row>
    <row r="1077" spans="1:16" x14ac:dyDescent="0.25">
      <c r="A1077" s="227" t="s">
        <v>4983</v>
      </c>
      <c r="B1077" s="228" t="s">
        <v>4984</v>
      </c>
      <c r="C1077" s="228" t="s">
        <v>1215</v>
      </c>
      <c r="D1077" s="228" t="s">
        <v>1222</v>
      </c>
      <c r="E1077" s="229"/>
      <c r="F1077" s="229" t="s">
        <v>139</v>
      </c>
      <c r="G1077" s="229" t="s">
        <v>82</v>
      </c>
      <c r="H1077" s="229"/>
      <c r="I1077" s="229">
        <v>0</v>
      </c>
      <c r="J1077" s="229">
        <v>-31</v>
      </c>
      <c r="K1077" s="230">
        <v>31</v>
      </c>
      <c r="L1077" s="229" t="s">
        <v>1865</v>
      </c>
      <c r="M1077" s="229"/>
      <c r="N1077" s="229" t="s">
        <v>654</v>
      </c>
      <c r="O1077" s="229" t="s">
        <v>261</v>
      </c>
      <c r="P1077" s="231"/>
    </row>
    <row r="1078" spans="1:16" x14ac:dyDescent="0.25">
      <c r="A1078" s="227" t="s">
        <v>4985</v>
      </c>
      <c r="B1078" s="228" t="s">
        <v>4986</v>
      </c>
      <c r="C1078" s="228" t="s">
        <v>1215</v>
      </c>
      <c r="D1078" s="228" t="s">
        <v>1222</v>
      </c>
      <c r="E1078" s="229"/>
      <c r="F1078" s="229" t="s">
        <v>139</v>
      </c>
      <c r="G1078" s="229" t="s">
        <v>82</v>
      </c>
      <c r="H1078" s="229"/>
      <c r="I1078" s="229">
        <v>0</v>
      </c>
      <c r="J1078" s="229">
        <v>-31</v>
      </c>
      <c r="K1078" s="230">
        <v>31</v>
      </c>
      <c r="L1078" s="229" t="s">
        <v>1865</v>
      </c>
      <c r="M1078" s="229"/>
      <c r="N1078" s="229" t="s">
        <v>654</v>
      </c>
      <c r="O1078" s="229" t="s">
        <v>261</v>
      </c>
      <c r="P1078" s="231"/>
    </row>
    <row r="1079" spans="1:16" x14ac:dyDescent="0.25">
      <c r="A1079" s="227" t="s">
        <v>4987</v>
      </c>
      <c r="B1079" s="228" t="s">
        <v>4988</v>
      </c>
      <c r="C1079" s="228" t="s">
        <v>1215</v>
      </c>
      <c r="D1079" s="228" t="s">
        <v>1222</v>
      </c>
      <c r="E1079" s="229"/>
      <c r="F1079" s="229" t="s">
        <v>139</v>
      </c>
      <c r="G1079" s="229" t="s">
        <v>82</v>
      </c>
      <c r="H1079" s="229"/>
      <c r="I1079" s="229">
        <v>0</v>
      </c>
      <c r="J1079" s="229">
        <v>-31</v>
      </c>
      <c r="K1079" s="230">
        <v>31</v>
      </c>
      <c r="L1079" s="229" t="s">
        <v>1865</v>
      </c>
      <c r="M1079" s="229"/>
      <c r="N1079" s="229" t="s">
        <v>654</v>
      </c>
      <c r="O1079" s="229" t="s">
        <v>261</v>
      </c>
      <c r="P1079" s="231"/>
    </row>
    <row r="1080" spans="1:16" ht="26.4" x14ac:dyDescent="0.25">
      <c r="A1080" s="227" t="s">
        <v>2922</v>
      </c>
      <c r="B1080" s="228" t="s">
        <v>2287</v>
      </c>
      <c r="C1080" s="228" t="s">
        <v>1399</v>
      </c>
      <c r="D1080" s="228"/>
      <c r="E1080" s="229"/>
      <c r="F1080" s="229" t="s">
        <v>136</v>
      </c>
      <c r="G1080" s="229"/>
      <c r="H1080" s="229"/>
      <c r="I1080" s="229">
        <v>0</v>
      </c>
      <c r="J1080" s="229">
        <v>-50</v>
      </c>
      <c r="K1080" s="230">
        <v>150</v>
      </c>
      <c r="L1080" s="229" t="s">
        <v>2283</v>
      </c>
      <c r="M1080" s="229"/>
      <c r="N1080" s="229" t="s">
        <v>558</v>
      </c>
      <c r="O1080" s="229" t="s">
        <v>261</v>
      </c>
      <c r="P1080" s="231"/>
    </row>
    <row r="1081" spans="1:16" x14ac:dyDescent="0.25">
      <c r="A1081" s="227" t="s">
        <v>2788</v>
      </c>
      <c r="B1081" s="228" t="s">
        <v>2789</v>
      </c>
      <c r="C1081" s="228" t="s">
        <v>1399</v>
      </c>
      <c r="D1081" s="228"/>
      <c r="E1081" s="229"/>
      <c r="F1081" s="229" t="s">
        <v>136</v>
      </c>
      <c r="G1081" s="229"/>
      <c r="H1081" s="229"/>
      <c r="I1081" s="229">
        <v>0</v>
      </c>
      <c r="J1081" s="229">
        <v>0</v>
      </c>
      <c r="K1081" s="230">
        <v>62500</v>
      </c>
      <c r="L1081" s="229">
        <v>1</v>
      </c>
      <c r="M1081" s="229"/>
      <c r="N1081" s="229" t="s">
        <v>2790</v>
      </c>
      <c r="O1081" s="229" t="s">
        <v>261</v>
      </c>
      <c r="P1081" s="231"/>
    </row>
    <row r="1082" spans="1:16" ht="26.4" x14ac:dyDescent="0.25">
      <c r="A1082" s="227" t="s">
        <v>4277</v>
      </c>
      <c r="B1082" s="228" t="s">
        <v>2923</v>
      </c>
      <c r="C1082" s="228" t="s">
        <v>1399</v>
      </c>
      <c r="D1082" s="228"/>
      <c r="E1082" s="229"/>
      <c r="F1082" s="229" t="s">
        <v>136</v>
      </c>
      <c r="G1082" s="229"/>
      <c r="H1082" s="229"/>
      <c r="I1082" s="229">
        <v>0</v>
      </c>
      <c r="J1082" s="229">
        <v>-40</v>
      </c>
      <c r="K1082" s="230">
        <v>215</v>
      </c>
      <c r="L1082" s="229" t="s">
        <v>2283</v>
      </c>
      <c r="M1082" s="229"/>
      <c r="N1082" s="229" t="s">
        <v>558</v>
      </c>
      <c r="O1082" s="229" t="s">
        <v>261</v>
      </c>
      <c r="P1082" s="231"/>
    </row>
    <row r="1083" spans="1:16" ht="26.4" x14ac:dyDescent="0.25">
      <c r="A1083" s="227" t="s">
        <v>2924</v>
      </c>
      <c r="B1083" s="228" t="s">
        <v>2925</v>
      </c>
      <c r="C1083" s="228" t="s">
        <v>1399</v>
      </c>
      <c r="D1083" s="228"/>
      <c r="E1083" s="229"/>
      <c r="F1083" s="229" t="s">
        <v>136</v>
      </c>
      <c r="G1083" s="229"/>
      <c r="H1083" s="229"/>
      <c r="I1083" s="229">
        <v>0</v>
      </c>
      <c r="J1083" s="229">
        <v>-40</v>
      </c>
      <c r="K1083" s="230">
        <v>87.5</v>
      </c>
      <c r="L1083" s="229" t="s">
        <v>2283</v>
      </c>
      <c r="M1083" s="229"/>
      <c r="N1083" s="229" t="s">
        <v>558</v>
      </c>
      <c r="O1083" s="229" t="s">
        <v>261</v>
      </c>
      <c r="P1083" s="231"/>
    </row>
    <row r="1084" spans="1:16" ht="26.4" x14ac:dyDescent="0.25">
      <c r="A1084" s="227" t="s">
        <v>2156</v>
      </c>
      <c r="B1084" s="228" t="s">
        <v>2926</v>
      </c>
      <c r="C1084" s="228" t="s">
        <v>1399</v>
      </c>
      <c r="D1084" s="228"/>
      <c r="E1084" s="229"/>
      <c r="F1084" s="229" t="s">
        <v>136</v>
      </c>
      <c r="G1084" s="229"/>
      <c r="H1084" s="229"/>
      <c r="I1084" s="229">
        <v>0</v>
      </c>
      <c r="J1084" s="229">
        <v>-42</v>
      </c>
      <c r="K1084" s="230">
        <v>42</v>
      </c>
      <c r="L1084" s="229" t="s">
        <v>2283</v>
      </c>
      <c r="M1084" s="229"/>
      <c r="N1084" s="229" t="s">
        <v>1461</v>
      </c>
      <c r="O1084" s="229" t="s">
        <v>261</v>
      </c>
      <c r="P1084" s="231"/>
    </row>
    <row r="1085" spans="1:16" x14ac:dyDescent="0.25">
      <c r="A1085" s="227" t="s">
        <v>2927</v>
      </c>
      <c r="B1085" s="228" t="s">
        <v>2928</v>
      </c>
      <c r="C1085" s="228" t="s">
        <v>1399</v>
      </c>
      <c r="D1085" s="228"/>
      <c r="E1085" s="229"/>
      <c r="F1085" s="229" t="s">
        <v>136</v>
      </c>
      <c r="G1085" s="229"/>
      <c r="H1085" s="229"/>
      <c r="I1085" s="229" t="b">
        <v>0</v>
      </c>
      <c r="J1085" s="229" t="s">
        <v>696</v>
      </c>
      <c r="K1085" s="230" t="s">
        <v>696</v>
      </c>
      <c r="L1085" s="229" t="s">
        <v>501</v>
      </c>
      <c r="M1085" s="229"/>
      <c r="N1085" s="229" t="s">
        <v>271</v>
      </c>
      <c r="O1085" s="229" t="s">
        <v>501</v>
      </c>
      <c r="P1085" s="231"/>
    </row>
    <row r="1086" spans="1:16" x14ac:dyDescent="0.25">
      <c r="A1086" s="227" t="s">
        <v>4278</v>
      </c>
      <c r="B1086" s="228" t="s">
        <v>4279</v>
      </c>
      <c r="C1086" s="228" t="s">
        <v>1399</v>
      </c>
      <c r="D1086" s="228"/>
      <c r="E1086" s="229"/>
      <c r="F1086" s="229" t="s">
        <v>136</v>
      </c>
      <c r="G1086" s="229"/>
      <c r="H1086" s="229"/>
      <c r="I1086" s="229" t="b">
        <v>0</v>
      </c>
      <c r="J1086" s="229" t="s">
        <v>696</v>
      </c>
      <c r="K1086" s="230" t="s">
        <v>696</v>
      </c>
      <c r="L1086" s="229" t="s">
        <v>501</v>
      </c>
      <c r="M1086" s="229"/>
      <c r="N1086" s="229" t="s">
        <v>271</v>
      </c>
      <c r="O1086" s="229" t="s">
        <v>501</v>
      </c>
      <c r="P1086" s="231"/>
    </row>
    <row r="1087" spans="1:16" ht="26.4" x14ac:dyDescent="0.25">
      <c r="A1087" s="227" t="s">
        <v>2737</v>
      </c>
      <c r="B1087" s="228" t="s">
        <v>2929</v>
      </c>
      <c r="C1087" s="228" t="s">
        <v>1399</v>
      </c>
      <c r="D1087" s="228" t="s">
        <v>198</v>
      </c>
      <c r="E1087" s="229"/>
      <c r="F1087" s="229" t="s">
        <v>138</v>
      </c>
      <c r="G1087" s="229"/>
      <c r="H1087" s="229"/>
      <c r="I1087" s="229">
        <v>0</v>
      </c>
      <c r="J1087" s="229">
        <v>-50</v>
      </c>
      <c r="K1087" s="230">
        <v>300</v>
      </c>
      <c r="L1087" s="229" t="s">
        <v>2283</v>
      </c>
      <c r="M1087" s="229">
        <v>3.125E-2</v>
      </c>
      <c r="N1087" s="229" t="s">
        <v>558</v>
      </c>
      <c r="O1087" s="229" t="s">
        <v>261</v>
      </c>
      <c r="P1087" s="231"/>
    </row>
    <row r="1088" spans="1:16" ht="26.4" x14ac:dyDescent="0.25">
      <c r="A1088" s="227" t="s">
        <v>2738</v>
      </c>
      <c r="B1088" s="228" t="s">
        <v>2930</v>
      </c>
      <c r="C1088" s="228" t="s">
        <v>1399</v>
      </c>
      <c r="D1088" s="228" t="s">
        <v>198</v>
      </c>
      <c r="E1088" s="229"/>
      <c r="F1088" s="229" t="s">
        <v>138</v>
      </c>
      <c r="G1088" s="229"/>
      <c r="H1088" s="229"/>
      <c r="I1088" s="229">
        <v>0</v>
      </c>
      <c r="J1088" s="229">
        <v>-50</v>
      </c>
      <c r="K1088" s="230">
        <v>150</v>
      </c>
      <c r="L1088" s="229" t="s">
        <v>2283</v>
      </c>
      <c r="M1088" s="229">
        <v>3.125E-2</v>
      </c>
      <c r="N1088" s="229" t="s">
        <v>558</v>
      </c>
      <c r="O1088" s="229" t="s">
        <v>261</v>
      </c>
      <c r="P1088" s="231"/>
    </row>
    <row r="1089" spans="1:16" ht="26.4" x14ac:dyDescent="0.25">
      <c r="A1089" s="227" t="s">
        <v>2739</v>
      </c>
      <c r="B1089" s="228" t="s">
        <v>2931</v>
      </c>
      <c r="C1089" s="228" t="s">
        <v>1399</v>
      </c>
      <c r="D1089" s="228" t="s">
        <v>198</v>
      </c>
      <c r="E1089" s="229"/>
      <c r="F1089" s="229" t="s">
        <v>138</v>
      </c>
      <c r="G1089" s="229"/>
      <c r="H1089" s="229"/>
      <c r="I1089" s="229">
        <v>0</v>
      </c>
      <c r="J1089" s="229">
        <v>-50</v>
      </c>
      <c r="K1089" s="230">
        <v>200</v>
      </c>
      <c r="L1089" s="229" t="s">
        <v>2283</v>
      </c>
      <c r="M1089" s="229">
        <v>3.125E-2</v>
      </c>
      <c r="N1089" s="229" t="s">
        <v>558</v>
      </c>
      <c r="O1089" s="229" t="s">
        <v>261</v>
      </c>
      <c r="P1089" s="231"/>
    </row>
    <row r="1090" spans="1:16" ht="26.4" x14ac:dyDescent="0.25">
      <c r="A1090" s="227" t="s">
        <v>2294</v>
      </c>
      <c r="B1090" s="228" t="s">
        <v>2295</v>
      </c>
      <c r="C1090" s="228" t="s">
        <v>1399</v>
      </c>
      <c r="D1090" s="228" t="s">
        <v>198</v>
      </c>
      <c r="E1090" s="229"/>
      <c r="F1090" s="229" t="s">
        <v>138</v>
      </c>
      <c r="G1090" s="229"/>
      <c r="H1090" s="229"/>
      <c r="I1090" s="229">
        <v>0</v>
      </c>
      <c r="J1090" s="229">
        <v>-50</v>
      </c>
      <c r="K1090" s="230">
        <v>150</v>
      </c>
      <c r="L1090" s="229" t="s">
        <v>2283</v>
      </c>
      <c r="M1090" s="229">
        <v>3.125E-2</v>
      </c>
      <c r="N1090" s="229" t="s">
        <v>558</v>
      </c>
      <c r="O1090" s="229" t="s">
        <v>261</v>
      </c>
      <c r="P1090" s="231"/>
    </row>
    <row r="1091" spans="1:16" ht="26.4" x14ac:dyDescent="0.25">
      <c r="A1091" s="227" t="s">
        <v>4280</v>
      </c>
      <c r="B1091" s="228" t="s">
        <v>2932</v>
      </c>
      <c r="C1091" s="228" t="s">
        <v>1399</v>
      </c>
      <c r="D1091" s="228" t="s">
        <v>198</v>
      </c>
      <c r="E1091" s="229"/>
      <c r="F1091" s="229" t="s">
        <v>141</v>
      </c>
      <c r="G1091" s="229"/>
      <c r="H1091" s="229"/>
      <c r="I1091" s="229">
        <v>0</v>
      </c>
      <c r="J1091" s="229">
        <v>-100</v>
      </c>
      <c r="K1091" s="230">
        <v>100</v>
      </c>
      <c r="L1091" s="229" t="s">
        <v>2283</v>
      </c>
      <c r="M1091" s="229" t="s">
        <v>1871</v>
      </c>
      <c r="N1091" s="229" t="s">
        <v>558</v>
      </c>
      <c r="O1091" s="229" t="s">
        <v>261</v>
      </c>
      <c r="P1091" s="231"/>
    </row>
    <row r="1092" spans="1:16" ht="26.4" x14ac:dyDescent="0.25">
      <c r="A1092" s="227" t="s">
        <v>4281</v>
      </c>
      <c r="B1092" s="228"/>
      <c r="C1092" s="228" t="s">
        <v>1399</v>
      </c>
      <c r="D1092" s="228" t="s">
        <v>198</v>
      </c>
      <c r="E1092" s="229"/>
      <c r="F1092" s="229" t="s">
        <v>139</v>
      </c>
      <c r="G1092" s="229"/>
      <c r="H1092" s="229"/>
      <c r="I1092" s="229">
        <v>0</v>
      </c>
      <c r="J1092" s="229">
        <v>-25314.167700740283</v>
      </c>
      <c r="K1092" s="230">
        <v>10435.212306893492</v>
      </c>
      <c r="L1092" s="229" t="s">
        <v>2283</v>
      </c>
      <c r="M1092" s="229">
        <v>3.125E-2</v>
      </c>
      <c r="N1092" s="229" t="s">
        <v>558</v>
      </c>
      <c r="O1092" s="229" t="s">
        <v>261</v>
      </c>
      <c r="P1092" s="231"/>
    </row>
    <row r="1093" spans="1:16" ht="26.4" x14ac:dyDescent="0.25">
      <c r="A1093" s="227" t="s">
        <v>4282</v>
      </c>
      <c r="B1093" s="228"/>
      <c r="C1093" s="228" t="s">
        <v>1399</v>
      </c>
      <c r="D1093" s="228" t="s">
        <v>198</v>
      </c>
      <c r="E1093" s="229"/>
      <c r="F1093" s="229" t="s">
        <v>139</v>
      </c>
      <c r="G1093" s="229"/>
      <c r="H1093" s="229"/>
      <c r="I1093" s="229" t="s">
        <v>1871</v>
      </c>
      <c r="J1093" s="229">
        <v>6.2831655680550824E-6</v>
      </c>
      <c r="K1093" s="230">
        <v>6.0898632575707379E-2</v>
      </c>
      <c r="L1093" s="229" t="s">
        <v>2283</v>
      </c>
      <c r="M1093" s="229">
        <v>6.2831655680550824E-6</v>
      </c>
      <c r="N1093" s="229" t="s">
        <v>260</v>
      </c>
      <c r="O1093" s="229" t="s">
        <v>2631</v>
      </c>
      <c r="P1093" s="231"/>
    </row>
    <row r="1094" spans="1:16" ht="26.4" x14ac:dyDescent="0.25">
      <c r="A1094" s="227" t="s">
        <v>4283</v>
      </c>
      <c r="B1094" s="228"/>
      <c r="C1094" s="228" t="s">
        <v>1399</v>
      </c>
      <c r="D1094" s="228" t="s">
        <v>198</v>
      </c>
      <c r="E1094" s="229"/>
      <c r="F1094" s="229" t="s">
        <v>139</v>
      </c>
      <c r="G1094" s="229"/>
      <c r="H1094" s="229"/>
      <c r="I1094" s="229">
        <v>0</v>
      </c>
      <c r="J1094" s="229">
        <v>0</v>
      </c>
      <c r="K1094" s="230">
        <v>62500</v>
      </c>
      <c r="L1094" s="229" t="s">
        <v>2283</v>
      </c>
      <c r="M1094" s="229" t="s">
        <v>3682</v>
      </c>
      <c r="N1094" s="229" t="s">
        <v>925</v>
      </c>
      <c r="O1094" s="229" t="s">
        <v>2631</v>
      </c>
      <c r="P1094" s="231"/>
    </row>
    <row r="1095" spans="1:16" ht="26.4" x14ac:dyDescent="0.25">
      <c r="A1095" s="227" t="s">
        <v>4284</v>
      </c>
      <c r="B1095" s="228" t="s">
        <v>2933</v>
      </c>
      <c r="C1095" s="228" t="s">
        <v>1399</v>
      </c>
      <c r="D1095" s="228" t="s">
        <v>198</v>
      </c>
      <c r="E1095" s="229"/>
      <c r="F1095" s="229" t="s">
        <v>141</v>
      </c>
      <c r="G1095" s="229"/>
      <c r="H1095" s="229"/>
      <c r="I1095" s="229">
        <v>0</v>
      </c>
      <c r="J1095" s="229">
        <v>-100</v>
      </c>
      <c r="K1095" s="230">
        <v>100</v>
      </c>
      <c r="L1095" s="229" t="s">
        <v>2283</v>
      </c>
      <c r="M1095" s="229" t="s">
        <v>1871</v>
      </c>
      <c r="N1095" s="229" t="s">
        <v>558</v>
      </c>
      <c r="O1095" s="229" t="s">
        <v>261</v>
      </c>
      <c r="P1095" s="231"/>
    </row>
    <row r="1096" spans="1:16" ht="26.4" x14ac:dyDescent="0.25">
      <c r="A1096" s="227" t="s">
        <v>4285</v>
      </c>
      <c r="B1096" s="228"/>
      <c r="C1096" s="228" t="s">
        <v>1399</v>
      </c>
      <c r="D1096" s="228" t="s">
        <v>198</v>
      </c>
      <c r="E1096" s="229"/>
      <c r="F1096" s="229" t="s">
        <v>139</v>
      </c>
      <c r="G1096" s="229"/>
      <c r="H1096" s="229"/>
      <c r="I1096" s="229">
        <v>0</v>
      </c>
      <c r="J1096" s="229">
        <v>-25314.167700740283</v>
      </c>
      <c r="K1096" s="230">
        <v>10435.212306893492</v>
      </c>
      <c r="L1096" s="229" t="s">
        <v>2283</v>
      </c>
      <c r="M1096" s="229">
        <v>3.125E-2</v>
      </c>
      <c r="N1096" s="229" t="s">
        <v>558</v>
      </c>
      <c r="O1096" s="229" t="s">
        <v>261</v>
      </c>
      <c r="P1096" s="231"/>
    </row>
    <row r="1097" spans="1:16" ht="26.4" x14ac:dyDescent="0.25">
      <c r="A1097" s="227" t="s">
        <v>4286</v>
      </c>
      <c r="B1097" s="228"/>
      <c r="C1097" s="228" t="s">
        <v>1399</v>
      </c>
      <c r="D1097" s="228" t="s">
        <v>198</v>
      </c>
      <c r="E1097" s="229"/>
      <c r="F1097" s="229" t="s">
        <v>139</v>
      </c>
      <c r="G1097" s="229"/>
      <c r="H1097" s="229"/>
      <c r="I1097" s="229" t="s">
        <v>1871</v>
      </c>
      <c r="J1097" s="229">
        <v>6.2831655680550824E-6</v>
      </c>
      <c r="K1097" s="230">
        <v>6.0898632575707379E-2</v>
      </c>
      <c r="L1097" s="229" t="s">
        <v>2283</v>
      </c>
      <c r="M1097" s="229">
        <v>6.2831655680550824E-6</v>
      </c>
      <c r="N1097" s="229" t="s">
        <v>260</v>
      </c>
      <c r="O1097" s="229" t="s">
        <v>2631</v>
      </c>
      <c r="P1097" s="231"/>
    </row>
    <row r="1098" spans="1:16" ht="26.4" x14ac:dyDescent="0.25">
      <c r="A1098" s="227" t="s">
        <v>4287</v>
      </c>
      <c r="B1098" s="228"/>
      <c r="C1098" s="228" t="s">
        <v>1399</v>
      </c>
      <c r="D1098" s="228" t="s">
        <v>198</v>
      </c>
      <c r="E1098" s="229"/>
      <c r="F1098" s="229" t="s">
        <v>139</v>
      </c>
      <c r="G1098" s="229"/>
      <c r="H1098" s="229"/>
      <c r="I1098" s="229">
        <v>0</v>
      </c>
      <c r="J1098" s="229">
        <v>0</v>
      </c>
      <c r="K1098" s="230">
        <v>62500</v>
      </c>
      <c r="L1098" s="229" t="s">
        <v>2283</v>
      </c>
      <c r="M1098" s="229" t="s">
        <v>3682</v>
      </c>
      <c r="N1098" s="229" t="s">
        <v>925</v>
      </c>
      <c r="O1098" s="229" t="s">
        <v>2631</v>
      </c>
      <c r="P1098" s="231"/>
    </row>
    <row r="1099" spans="1:16" ht="26.4" x14ac:dyDescent="0.25">
      <c r="A1099" s="227" t="s">
        <v>4288</v>
      </c>
      <c r="B1099" s="228" t="s">
        <v>2934</v>
      </c>
      <c r="C1099" s="228" t="s">
        <v>1399</v>
      </c>
      <c r="D1099" s="228" t="s">
        <v>198</v>
      </c>
      <c r="E1099" s="229"/>
      <c r="F1099" s="229" t="s">
        <v>141</v>
      </c>
      <c r="G1099" s="229"/>
      <c r="H1099" s="229"/>
      <c r="I1099" s="229">
        <v>0</v>
      </c>
      <c r="J1099" s="229">
        <v>-100</v>
      </c>
      <c r="K1099" s="230">
        <v>100</v>
      </c>
      <c r="L1099" s="229" t="s">
        <v>2283</v>
      </c>
      <c r="M1099" s="229" t="s">
        <v>1871</v>
      </c>
      <c r="N1099" s="229" t="s">
        <v>558</v>
      </c>
      <c r="O1099" s="229" t="s">
        <v>261</v>
      </c>
      <c r="P1099" s="231"/>
    </row>
    <row r="1100" spans="1:16" ht="26.4" x14ac:dyDescent="0.25">
      <c r="A1100" s="227" t="s">
        <v>4289</v>
      </c>
      <c r="B1100" s="228"/>
      <c r="C1100" s="228" t="s">
        <v>1399</v>
      </c>
      <c r="D1100" s="228" t="s">
        <v>198</v>
      </c>
      <c r="E1100" s="229"/>
      <c r="F1100" s="229" t="s">
        <v>139</v>
      </c>
      <c r="G1100" s="229"/>
      <c r="H1100" s="229"/>
      <c r="I1100" s="229">
        <v>0</v>
      </c>
      <c r="J1100" s="229">
        <v>-25314.167700740283</v>
      </c>
      <c r="K1100" s="230">
        <v>10435.212306893492</v>
      </c>
      <c r="L1100" s="229" t="s">
        <v>2283</v>
      </c>
      <c r="M1100" s="229">
        <v>3.125E-2</v>
      </c>
      <c r="N1100" s="229" t="s">
        <v>558</v>
      </c>
      <c r="O1100" s="229" t="s">
        <v>261</v>
      </c>
      <c r="P1100" s="231"/>
    </row>
    <row r="1101" spans="1:16" ht="26.4" x14ac:dyDescent="0.25">
      <c r="A1101" s="227" t="s">
        <v>4290</v>
      </c>
      <c r="B1101" s="228"/>
      <c r="C1101" s="228" t="s">
        <v>1399</v>
      </c>
      <c r="D1101" s="228" t="s">
        <v>198</v>
      </c>
      <c r="E1101" s="229"/>
      <c r="F1101" s="229" t="s">
        <v>139</v>
      </c>
      <c r="G1101" s="229"/>
      <c r="H1101" s="229"/>
      <c r="I1101" s="229" t="s">
        <v>1871</v>
      </c>
      <c r="J1101" s="229">
        <v>6.2831655680550824E-6</v>
      </c>
      <c r="K1101" s="230">
        <v>6.0898632575707379E-2</v>
      </c>
      <c r="L1101" s="229" t="s">
        <v>2283</v>
      </c>
      <c r="M1101" s="229">
        <v>6.2831655680550824E-6</v>
      </c>
      <c r="N1101" s="229" t="s">
        <v>260</v>
      </c>
      <c r="O1101" s="229" t="s">
        <v>2631</v>
      </c>
      <c r="P1101" s="231"/>
    </row>
    <row r="1102" spans="1:16" ht="26.4" x14ac:dyDescent="0.25">
      <c r="A1102" s="227" t="s">
        <v>4291</v>
      </c>
      <c r="B1102" s="228"/>
      <c r="C1102" s="228" t="s">
        <v>1399</v>
      </c>
      <c r="D1102" s="228" t="s">
        <v>198</v>
      </c>
      <c r="E1102" s="229"/>
      <c r="F1102" s="229" t="s">
        <v>139</v>
      </c>
      <c r="G1102" s="229"/>
      <c r="H1102" s="229"/>
      <c r="I1102" s="229">
        <v>0</v>
      </c>
      <c r="J1102" s="229">
        <v>0</v>
      </c>
      <c r="K1102" s="230">
        <v>62500</v>
      </c>
      <c r="L1102" s="229" t="s">
        <v>2283</v>
      </c>
      <c r="M1102" s="229" t="s">
        <v>3682</v>
      </c>
      <c r="N1102" s="229" t="s">
        <v>925</v>
      </c>
      <c r="O1102" s="229" t="s">
        <v>2631</v>
      </c>
      <c r="P1102" s="231"/>
    </row>
    <row r="1103" spans="1:16" ht="26.4" x14ac:dyDescent="0.25">
      <c r="A1103" s="227" t="s">
        <v>4292</v>
      </c>
      <c r="B1103" s="228"/>
      <c r="C1103" s="228" t="s">
        <v>1399</v>
      </c>
      <c r="D1103" s="228" t="s">
        <v>198</v>
      </c>
      <c r="E1103" s="229"/>
      <c r="F1103" s="229" t="s">
        <v>139</v>
      </c>
      <c r="G1103" s="229"/>
      <c r="H1103" s="229"/>
      <c r="I1103" s="229" t="s">
        <v>1871</v>
      </c>
      <c r="J1103" s="229">
        <v>6.2831655680550824E-6</v>
      </c>
      <c r="K1103" s="230">
        <v>6.0898632575707379E-2</v>
      </c>
      <c r="L1103" s="229" t="s">
        <v>2283</v>
      </c>
      <c r="M1103" s="229">
        <v>6.2831655680550824E-6</v>
      </c>
      <c r="N1103" s="229" t="s">
        <v>260</v>
      </c>
      <c r="O1103" s="229" t="s">
        <v>2631</v>
      </c>
      <c r="P1103" s="231"/>
    </row>
    <row r="1104" spans="1:16" ht="26.4" x14ac:dyDescent="0.25">
      <c r="A1104" s="227" t="s">
        <v>4293</v>
      </c>
      <c r="B1104" s="228"/>
      <c r="C1104" s="228" t="s">
        <v>1399</v>
      </c>
      <c r="D1104" s="228" t="s">
        <v>198</v>
      </c>
      <c r="E1104" s="229"/>
      <c r="F1104" s="229" t="s">
        <v>139</v>
      </c>
      <c r="G1104" s="229"/>
      <c r="H1104" s="229"/>
      <c r="I1104" s="229">
        <v>0</v>
      </c>
      <c r="J1104" s="229">
        <v>0</v>
      </c>
      <c r="K1104" s="230">
        <v>1764</v>
      </c>
      <c r="L1104" s="229" t="s">
        <v>2283</v>
      </c>
      <c r="M1104" s="229" t="s">
        <v>3682</v>
      </c>
      <c r="N1104" s="229" t="s">
        <v>925</v>
      </c>
      <c r="O1104" s="229" t="s">
        <v>2631</v>
      </c>
      <c r="P1104" s="231"/>
    </row>
    <row r="1105" spans="1:16" ht="26.4" x14ac:dyDescent="0.25">
      <c r="A1105" s="227" t="s">
        <v>4294</v>
      </c>
      <c r="B1105" s="228"/>
      <c r="C1105" s="228" t="s">
        <v>1399</v>
      </c>
      <c r="D1105" s="228" t="s">
        <v>198</v>
      </c>
      <c r="E1105" s="229"/>
      <c r="F1105" s="229" t="s">
        <v>139</v>
      </c>
      <c r="G1105" s="229"/>
      <c r="H1105" s="229"/>
      <c r="I1105" s="229">
        <v>0</v>
      </c>
      <c r="J1105" s="229">
        <v>-48004.574676356635</v>
      </c>
      <c r="K1105" s="230">
        <v>14898.898925047528</v>
      </c>
      <c r="L1105" s="229" t="s">
        <v>2283</v>
      </c>
      <c r="M1105" s="229">
        <v>3.125E-2</v>
      </c>
      <c r="N1105" s="229" t="s">
        <v>558</v>
      </c>
      <c r="O1105" s="229" t="s">
        <v>261</v>
      </c>
      <c r="P1105" s="231"/>
    </row>
    <row r="1106" spans="1:16" ht="26.4" x14ac:dyDescent="0.25">
      <c r="A1106" s="227" t="s">
        <v>4295</v>
      </c>
      <c r="B1106" s="228"/>
      <c r="C1106" s="228" t="s">
        <v>1399</v>
      </c>
      <c r="D1106" s="228" t="s">
        <v>198</v>
      </c>
      <c r="E1106" s="229"/>
      <c r="F1106" s="229" t="s">
        <v>139</v>
      </c>
      <c r="G1106" s="229"/>
      <c r="H1106" s="229"/>
      <c r="I1106" s="229">
        <v>0</v>
      </c>
      <c r="J1106" s="229">
        <v>-50</v>
      </c>
      <c r="K1106" s="230">
        <v>150</v>
      </c>
      <c r="L1106" s="229" t="s">
        <v>2283</v>
      </c>
      <c r="M1106" s="229" t="s">
        <v>3682</v>
      </c>
      <c r="N1106" s="229" t="s">
        <v>558</v>
      </c>
      <c r="O1106" s="229" t="s">
        <v>261</v>
      </c>
      <c r="P1106" s="231"/>
    </row>
    <row r="1107" spans="1:16" ht="26.4" x14ac:dyDescent="0.25">
      <c r="A1107" s="227" t="s">
        <v>4296</v>
      </c>
      <c r="B1107" s="228" t="s">
        <v>2935</v>
      </c>
      <c r="C1107" s="228" t="s">
        <v>1399</v>
      </c>
      <c r="D1107" s="228" t="s">
        <v>198</v>
      </c>
      <c r="E1107" s="229"/>
      <c r="F1107" s="229" t="s">
        <v>141</v>
      </c>
      <c r="G1107" s="229"/>
      <c r="H1107" s="229"/>
      <c r="I1107" s="229">
        <v>0</v>
      </c>
      <c r="J1107" s="229">
        <v>0</v>
      </c>
      <c r="K1107" s="230">
        <v>62500</v>
      </c>
      <c r="L1107" s="229" t="s">
        <v>2283</v>
      </c>
      <c r="M1107" s="229" t="s">
        <v>1871</v>
      </c>
      <c r="N1107" s="229" t="s">
        <v>925</v>
      </c>
      <c r="O1107" s="229" t="s">
        <v>261</v>
      </c>
      <c r="P1107" s="231"/>
    </row>
    <row r="1108" spans="1:16" ht="26.4" x14ac:dyDescent="0.25">
      <c r="A1108" s="227" t="s">
        <v>4297</v>
      </c>
      <c r="B1108" s="228" t="s">
        <v>2936</v>
      </c>
      <c r="C1108" s="228" t="s">
        <v>1399</v>
      </c>
      <c r="D1108" s="228" t="s">
        <v>198</v>
      </c>
      <c r="E1108" s="229"/>
      <c r="F1108" s="229" t="s">
        <v>141</v>
      </c>
      <c r="G1108" s="229"/>
      <c r="H1108" s="229"/>
      <c r="I1108" s="229">
        <v>0</v>
      </c>
      <c r="J1108" s="229">
        <v>-40</v>
      </c>
      <c r="K1108" s="230">
        <v>87.5</v>
      </c>
      <c r="L1108" s="229" t="s">
        <v>2283</v>
      </c>
      <c r="M1108" s="229" t="s">
        <v>1871</v>
      </c>
      <c r="N1108" s="229" t="s">
        <v>558</v>
      </c>
      <c r="O1108" s="229" t="s">
        <v>261</v>
      </c>
      <c r="P1108" s="231"/>
    </row>
    <row r="1109" spans="1:16" ht="26.4" x14ac:dyDescent="0.25">
      <c r="A1109" s="227" t="s">
        <v>4298</v>
      </c>
      <c r="B1109" s="228" t="s">
        <v>2937</v>
      </c>
      <c r="C1109" s="228" t="s">
        <v>1399</v>
      </c>
      <c r="D1109" s="228" t="s">
        <v>198</v>
      </c>
      <c r="E1109" s="229"/>
      <c r="F1109" s="229" t="s">
        <v>141</v>
      </c>
      <c r="G1109" s="229"/>
      <c r="H1109" s="229"/>
      <c r="I1109" s="229">
        <v>0</v>
      </c>
      <c r="J1109" s="229">
        <v>-40</v>
      </c>
      <c r="K1109" s="230">
        <v>215</v>
      </c>
      <c r="L1109" s="229" t="s">
        <v>2283</v>
      </c>
      <c r="M1109" s="229" t="s">
        <v>1871</v>
      </c>
      <c r="N1109" s="229" t="s">
        <v>558</v>
      </c>
      <c r="O1109" s="229" t="s">
        <v>261</v>
      </c>
      <c r="P1109" s="231"/>
    </row>
    <row r="1110" spans="1:16" ht="26.4" x14ac:dyDescent="0.25">
      <c r="A1110" s="227" t="s">
        <v>4299</v>
      </c>
      <c r="B1110" s="228" t="s">
        <v>2938</v>
      </c>
      <c r="C1110" s="228" t="s">
        <v>1399</v>
      </c>
      <c r="D1110" s="228" t="s">
        <v>198</v>
      </c>
      <c r="E1110" s="229"/>
      <c r="F1110" s="229" t="s">
        <v>141</v>
      </c>
      <c r="G1110" s="229"/>
      <c r="H1110" s="229"/>
      <c r="I1110" s="229">
        <v>0</v>
      </c>
      <c r="J1110" s="229">
        <v>0</v>
      </c>
      <c r="K1110" s="230">
        <v>1764</v>
      </c>
      <c r="L1110" s="229" t="s">
        <v>2283</v>
      </c>
      <c r="M1110" s="229" t="s">
        <v>1871</v>
      </c>
      <c r="N1110" s="229" t="s">
        <v>925</v>
      </c>
      <c r="O1110" s="229" t="s">
        <v>261</v>
      </c>
      <c r="P1110" s="231"/>
    </row>
    <row r="1111" spans="1:16" ht="26.4" x14ac:dyDescent="0.25">
      <c r="A1111" s="227" t="s">
        <v>4300</v>
      </c>
      <c r="B1111" s="228" t="s">
        <v>2939</v>
      </c>
      <c r="C1111" s="228" t="s">
        <v>1399</v>
      </c>
      <c r="D1111" s="228" t="s">
        <v>198</v>
      </c>
      <c r="E1111" s="229"/>
      <c r="F1111" s="229" t="s">
        <v>141</v>
      </c>
      <c r="G1111" s="229"/>
      <c r="H1111" s="229"/>
      <c r="I1111" s="229">
        <v>0</v>
      </c>
      <c r="J1111" s="229">
        <v>-70</v>
      </c>
      <c r="K1111" s="230">
        <v>70</v>
      </c>
      <c r="L1111" s="229" t="s">
        <v>2283</v>
      </c>
      <c r="M1111" s="229" t="s">
        <v>1871</v>
      </c>
      <c r="N1111" s="229" t="s">
        <v>558</v>
      </c>
      <c r="O1111" s="229" t="s">
        <v>261</v>
      </c>
      <c r="P1111" s="231"/>
    </row>
    <row r="1112" spans="1:16" ht="20.399999999999999" x14ac:dyDescent="0.25">
      <c r="A1112" s="227" t="s">
        <v>4301</v>
      </c>
      <c r="B1112" s="228"/>
      <c r="C1112" s="228" t="s">
        <v>1399</v>
      </c>
      <c r="D1112" s="228" t="s">
        <v>198</v>
      </c>
      <c r="E1112" s="229"/>
      <c r="F1112" s="229" t="s">
        <v>139</v>
      </c>
      <c r="G1112" s="229"/>
      <c r="H1112" s="229"/>
      <c r="I1112" s="229" t="b">
        <v>0</v>
      </c>
      <c r="J1112" s="229" t="b">
        <v>0</v>
      </c>
      <c r="K1112" s="230" t="b">
        <v>1</v>
      </c>
      <c r="L1112" s="229">
        <v>1</v>
      </c>
      <c r="M1112" s="229">
        <v>0</v>
      </c>
      <c r="N1112" s="229" t="s">
        <v>271</v>
      </c>
      <c r="O1112" s="229" t="s">
        <v>501</v>
      </c>
      <c r="P1112" s="231"/>
    </row>
    <row r="1113" spans="1:16" ht="26.4" x14ac:dyDescent="0.25">
      <c r="A1113" s="227" t="s">
        <v>4302</v>
      </c>
      <c r="B1113" s="228"/>
      <c r="C1113" s="228" t="s">
        <v>1399</v>
      </c>
      <c r="D1113" s="228" t="s">
        <v>198</v>
      </c>
      <c r="E1113" s="229"/>
      <c r="F1113" s="229" t="s">
        <v>139</v>
      </c>
      <c r="G1113" s="229"/>
      <c r="H1113" s="229"/>
      <c r="I1113" s="229">
        <v>0</v>
      </c>
      <c r="J1113" s="229">
        <v>0</v>
      </c>
      <c r="K1113" s="230">
        <v>10</v>
      </c>
      <c r="L1113" s="229" t="s">
        <v>2283</v>
      </c>
      <c r="M1113" s="229" t="s">
        <v>3682</v>
      </c>
      <c r="N1113" s="229" t="s">
        <v>558</v>
      </c>
      <c r="O1113" s="229" t="s">
        <v>261</v>
      </c>
      <c r="P1113" s="231"/>
    </row>
    <row r="1114" spans="1:16" ht="26.4" x14ac:dyDescent="0.25">
      <c r="A1114" s="227" t="s">
        <v>4303</v>
      </c>
      <c r="B1114" s="228" t="s">
        <v>2940</v>
      </c>
      <c r="C1114" s="228" t="s">
        <v>1399</v>
      </c>
      <c r="D1114" s="228" t="s">
        <v>198</v>
      </c>
      <c r="E1114" s="229"/>
      <c r="F1114" s="229" t="s">
        <v>141</v>
      </c>
      <c r="G1114" s="229"/>
      <c r="H1114" s="229"/>
      <c r="I1114" s="229">
        <v>0</v>
      </c>
      <c r="J1114" s="229">
        <v>-63053.530070203422</v>
      </c>
      <c r="K1114" s="230">
        <v>-62913.530070203422</v>
      </c>
      <c r="L1114" s="229" t="s">
        <v>2283</v>
      </c>
      <c r="M1114" s="229" t="s">
        <v>1871</v>
      </c>
      <c r="N1114" s="229" t="s">
        <v>558</v>
      </c>
      <c r="O1114" s="229" t="s">
        <v>261</v>
      </c>
      <c r="P1114" s="231"/>
    </row>
    <row r="1115" spans="1:16" ht="20.399999999999999" x14ac:dyDescent="0.25">
      <c r="A1115" s="227" t="s">
        <v>4304</v>
      </c>
      <c r="B1115" s="228"/>
      <c r="C1115" s="228" t="s">
        <v>1399</v>
      </c>
      <c r="D1115" s="228" t="s">
        <v>198</v>
      </c>
      <c r="E1115" s="229"/>
      <c r="F1115" s="229" t="s">
        <v>139</v>
      </c>
      <c r="G1115" s="229"/>
      <c r="H1115" s="229"/>
      <c r="I1115" s="229" t="b">
        <v>0</v>
      </c>
      <c r="J1115" s="229" t="b">
        <v>0</v>
      </c>
      <c r="K1115" s="230" t="b">
        <v>1</v>
      </c>
      <c r="L1115" s="229">
        <v>1</v>
      </c>
      <c r="M1115" s="229">
        <v>0</v>
      </c>
      <c r="N1115" s="229" t="s">
        <v>271</v>
      </c>
      <c r="O1115" s="229" t="s">
        <v>501</v>
      </c>
      <c r="P1115" s="231"/>
    </row>
    <row r="1116" spans="1:16" x14ac:dyDescent="0.25">
      <c r="A1116" s="227" t="s">
        <v>4008</v>
      </c>
      <c r="B1116" s="228" t="s">
        <v>2941</v>
      </c>
      <c r="C1116" s="228" t="s">
        <v>3623</v>
      </c>
      <c r="D1116" s="228" t="s">
        <v>165</v>
      </c>
      <c r="E1116" s="229"/>
      <c r="F1116" s="229" t="s">
        <v>136</v>
      </c>
      <c r="G1116" s="229" t="s">
        <v>82</v>
      </c>
      <c r="H1116" s="229"/>
      <c r="I1116" s="229">
        <v>0</v>
      </c>
      <c r="J1116" s="229">
        <v>-42</v>
      </c>
      <c r="K1116" s="230">
        <v>42</v>
      </c>
      <c r="L1116" s="229" t="s">
        <v>1865</v>
      </c>
      <c r="M1116" s="229">
        <v>8.9999999999999993E-3</v>
      </c>
      <c r="N1116" s="229" t="s">
        <v>1461</v>
      </c>
      <c r="O1116" s="229" t="s">
        <v>261</v>
      </c>
      <c r="P1116" s="231"/>
    </row>
    <row r="1117" spans="1:16" x14ac:dyDescent="0.25">
      <c r="A1117" s="227" t="s">
        <v>2942</v>
      </c>
      <c r="B1117" s="228" t="s">
        <v>2943</v>
      </c>
      <c r="C1117" s="228" t="s">
        <v>3623</v>
      </c>
      <c r="D1117" s="228" t="s">
        <v>165</v>
      </c>
      <c r="E1117" s="229"/>
      <c r="F1117" s="229" t="s">
        <v>136</v>
      </c>
      <c r="G1117" s="229" t="s">
        <v>82</v>
      </c>
      <c r="H1117" s="229"/>
      <c r="I1117" s="229">
        <v>0</v>
      </c>
      <c r="J1117" s="229">
        <v>-1350</v>
      </c>
      <c r="K1117" s="230">
        <v>1350</v>
      </c>
      <c r="L1117" s="229" t="s">
        <v>1865</v>
      </c>
      <c r="M1117" s="229">
        <v>6.25E-2</v>
      </c>
      <c r="N1117" s="229" t="s">
        <v>263</v>
      </c>
      <c r="O1117" s="229" t="s">
        <v>261</v>
      </c>
      <c r="P1117" s="231"/>
    </row>
    <row r="1118" spans="1:16" x14ac:dyDescent="0.25">
      <c r="A1118" s="227" t="s">
        <v>4009</v>
      </c>
      <c r="B1118" s="228"/>
      <c r="C1118" s="228" t="s">
        <v>3623</v>
      </c>
      <c r="D1118" s="228" t="s">
        <v>165</v>
      </c>
      <c r="E1118" s="229"/>
      <c r="F1118" s="229" t="s">
        <v>136</v>
      </c>
      <c r="G1118" s="229" t="s">
        <v>82</v>
      </c>
      <c r="H1118" s="229"/>
      <c r="I1118" s="229">
        <v>-1</v>
      </c>
      <c r="J1118" s="229">
        <v>1</v>
      </c>
      <c r="K1118" s="230">
        <v>-1</v>
      </c>
      <c r="L1118" s="229">
        <v>1</v>
      </c>
      <c r="M1118" s="229"/>
      <c r="N1118" s="229" t="s">
        <v>271</v>
      </c>
      <c r="O1118" s="229" t="s">
        <v>2265</v>
      </c>
      <c r="P1118" s="231"/>
    </row>
    <row r="1119" spans="1:16" x14ac:dyDescent="0.25">
      <c r="A1119" s="227" t="s">
        <v>2944</v>
      </c>
      <c r="B1119" s="228" t="s">
        <v>2945</v>
      </c>
      <c r="C1119" s="228" t="s">
        <v>3623</v>
      </c>
      <c r="D1119" s="228" t="s">
        <v>165</v>
      </c>
      <c r="E1119" s="229"/>
      <c r="F1119" s="229" t="s">
        <v>138</v>
      </c>
      <c r="G1119" s="229" t="s">
        <v>82</v>
      </c>
      <c r="H1119" s="229"/>
      <c r="I1119" s="229" t="b">
        <v>0</v>
      </c>
      <c r="J1119" s="229" t="b">
        <v>0</v>
      </c>
      <c r="K1119" s="230" t="b">
        <v>1</v>
      </c>
      <c r="L1119" s="229" t="s">
        <v>1871</v>
      </c>
      <c r="M1119" s="229" t="s">
        <v>1871</v>
      </c>
      <c r="N1119" s="229" t="s">
        <v>271</v>
      </c>
      <c r="O1119" s="229" t="s">
        <v>929</v>
      </c>
      <c r="P1119" s="231"/>
    </row>
    <row r="1120" spans="1:16" x14ac:dyDescent="0.25">
      <c r="A1120" s="227" t="s">
        <v>2946</v>
      </c>
      <c r="B1120" s="228" t="s">
        <v>2926</v>
      </c>
      <c r="C1120" s="228" t="s">
        <v>3623</v>
      </c>
      <c r="D1120" s="228" t="s">
        <v>165</v>
      </c>
      <c r="E1120" s="229"/>
      <c r="F1120" s="229" t="s">
        <v>138</v>
      </c>
      <c r="G1120" s="229" t="s">
        <v>82</v>
      </c>
      <c r="H1120" s="229"/>
      <c r="I1120" s="229">
        <v>0</v>
      </c>
      <c r="J1120" s="229">
        <v>-42</v>
      </c>
      <c r="K1120" s="230">
        <v>42</v>
      </c>
      <c r="L1120" s="229" t="s">
        <v>1865</v>
      </c>
      <c r="M1120" s="229">
        <v>8.9999999999999993E-3</v>
      </c>
      <c r="N1120" s="229" t="s">
        <v>1461</v>
      </c>
      <c r="O1120" s="229" t="s">
        <v>261</v>
      </c>
      <c r="P1120" s="231"/>
    </row>
    <row r="1121" spans="1:16" x14ac:dyDescent="0.25">
      <c r="A1121" s="227" t="s">
        <v>4010</v>
      </c>
      <c r="B1121" s="228" t="s">
        <v>2707</v>
      </c>
      <c r="C1121" s="228" t="s">
        <v>3623</v>
      </c>
      <c r="D1121" s="228" t="s">
        <v>165</v>
      </c>
      <c r="E1121" s="229"/>
      <c r="F1121" s="229" t="s">
        <v>138</v>
      </c>
      <c r="G1121" s="229" t="s">
        <v>82</v>
      </c>
      <c r="H1121" s="229"/>
      <c r="I1121" s="229">
        <v>0</v>
      </c>
      <c r="J1121" s="229">
        <v>-1350</v>
      </c>
      <c r="K1121" s="230">
        <v>1350</v>
      </c>
      <c r="L1121" s="229" t="s">
        <v>1865</v>
      </c>
      <c r="M1121" s="229">
        <v>6.25E-2</v>
      </c>
      <c r="N1121" s="229" t="s">
        <v>263</v>
      </c>
      <c r="O1121" s="229" t="s">
        <v>261</v>
      </c>
      <c r="P1121" s="231"/>
    </row>
    <row r="1122" spans="1:16" x14ac:dyDescent="0.25">
      <c r="A1122" s="227" t="s">
        <v>2297</v>
      </c>
      <c r="B1122" s="228" t="s">
        <v>1869</v>
      </c>
      <c r="C1122" s="228" t="s">
        <v>3623</v>
      </c>
      <c r="D1122" s="228" t="s">
        <v>165</v>
      </c>
      <c r="E1122" s="229"/>
      <c r="F1122" s="229" t="s">
        <v>138</v>
      </c>
      <c r="G1122" s="229" t="s">
        <v>82</v>
      </c>
      <c r="H1122" s="229"/>
      <c r="I1122" s="229">
        <v>0</v>
      </c>
      <c r="J1122" s="229">
        <v>-1350</v>
      </c>
      <c r="K1122" s="230">
        <v>1350</v>
      </c>
      <c r="L1122" s="229" t="s">
        <v>1865</v>
      </c>
      <c r="M1122" s="229">
        <v>6.25E-2</v>
      </c>
      <c r="N1122" s="229" t="s">
        <v>263</v>
      </c>
      <c r="O1122" s="229" t="s">
        <v>261</v>
      </c>
      <c r="P1122" s="231"/>
    </row>
    <row r="1123" spans="1:16" x14ac:dyDescent="0.25">
      <c r="A1123" s="227" t="s">
        <v>2947</v>
      </c>
      <c r="B1123" s="228" t="s">
        <v>2948</v>
      </c>
      <c r="C1123" s="228" t="s">
        <v>3623</v>
      </c>
      <c r="D1123" s="228" t="s">
        <v>165</v>
      </c>
      <c r="E1123" s="229"/>
      <c r="F1123" s="229" t="s">
        <v>138</v>
      </c>
      <c r="G1123" s="229" t="s">
        <v>82</v>
      </c>
      <c r="H1123" s="229"/>
      <c r="I1123" s="229">
        <v>0</v>
      </c>
      <c r="J1123" s="229">
        <v>-42</v>
      </c>
      <c r="K1123" s="230">
        <v>42</v>
      </c>
      <c r="L1123" s="229" t="s">
        <v>1865</v>
      </c>
      <c r="M1123" s="229">
        <v>8.9999999999999993E-3</v>
      </c>
      <c r="N1123" s="229" t="s">
        <v>1461</v>
      </c>
      <c r="O1123" s="229" t="s">
        <v>261</v>
      </c>
      <c r="P1123" s="231"/>
    </row>
    <row r="1124" spans="1:16" x14ac:dyDescent="0.25">
      <c r="A1124" s="227" t="s">
        <v>2949</v>
      </c>
      <c r="B1124" s="228" t="s">
        <v>2950</v>
      </c>
      <c r="C1124" s="228" t="s">
        <v>3623</v>
      </c>
      <c r="D1124" s="228" t="s">
        <v>165</v>
      </c>
      <c r="E1124" s="229"/>
      <c r="F1124" s="229" t="s">
        <v>138</v>
      </c>
      <c r="G1124" s="229" t="s">
        <v>82</v>
      </c>
      <c r="H1124" s="229"/>
      <c r="I1124" s="229">
        <v>0</v>
      </c>
      <c r="J1124" s="229">
        <v>-1350</v>
      </c>
      <c r="K1124" s="230">
        <v>1350</v>
      </c>
      <c r="L1124" s="229" t="s">
        <v>1865</v>
      </c>
      <c r="M1124" s="229">
        <v>6.25E-2</v>
      </c>
      <c r="N1124" s="229" t="s">
        <v>263</v>
      </c>
      <c r="O1124" s="229" t="s">
        <v>261</v>
      </c>
      <c r="P1124" s="231"/>
    </row>
    <row r="1125" spans="1:16" x14ac:dyDescent="0.25">
      <c r="A1125" s="227" t="s">
        <v>4011</v>
      </c>
      <c r="B1125" s="228"/>
      <c r="C1125" s="228" t="s">
        <v>3623</v>
      </c>
      <c r="D1125" s="228" t="s">
        <v>165</v>
      </c>
      <c r="E1125" s="229"/>
      <c r="F1125" s="229" t="s">
        <v>139</v>
      </c>
      <c r="G1125" s="229" t="s">
        <v>82</v>
      </c>
      <c r="H1125" s="229"/>
      <c r="I1125" s="229">
        <v>0</v>
      </c>
      <c r="J1125" s="229">
        <v>-1350</v>
      </c>
      <c r="K1125" s="230">
        <v>1350</v>
      </c>
      <c r="L1125" s="229" t="s">
        <v>1865</v>
      </c>
      <c r="M1125" s="229">
        <v>6.25E-2</v>
      </c>
      <c r="N1125" s="229" t="s">
        <v>263</v>
      </c>
      <c r="O1125" s="229" t="s">
        <v>261</v>
      </c>
      <c r="P1125" s="231"/>
    </row>
    <row r="1126" spans="1:16" x14ac:dyDescent="0.25">
      <c r="A1126" s="227" t="s">
        <v>4012</v>
      </c>
      <c r="B1126" s="228"/>
      <c r="C1126" s="228" t="s">
        <v>3623</v>
      </c>
      <c r="D1126" s="228" t="s">
        <v>165</v>
      </c>
      <c r="E1126" s="229"/>
      <c r="F1126" s="229" t="s">
        <v>139</v>
      </c>
      <c r="G1126" s="229" t="s">
        <v>82</v>
      </c>
      <c r="H1126" s="229"/>
      <c r="I1126" s="229">
        <v>0</v>
      </c>
      <c r="J1126" s="229">
        <v>-42</v>
      </c>
      <c r="K1126" s="230">
        <v>42</v>
      </c>
      <c r="L1126" s="229" t="s">
        <v>1865</v>
      </c>
      <c r="M1126" s="229">
        <v>6.25E-2</v>
      </c>
      <c r="N1126" s="229" t="s">
        <v>1461</v>
      </c>
      <c r="O1126" s="229" t="s">
        <v>261</v>
      </c>
      <c r="P1126" s="231"/>
    </row>
    <row r="1127" spans="1:16" ht="20.399999999999999" x14ac:dyDescent="0.25">
      <c r="A1127" s="227" t="s">
        <v>4013</v>
      </c>
      <c r="B1127" s="228"/>
      <c r="C1127" s="228" t="s">
        <v>3623</v>
      </c>
      <c r="D1127" s="228" t="s">
        <v>165</v>
      </c>
      <c r="E1127" s="229"/>
      <c r="F1127" s="229" t="s">
        <v>139</v>
      </c>
      <c r="G1127" s="229" t="s">
        <v>82</v>
      </c>
      <c r="H1127" s="229"/>
      <c r="I1127" s="229">
        <v>0</v>
      </c>
      <c r="J1127" s="229">
        <v>-42</v>
      </c>
      <c r="K1127" s="230">
        <v>42</v>
      </c>
      <c r="L1127" s="229" t="s">
        <v>2951</v>
      </c>
      <c r="M1127" s="229">
        <v>1.220703125E-4</v>
      </c>
      <c r="N1127" s="229" t="s">
        <v>263</v>
      </c>
      <c r="O1127" s="229" t="s">
        <v>2382</v>
      </c>
      <c r="P1127" s="231"/>
    </row>
    <row r="1128" spans="1:16" x14ac:dyDescent="0.25">
      <c r="A1128" s="227" t="s">
        <v>4014</v>
      </c>
      <c r="B1128" s="228"/>
      <c r="C1128" s="228" t="s">
        <v>3623</v>
      </c>
      <c r="D1128" s="228" t="s">
        <v>165</v>
      </c>
      <c r="E1128" s="229"/>
      <c r="F1128" s="229" t="s">
        <v>139</v>
      </c>
      <c r="G1128" s="229" t="s">
        <v>82</v>
      </c>
      <c r="H1128" s="229"/>
      <c r="I1128" s="229">
        <v>0</v>
      </c>
      <c r="J1128" s="229">
        <v>0</v>
      </c>
      <c r="K1128" s="230">
        <v>1</v>
      </c>
      <c r="L1128" s="229" t="s">
        <v>2952</v>
      </c>
      <c r="M1128" s="229">
        <v>1.220703125E-4</v>
      </c>
      <c r="N1128" s="229" t="s">
        <v>1353</v>
      </c>
      <c r="O1128" s="229" t="s">
        <v>977</v>
      </c>
      <c r="P1128" s="231"/>
    </row>
    <row r="1129" spans="1:16" x14ac:dyDescent="0.25">
      <c r="A1129" s="227" t="s">
        <v>4015</v>
      </c>
      <c r="B1129" s="228"/>
      <c r="C1129" s="228" t="s">
        <v>3623</v>
      </c>
      <c r="D1129" s="228" t="s">
        <v>165</v>
      </c>
      <c r="E1129" s="229"/>
      <c r="F1129" s="229" t="s">
        <v>139</v>
      </c>
      <c r="G1129" s="229" t="s">
        <v>82</v>
      </c>
      <c r="H1129" s="229"/>
      <c r="I1129" s="229">
        <v>0</v>
      </c>
      <c r="J1129" s="229">
        <v>-42</v>
      </c>
      <c r="K1129" s="230">
        <v>42</v>
      </c>
      <c r="L1129" s="229" t="s">
        <v>2953</v>
      </c>
      <c r="M1129" s="229">
        <v>6.25E-2</v>
      </c>
      <c r="N1129" s="229" t="s">
        <v>263</v>
      </c>
      <c r="O1129" s="229" t="s">
        <v>1480</v>
      </c>
      <c r="P1129" s="231"/>
    </row>
    <row r="1130" spans="1:16" x14ac:dyDescent="0.25">
      <c r="A1130" s="227" t="s">
        <v>4016</v>
      </c>
      <c r="B1130" s="228"/>
      <c r="C1130" s="228" t="s">
        <v>3623</v>
      </c>
      <c r="D1130" s="228" t="s">
        <v>165</v>
      </c>
      <c r="E1130" s="229"/>
      <c r="F1130" s="229" t="s">
        <v>139</v>
      </c>
      <c r="G1130" s="229" t="s">
        <v>82</v>
      </c>
      <c r="H1130" s="229"/>
      <c r="I1130" s="229">
        <v>0</v>
      </c>
      <c r="J1130" s="229">
        <v>-84</v>
      </c>
      <c r="K1130" s="230">
        <v>84</v>
      </c>
      <c r="L1130" s="229" t="s">
        <v>2953</v>
      </c>
      <c r="M1130" s="229">
        <v>6.25E-2</v>
      </c>
      <c r="N1130" s="229" t="s">
        <v>263</v>
      </c>
      <c r="O1130" s="229" t="s">
        <v>711</v>
      </c>
      <c r="P1130" s="231"/>
    </row>
    <row r="1131" spans="1:16" x14ac:dyDescent="0.25">
      <c r="A1131" s="227" t="s">
        <v>4017</v>
      </c>
      <c r="B1131" s="228" t="s">
        <v>2954</v>
      </c>
      <c r="C1131" s="228" t="s">
        <v>3623</v>
      </c>
      <c r="D1131" s="228" t="s">
        <v>165</v>
      </c>
      <c r="E1131" s="229"/>
      <c r="F1131" s="229" t="s">
        <v>139</v>
      </c>
      <c r="G1131" s="229" t="s">
        <v>82</v>
      </c>
      <c r="H1131" s="229"/>
      <c r="I1131" s="229">
        <v>0</v>
      </c>
      <c r="J1131" s="229">
        <v>0</v>
      </c>
      <c r="K1131" s="230">
        <v>255</v>
      </c>
      <c r="L1131" s="229">
        <v>1</v>
      </c>
      <c r="M1131" s="229">
        <v>0</v>
      </c>
      <c r="N1131" s="229" t="s">
        <v>271</v>
      </c>
      <c r="O1131" s="229" t="s">
        <v>267</v>
      </c>
      <c r="P1131" s="231"/>
    </row>
    <row r="1132" spans="1:16" x14ac:dyDescent="0.25">
      <c r="A1132" s="227" t="s">
        <v>4018</v>
      </c>
      <c r="B1132" s="228" t="s">
        <v>2955</v>
      </c>
      <c r="C1132" s="228" t="s">
        <v>3623</v>
      </c>
      <c r="D1132" s="228" t="s">
        <v>165</v>
      </c>
      <c r="E1132" s="229"/>
      <c r="F1132" s="229" t="s">
        <v>139</v>
      </c>
      <c r="G1132" s="229" t="s">
        <v>82</v>
      </c>
      <c r="H1132" s="229"/>
      <c r="I1132" s="229">
        <v>0</v>
      </c>
      <c r="J1132" s="229">
        <v>0</v>
      </c>
      <c r="K1132" s="230">
        <v>255</v>
      </c>
      <c r="L1132" s="229">
        <v>1</v>
      </c>
      <c r="M1132" s="229">
        <v>0</v>
      </c>
      <c r="N1132" s="229" t="s">
        <v>271</v>
      </c>
      <c r="O1132" s="229" t="s">
        <v>267</v>
      </c>
      <c r="P1132" s="231"/>
    </row>
    <row r="1133" spans="1:16" x14ac:dyDescent="0.25">
      <c r="A1133" s="227" t="s">
        <v>4019</v>
      </c>
      <c r="B1133" s="228"/>
      <c r="C1133" s="228" t="s">
        <v>3623</v>
      </c>
      <c r="D1133" s="228" t="s">
        <v>165</v>
      </c>
      <c r="E1133" s="229"/>
      <c r="F1133" s="229" t="s">
        <v>139</v>
      </c>
      <c r="G1133" s="229" t="s">
        <v>82</v>
      </c>
      <c r="H1133" s="229"/>
      <c r="I1133" s="229">
        <v>0</v>
      </c>
      <c r="J1133" s="229">
        <v>0</v>
      </c>
      <c r="K1133" s="230">
        <v>3</v>
      </c>
      <c r="L1133" s="229">
        <v>1</v>
      </c>
      <c r="M1133" s="229">
        <v>0</v>
      </c>
      <c r="N1133" s="229" t="s">
        <v>271</v>
      </c>
      <c r="O1133" s="229" t="s">
        <v>267</v>
      </c>
      <c r="P1133" s="231"/>
    </row>
    <row r="1134" spans="1:16" ht="132" x14ac:dyDescent="0.25">
      <c r="A1134" s="227" t="s">
        <v>2956</v>
      </c>
      <c r="B1134" s="228"/>
      <c r="C1134" s="228" t="s">
        <v>3623</v>
      </c>
      <c r="D1134" s="228" t="s">
        <v>165</v>
      </c>
      <c r="E1134" s="229" t="s">
        <v>2957</v>
      </c>
      <c r="F1134" s="229" t="s">
        <v>139</v>
      </c>
      <c r="G1134" s="229" t="s">
        <v>82</v>
      </c>
      <c r="H1134" s="229"/>
      <c r="I1134" s="229">
        <v>0</v>
      </c>
      <c r="J1134" s="229">
        <v>0</v>
      </c>
      <c r="K1134" s="230">
        <v>3</v>
      </c>
      <c r="L1134" s="229">
        <v>1</v>
      </c>
      <c r="M1134" s="229">
        <v>0</v>
      </c>
      <c r="N1134" s="229" t="s">
        <v>271</v>
      </c>
      <c r="O1134" s="229" t="s">
        <v>1003</v>
      </c>
      <c r="P1134" s="231"/>
    </row>
    <row r="1135" spans="1:16" ht="20.399999999999999" x14ac:dyDescent="0.25">
      <c r="A1135" s="227" t="s">
        <v>4020</v>
      </c>
      <c r="B1135" s="228" t="s">
        <v>2958</v>
      </c>
      <c r="C1135" s="228" t="s">
        <v>3623</v>
      </c>
      <c r="D1135" s="228" t="s">
        <v>165</v>
      </c>
      <c r="E1135" s="229"/>
      <c r="F1135" s="229" t="s">
        <v>141</v>
      </c>
      <c r="G1135" s="229" t="s">
        <v>82</v>
      </c>
      <c r="H1135" s="229"/>
      <c r="I1135" s="229">
        <v>0</v>
      </c>
      <c r="J1135" s="229">
        <v>0</v>
      </c>
      <c r="K1135" s="230">
        <v>2700</v>
      </c>
      <c r="L1135" s="229" t="s">
        <v>1865</v>
      </c>
      <c r="M1135" s="229">
        <v>1</v>
      </c>
      <c r="N1135" s="229" t="s">
        <v>263</v>
      </c>
      <c r="O1135" s="229" t="s">
        <v>261</v>
      </c>
      <c r="P1135" s="231"/>
    </row>
    <row r="1136" spans="1:16" ht="20.399999999999999" x14ac:dyDescent="0.25">
      <c r="A1136" s="227" t="s">
        <v>4021</v>
      </c>
      <c r="B1136" s="228" t="s">
        <v>2959</v>
      </c>
      <c r="C1136" s="228" t="s">
        <v>3623</v>
      </c>
      <c r="D1136" s="228" t="s">
        <v>165</v>
      </c>
      <c r="E1136" s="229"/>
      <c r="F1136" s="229" t="s">
        <v>141</v>
      </c>
      <c r="G1136" s="229" t="s">
        <v>82</v>
      </c>
      <c r="H1136" s="229"/>
      <c r="I1136" s="229">
        <v>0</v>
      </c>
      <c r="J1136" s="229">
        <v>0</v>
      </c>
      <c r="K1136" s="230">
        <v>84</v>
      </c>
      <c r="L1136" s="229" t="s">
        <v>1865</v>
      </c>
      <c r="M1136" s="229">
        <v>1</v>
      </c>
      <c r="N1136" s="229" t="s">
        <v>1461</v>
      </c>
      <c r="O1136" s="229" t="s">
        <v>261</v>
      </c>
      <c r="P1136" s="231"/>
    </row>
    <row r="1137" spans="1:16" x14ac:dyDescent="0.25">
      <c r="A1137" s="227" t="s">
        <v>4022</v>
      </c>
      <c r="B1137" s="228" t="s">
        <v>2941</v>
      </c>
      <c r="C1137" s="228" t="s">
        <v>3623</v>
      </c>
      <c r="D1137" s="228" t="s">
        <v>165</v>
      </c>
      <c r="E1137" s="229"/>
      <c r="F1137" s="229" t="s">
        <v>136</v>
      </c>
      <c r="G1137" s="229" t="s">
        <v>82</v>
      </c>
      <c r="H1137" s="229"/>
      <c r="I1137" s="229">
        <v>0</v>
      </c>
      <c r="J1137" s="229">
        <v>-42</v>
      </c>
      <c r="K1137" s="230">
        <v>42</v>
      </c>
      <c r="L1137" s="229" t="s">
        <v>1865</v>
      </c>
      <c r="M1137" s="229">
        <v>8.9999999999999993E-3</v>
      </c>
      <c r="N1137" s="229" t="s">
        <v>1461</v>
      </c>
      <c r="O1137" s="229" t="s">
        <v>261</v>
      </c>
      <c r="P1137" s="231"/>
    </row>
    <row r="1138" spans="1:16" x14ac:dyDescent="0.25">
      <c r="A1138" s="227" t="s">
        <v>4023</v>
      </c>
      <c r="B1138" s="228" t="s">
        <v>2943</v>
      </c>
      <c r="C1138" s="228" t="s">
        <v>3623</v>
      </c>
      <c r="D1138" s="228" t="s">
        <v>165</v>
      </c>
      <c r="E1138" s="229"/>
      <c r="F1138" s="229" t="s">
        <v>136</v>
      </c>
      <c r="G1138" s="229" t="s">
        <v>82</v>
      </c>
      <c r="H1138" s="229"/>
      <c r="I1138" s="229">
        <v>0</v>
      </c>
      <c r="J1138" s="229">
        <v>-1350</v>
      </c>
      <c r="K1138" s="230">
        <v>1350</v>
      </c>
      <c r="L1138" s="229" t="s">
        <v>1865</v>
      </c>
      <c r="M1138" s="229">
        <v>6.25E-2</v>
      </c>
      <c r="N1138" s="229" t="s">
        <v>263</v>
      </c>
      <c r="O1138" s="229" t="s">
        <v>261</v>
      </c>
      <c r="P1138" s="231"/>
    </row>
    <row r="1139" spans="1:16" x14ac:dyDescent="0.25">
      <c r="A1139" s="227" t="s">
        <v>2960</v>
      </c>
      <c r="B1139" s="228" t="s">
        <v>2961</v>
      </c>
      <c r="C1139" s="228" t="s">
        <v>3623</v>
      </c>
      <c r="D1139" s="228" t="s">
        <v>165</v>
      </c>
      <c r="E1139" s="229"/>
      <c r="F1139" s="229" t="s">
        <v>141</v>
      </c>
      <c r="G1139" s="229" t="s">
        <v>82</v>
      </c>
      <c r="H1139" s="229"/>
      <c r="I1139" s="229">
        <v>0</v>
      </c>
      <c r="J1139" s="229" t="s">
        <v>909</v>
      </c>
      <c r="K1139" s="230" t="s">
        <v>909</v>
      </c>
      <c r="L1139" s="229">
        <v>1</v>
      </c>
      <c r="M1139" s="229">
        <v>1</v>
      </c>
      <c r="N1139" s="229" t="s">
        <v>384</v>
      </c>
      <c r="O1139" s="229" t="s">
        <v>267</v>
      </c>
      <c r="P1139" s="231"/>
    </row>
    <row r="1140" spans="1:16" x14ac:dyDescent="0.25">
      <c r="A1140" s="227" t="s">
        <v>2962</v>
      </c>
      <c r="B1140" s="228"/>
      <c r="C1140" s="228" t="s">
        <v>3623</v>
      </c>
      <c r="D1140" s="228"/>
      <c r="E1140" s="229"/>
      <c r="F1140" s="229"/>
      <c r="G1140" s="229"/>
      <c r="H1140" s="229"/>
      <c r="I1140" s="229"/>
      <c r="J1140" s="229"/>
      <c r="K1140" s="230"/>
      <c r="L1140" s="229"/>
      <c r="M1140" s="229"/>
      <c r="N1140" s="229"/>
      <c r="O1140" s="229"/>
      <c r="P1140" s="231"/>
    </row>
    <row r="1141" spans="1:16" x14ac:dyDescent="0.25">
      <c r="A1141" s="227" t="s">
        <v>4009</v>
      </c>
      <c r="B1141" s="228" t="s">
        <v>2963</v>
      </c>
      <c r="C1141" s="228" t="s">
        <v>3623</v>
      </c>
      <c r="D1141" s="228" t="s">
        <v>165</v>
      </c>
      <c r="E1141" s="229"/>
      <c r="F1141" s="229" t="s">
        <v>136</v>
      </c>
      <c r="G1141" s="229" t="s">
        <v>82</v>
      </c>
      <c r="H1141" s="229"/>
      <c r="I1141" s="229">
        <v>0</v>
      </c>
      <c r="J1141" s="229">
        <v>-1</v>
      </c>
      <c r="K1141" s="230">
        <v>1</v>
      </c>
      <c r="L1141" s="229">
        <v>1</v>
      </c>
      <c r="M1141" s="229"/>
      <c r="N1141" s="229" t="s">
        <v>271</v>
      </c>
      <c r="O1141" s="229" t="s">
        <v>2265</v>
      </c>
      <c r="P1141" s="231"/>
    </row>
    <row r="1142" spans="1:16" x14ac:dyDescent="0.25">
      <c r="A1142" s="227" t="s">
        <v>4024</v>
      </c>
      <c r="B1142" s="228"/>
      <c r="C1142" s="228" t="s">
        <v>3623</v>
      </c>
      <c r="D1142" s="228" t="s">
        <v>165</v>
      </c>
      <c r="E1142" s="229"/>
      <c r="F1142" s="229" t="s">
        <v>136</v>
      </c>
      <c r="G1142" s="229" t="s">
        <v>82</v>
      </c>
      <c r="H1142" s="229"/>
      <c r="I1142" s="229">
        <v>0</v>
      </c>
      <c r="J1142" s="229">
        <v>-360</v>
      </c>
      <c r="K1142" s="230">
        <v>360</v>
      </c>
      <c r="L1142" s="229" t="s">
        <v>1865</v>
      </c>
      <c r="M1142" s="229"/>
      <c r="N1142" s="229" t="s">
        <v>1866</v>
      </c>
      <c r="O1142" s="229" t="s">
        <v>261</v>
      </c>
      <c r="P1142" s="231"/>
    </row>
    <row r="1143" spans="1:16" x14ac:dyDescent="0.25">
      <c r="A1143" s="227" t="s">
        <v>2946</v>
      </c>
      <c r="B1143" s="228" t="s">
        <v>2926</v>
      </c>
      <c r="C1143" s="228" t="s">
        <v>3623</v>
      </c>
      <c r="D1143" s="228" t="s">
        <v>165</v>
      </c>
      <c r="E1143" s="229"/>
      <c r="F1143" s="229" t="s">
        <v>136</v>
      </c>
      <c r="G1143" s="229" t="s">
        <v>82</v>
      </c>
      <c r="H1143" s="229"/>
      <c r="I1143" s="229">
        <v>0</v>
      </c>
      <c r="J1143" s="229">
        <v>-42</v>
      </c>
      <c r="K1143" s="230">
        <v>42</v>
      </c>
      <c r="L1143" s="229" t="s">
        <v>1865</v>
      </c>
      <c r="M1143" s="229">
        <v>8.9999999999999993E-3</v>
      </c>
      <c r="N1143" s="229" t="s">
        <v>1461</v>
      </c>
      <c r="O1143" s="229" t="s">
        <v>261</v>
      </c>
      <c r="P1143" s="231"/>
    </row>
    <row r="1144" spans="1:16" x14ac:dyDescent="0.25">
      <c r="A1144" s="227" t="s">
        <v>4010</v>
      </c>
      <c r="B1144" s="228" t="s">
        <v>2707</v>
      </c>
      <c r="C1144" s="228" t="s">
        <v>3623</v>
      </c>
      <c r="D1144" s="228" t="s">
        <v>165</v>
      </c>
      <c r="E1144" s="229"/>
      <c r="F1144" s="229" t="s">
        <v>136</v>
      </c>
      <c r="G1144" s="229" t="s">
        <v>82</v>
      </c>
      <c r="H1144" s="229"/>
      <c r="I1144" s="229">
        <v>0</v>
      </c>
      <c r="J1144" s="229">
        <v>-1350</v>
      </c>
      <c r="K1144" s="230">
        <v>1350</v>
      </c>
      <c r="L1144" s="229" t="s">
        <v>1865</v>
      </c>
      <c r="M1144" s="229">
        <v>6.25E-2</v>
      </c>
      <c r="N1144" s="229" t="s">
        <v>263</v>
      </c>
      <c r="O1144" s="229" t="s">
        <v>261</v>
      </c>
      <c r="P1144" s="231"/>
    </row>
    <row r="1145" spans="1:16" x14ac:dyDescent="0.25">
      <c r="A1145" s="227" t="s">
        <v>4022</v>
      </c>
      <c r="B1145" s="228" t="s">
        <v>2941</v>
      </c>
      <c r="C1145" s="228" t="s">
        <v>3623</v>
      </c>
      <c r="D1145" s="228" t="s">
        <v>165</v>
      </c>
      <c r="E1145" s="229"/>
      <c r="F1145" s="229" t="s">
        <v>138</v>
      </c>
      <c r="G1145" s="229" t="s">
        <v>82</v>
      </c>
      <c r="H1145" s="229"/>
      <c r="I1145" s="229">
        <v>0</v>
      </c>
      <c r="J1145" s="229">
        <v>-42</v>
      </c>
      <c r="K1145" s="230">
        <v>42</v>
      </c>
      <c r="L1145" s="229" t="s">
        <v>1865</v>
      </c>
      <c r="M1145" s="229">
        <v>8.9999999999999993E-3</v>
      </c>
      <c r="N1145" s="229" t="s">
        <v>1461</v>
      </c>
      <c r="O1145" s="229" t="s">
        <v>261</v>
      </c>
      <c r="P1145" s="231"/>
    </row>
    <row r="1146" spans="1:16" x14ac:dyDescent="0.25">
      <c r="A1146" s="227" t="s">
        <v>4023</v>
      </c>
      <c r="B1146" s="228" t="s">
        <v>2943</v>
      </c>
      <c r="C1146" s="228" t="s">
        <v>3623</v>
      </c>
      <c r="D1146" s="228" t="s">
        <v>165</v>
      </c>
      <c r="E1146" s="229"/>
      <c r="F1146" s="229" t="s">
        <v>138</v>
      </c>
      <c r="G1146" s="229" t="s">
        <v>82</v>
      </c>
      <c r="H1146" s="229"/>
      <c r="I1146" s="229">
        <v>0</v>
      </c>
      <c r="J1146" s="229">
        <v>-1350</v>
      </c>
      <c r="K1146" s="230">
        <v>1350</v>
      </c>
      <c r="L1146" s="229" t="s">
        <v>1865</v>
      </c>
      <c r="M1146" s="229">
        <v>6.25E-2</v>
      </c>
      <c r="N1146" s="229" t="s">
        <v>263</v>
      </c>
      <c r="O1146" s="229" t="s">
        <v>261</v>
      </c>
      <c r="P1146" s="231"/>
    </row>
    <row r="1147" spans="1:16" x14ac:dyDescent="0.25">
      <c r="A1147" s="227" t="s">
        <v>4025</v>
      </c>
      <c r="B1147" s="228"/>
      <c r="C1147" s="228" t="s">
        <v>3623</v>
      </c>
      <c r="D1147" s="228" t="s">
        <v>165</v>
      </c>
      <c r="E1147" s="229"/>
      <c r="F1147" s="229" t="s">
        <v>139</v>
      </c>
      <c r="G1147" s="229" t="s">
        <v>82</v>
      </c>
      <c r="H1147" s="229"/>
      <c r="I1147" s="229">
        <v>0</v>
      </c>
      <c r="J1147" s="229" t="s">
        <v>909</v>
      </c>
      <c r="K1147" s="230" t="s">
        <v>909</v>
      </c>
      <c r="L1147" s="229">
        <v>1</v>
      </c>
      <c r="M1147" s="229">
        <v>0</v>
      </c>
      <c r="N1147" s="229" t="s">
        <v>2964</v>
      </c>
      <c r="O1147" s="229" t="s">
        <v>267</v>
      </c>
      <c r="P1147" s="231"/>
    </row>
    <row r="1148" spans="1:16" x14ac:dyDescent="0.25">
      <c r="A1148" s="227" t="s">
        <v>4026</v>
      </c>
      <c r="B1148" s="228"/>
      <c r="C1148" s="228" t="s">
        <v>3623</v>
      </c>
      <c r="D1148" s="228" t="s">
        <v>165</v>
      </c>
      <c r="E1148" s="229"/>
      <c r="F1148" s="229" t="s">
        <v>139</v>
      </c>
      <c r="G1148" s="229" t="s">
        <v>82</v>
      </c>
      <c r="H1148" s="229"/>
      <c r="I1148" s="229">
        <v>0</v>
      </c>
      <c r="J1148" s="229" t="s">
        <v>909</v>
      </c>
      <c r="K1148" s="230" t="s">
        <v>909</v>
      </c>
      <c r="L1148" s="229">
        <v>1</v>
      </c>
      <c r="M1148" s="229">
        <v>0</v>
      </c>
      <c r="N1148" s="229" t="s">
        <v>271</v>
      </c>
      <c r="O1148" s="229" t="s">
        <v>2965</v>
      </c>
      <c r="P1148" s="231"/>
    </row>
    <row r="1149" spans="1:16" x14ac:dyDescent="0.25">
      <c r="A1149" s="227" t="s">
        <v>4027</v>
      </c>
      <c r="B1149" s="228"/>
      <c r="C1149" s="228" t="s">
        <v>3623</v>
      </c>
      <c r="D1149" s="228" t="s">
        <v>165</v>
      </c>
      <c r="E1149" s="229"/>
      <c r="F1149" s="229" t="s">
        <v>139</v>
      </c>
      <c r="G1149" s="229" t="s">
        <v>82</v>
      </c>
      <c r="H1149" s="229"/>
      <c r="I1149" s="229">
        <v>0</v>
      </c>
      <c r="J1149" s="229">
        <v>0</v>
      </c>
      <c r="K1149" s="230">
        <v>0.99998474121093694</v>
      </c>
      <c r="L1149" s="229" t="s">
        <v>1865</v>
      </c>
      <c r="M1149" s="229">
        <v>6.25E-2</v>
      </c>
      <c r="N1149" s="229" t="s">
        <v>1353</v>
      </c>
      <c r="O1149" s="229" t="s">
        <v>261</v>
      </c>
      <c r="P1149" s="231"/>
    </row>
    <row r="1150" spans="1:16" ht="20.399999999999999" x14ac:dyDescent="0.25">
      <c r="A1150" s="227" t="s">
        <v>4028</v>
      </c>
      <c r="B1150" s="228"/>
      <c r="C1150" s="228" t="s">
        <v>3623</v>
      </c>
      <c r="D1150" s="228" t="s">
        <v>165</v>
      </c>
      <c r="E1150" s="229"/>
      <c r="F1150" s="229" t="s">
        <v>139</v>
      </c>
      <c r="G1150" s="229" t="s">
        <v>82</v>
      </c>
      <c r="H1150" s="229"/>
      <c r="I1150" s="229">
        <v>0</v>
      </c>
      <c r="J1150" s="229">
        <v>-1350</v>
      </c>
      <c r="K1150" s="230">
        <v>1350</v>
      </c>
      <c r="L1150" s="229" t="s">
        <v>1865</v>
      </c>
      <c r="M1150" s="229">
        <v>6.25E-2</v>
      </c>
      <c r="N1150" s="229" t="s">
        <v>263</v>
      </c>
      <c r="O1150" s="229" t="s">
        <v>261</v>
      </c>
      <c r="P1150" s="231"/>
    </row>
    <row r="1151" spans="1:16" ht="20.399999999999999" x14ac:dyDescent="0.25">
      <c r="A1151" s="227" t="s">
        <v>4029</v>
      </c>
      <c r="B1151" s="228"/>
      <c r="C1151" s="228" t="s">
        <v>3623</v>
      </c>
      <c r="D1151" s="228" t="s">
        <v>165</v>
      </c>
      <c r="E1151" s="229"/>
      <c r="F1151" s="229" t="s">
        <v>139</v>
      </c>
      <c r="G1151" s="229" t="s">
        <v>82</v>
      </c>
      <c r="H1151" s="229"/>
      <c r="I1151" s="229">
        <v>0</v>
      </c>
      <c r="J1151" s="229">
        <v>-42</v>
      </c>
      <c r="K1151" s="230">
        <v>42</v>
      </c>
      <c r="L1151" s="229" t="s">
        <v>1865</v>
      </c>
      <c r="M1151" s="229">
        <v>6.25E-2</v>
      </c>
      <c r="N1151" s="229" t="s">
        <v>1461</v>
      </c>
      <c r="O1151" s="229" t="s">
        <v>261</v>
      </c>
      <c r="P1151" s="231"/>
    </row>
    <row r="1152" spans="1:16" ht="20.399999999999999" x14ac:dyDescent="0.25">
      <c r="A1152" s="227" t="s">
        <v>4030</v>
      </c>
      <c r="B1152" s="228"/>
      <c r="C1152" s="228" t="s">
        <v>3623</v>
      </c>
      <c r="D1152" s="228" t="s">
        <v>165</v>
      </c>
      <c r="E1152" s="229"/>
      <c r="F1152" s="229" t="s">
        <v>141</v>
      </c>
      <c r="G1152" s="229" t="s">
        <v>82</v>
      </c>
      <c r="H1152" s="229"/>
      <c r="I1152" s="229">
        <v>0</v>
      </c>
      <c r="J1152" s="229">
        <v>-2700</v>
      </c>
      <c r="K1152" s="230">
        <v>2700</v>
      </c>
      <c r="L1152" s="229" t="s">
        <v>1865</v>
      </c>
      <c r="M1152" s="229">
        <v>6.25E-2</v>
      </c>
      <c r="N1152" s="229" t="s">
        <v>263</v>
      </c>
      <c r="O1152" s="229" t="s">
        <v>261</v>
      </c>
      <c r="P1152" s="231"/>
    </row>
    <row r="1153" spans="1:16" ht="20.399999999999999" x14ac:dyDescent="0.25">
      <c r="A1153" s="227" t="s">
        <v>4031</v>
      </c>
      <c r="B1153" s="228"/>
      <c r="C1153" s="228" t="s">
        <v>3623</v>
      </c>
      <c r="D1153" s="228" t="s">
        <v>165</v>
      </c>
      <c r="E1153" s="229"/>
      <c r="F1153" s="229" t="s">
        <v>141</v>
      </c>
      <c r="G1153" s="229" t="s">
        <v>82</v>
      </c>
      <c r="H1153" s="229"/>
      <c r="I1153" s="229">
        <v>0</v>
      </c>
      <c r="J1153" s="229">
        <v>-84</v>
      </c>
      <c r="K1153" s="230">
        <v>84</v>
      </c>
      <c r="L1153" s="229" t="s">
        <v>1865</v>
      </c>
      <c r="M1153" s="229">
        <v>6.25E-2</v>
      </c>
      <c r="N1153" s="229" t="s">
        <v>1461</v>
      </c>
      <c r="O1153" s="229" t="s">
        <v>261</v>
      </c>
      <c r="P1153" s="231"/>
    </row>
    <row r="1154" spans="1:16" x14ac:dyDescent="0.25">
      <c r="A1154" s="227" t="s">
        <v>4032</v>
      </c>
      <c r="B1154" s="228"/>
      <c r="C1154" s="228" t="s">
        <v>3623</v>
      </c>
      <c r="D1154" s="228" t="s">
        <v>165</v>
      </c>
      <c r="E1154" s="229"/>
      <c r="F1154" s="229" t="s">
        <v>141</v>
      </c>
      <c r="G1154" s="229" t="s">
        <v>82</v>
      </c>
      <c r="H1154" s="229"/>
      <c r="I1154" s="229">
        <v>0</v>
      </c>
      <c r="J1154" s="229">
        <v>-6.28</v>
      </c>
      <c r="K1154" s="230" t="s">
        <v>4033</v>
      </c>
      <c r="L1154" s="229" t="s">
        <v>1865</v>
      </c>
      <c r="M1154" s="229">
        <v>6.25E-2</v>
      </c>
      <c r="N1154" s="229" t="s">
        <v>1353</v>
      </c>
      <c r="O1154" s="229" t="s">
        <v>261</v>
      </c>
      <c r="P1154" s="231"/>
    </row>
    <row r="1155" spans="1:16" ht="20.399999999999999" x14ac:dyDescent="0.25">
      <c r="A1155" s="227" t="s">
        <v>4034</v>
      </c>
      <c r="B1155" s="228"/>
      <c r="C1155" s="228" t="s">
        <v>3623</v>
      </c>
      <c r="D1155" s="228" t="s">
        <v>165</v>
      </c>
      <c r="E1155" s="229"/>
      <c r="F1155" s="229" t="s">
        <v>141</v>
      </c>
      <c r="G1155" s="229" t="s">
        <v>82</v>
      </c>
      <c r="H1155" s="229"/>
      <c r="I1155" s="229">
        <v>0</v>
      </c>
      <c r="J1155" s="229">
        <v>0</v>
      </c>
      <c r="K1155" s="230" t="s">
        <v>909</v>
      </c>
      <c r="L1155" s="229" t="s">
        <v>1865</v>
      </c>
      <c r="M1155" s="229">
        <v>6.25E-2</v>
      </c>
      <c r="N1155" s="229" t="s">
        <v>651</v>
      </c>
      <c r="O1155" s="229" t="s">
        <v>261</v>
      </c>
      <c r="P1155" s="231"/>
    </row>
    <row r="1156" spans="1:16" ht="20.399999999999999" x14ac:dyDescent="0.25">
      <c r="A1156" s="227" t="s">
        <v>4035</v>
      </c>
      <c r="B1156" s="228"/>
      <c r="C1156" s="228" t="s">
        <v>3623</v>
      </c>
      <c r="D1156" s="228" t="s">
        <v>165</v>
      </c>
      <c r="E1156" s="229"/>
      <c r="F1156" s="229" t="s">
        <v>141</v>
      </c>
      <c r="G1156" s="229" t="s">
        <v>82</v>
      </c>
      <c r="H1156" s="229"/>
      <c r="I1156" s="229">
        <v>0</v>
      </c>
      <c r="J1156" s="229">
        <v>-1350</v>
      </c>
      <c r="K1156" s="230">
        <v>1350</v>
      </c>
      <c r="L1156" s="229" t="s">
        <v>1865</v>
      </c>
      <c r="M1156" s="229">
        <v>6.25E-2</v>
      </c>
      <c r="N1156" s="229" t="s">
        <v>263</v>
      </c>
      <c r="O1156" s="229" t="s">
        <v>261</v>
      </c>
      <c r="P1156" s="231"/>
    </row>
    <row r="1157" spans="1:16" x14ac:dyDescent="0.25">
      <c r="A1157" s="227" t="s">
        <v>5114</v>
      </c>
      <c r="B1157" s="228"/>
      <c r="C1157" s="228" t="s">
        <v>3623</v>
      </c>
      <c r="D1157" s="228" t="s">
        <v>165</v>
      </c>
      <c r="E1157" s="229"/>
      <c r="F1157" s="229" t="s">
        <v>136</v>
      </c>
      <c r="G1157" s="229" t="s">
        <v>82</v>
      </c>
      <c r="H1157" s="229"/>
      <c r="I1157" s="229">
        <v>0</v>
      </c>
      <c r="J1157" s="229">
        <v>0</v>
      </c>
      <c r="K1157" s="230" t="s">
        <v>909</v>
      </c>
      <c r="L1157" s="229" t="s">
        <v>909</v>
      </c>
      <c r="M1157" s="229"/>
      <c r="N1157" s="229" t="s">
        <v>384</v>
      </c>
      <c r="O1157" s="229" t="s">
        <v>321</v>
      </c>
      <c r="P1157" s="231"/>
    </row>
    <row r="1158" spans="1:16" ht="20.399999999999999" x14ac:dyDescent="0.25">
      <c r="A1158" s="227" t="s">
        <v>5115</v>
      </c>
      <c r="B1158" s="228"/>
      <c r="C1158" s="228" t="s">
        <v>3623</v>
      </c>
      <c r="D1158" s="228" t="s">
        <v>165</v>
      </c>
      <c r="E1158" s="229"/>
      <c r="F1158" s="229" t="s">
        <v>139</v>
      </c>
      <c r="G1158" s="229" t="s">
        <v>82</v>
      </c>
      <c r="H1158" s="229"/>
      <c r="I1158" s="229">
        <v>0</v>
      </c>
      <c r="J1158" s="229">
        <v>-6.2831853071639996</v>
      </c>
      <c r="K1158" s="230">
        <v>6.2831853071639996</v>
      </c>
      <c r="L1158" s="229" t="s">
        <v>1865</v>
      </c>
      <c r="M1158" s="229"/>
      <c r="N1158" s="229"/>
      <c r="O1158" s="229" t="s">
        <v>261</v>
      </c>
      <c r="P1158" s="231"/>
    </row>
    <row r="1159" spans="1:16" x14ac:dyDescent="0.25">
      <c r="A1159" s="227" t="s">
        <v>2966</v>
      </c>
      <c r="B1159" s="228"/>
      <c r="C1159" s="228" t="s">
        <v>3623</v>
      </c>
      <c r="D1159" s="228"/>
      <c r="E1159" s="229"/>
      <c r="F1159" s="229"/>
      <c r="G1159" s="229"/>
      <c r="H1159" s="229"/>
      <c r="I1159" s="229"/>
      <c r="J1159" s="229"/>
      <c r="K1159" s="230"/>
      <c r="L1159" s="229"/>
      <c r="M1159" s="229"/>
      <c r="N1159" s="229"/>
      <c r="O1159" s="229"/>
      <c r="P1159" s="231"/>
    </row>
    <row r="1160" spans="1:16" ht="66" x14ac:dyDescent="0.25">
      <c r="A1160" s="227" t="s">
        <v>2967</v>
      </c>
      <c r="B1160" s="228"/>
      <c r="C1160" s="228" t="s">
        <v>3623</v>
      </c>
      <c r="D1160" s="228" t="s">
        <v>165</v>
      </c>
      <c r="E1160" s="229" t="s">
        <v>2968</v>
      </c>
      <c r="F1160" s="229" t="s">
        <v>139</v>
      </c>
      <c r="G1160" s="229" t="s">
        <v>82</v>
      </c>
      <c r="H1160" s="229"/>
      <c r="I1160" s="229">
        <v>0</v>
      </c>
      <c r="J1160" s="229">
        <v>0</v>
      </c>
      <c r="K1160" s="230">
        <v>7</v>
      </c>
      <c r="L1160" s="229">
        <v>1</v>
      </c>
      <c r="M1160" s="229">
        <v>0</v>
      </c>
      <c r="N1160" s="229" t="s">
        <v>271</v>
      </c>
      <c r="O1160" s="229" t="s">
        <v>1003</v>
      </c>
      <c r="P1160" s="231"/>
    </row>
    <row r="1161" spans="1:16" x14ac:dyDescent="0.25">
      <c r="A1161" s="227" t="s">
        <v>4036</v>
      </c>
      <c r="B1161" s="228" t="s">
        <v>2921</v>
      </c>
      <c r="C1161" s="228" t="s">
        <v>3623</v>
      </c>
      <c r="D1161" s="228" t="s">
        <v>165</v>
      </c>
      <c r="E1161" s="229"/>
      <c r="F1161" s="229" t="s">
        <v>139</v>
      </c>
      <c r="G1161" s="229" t="s">
        <v>82</v>
      </c>
      <c r="H1161" s="229"/>
      <c r="I1161" s="229">
        <v>0</v>
      </c>
      <c r="J1161" s="229">
        <v>0</v>
      </c>
      <c r="K1161" s="230">
        <v>6.2830894333803498</v>
      </c>
      <c r="L1161" s="229" t="s">
        <v>4037</v>
      </c>
      <c r="M1161" s="229">
        <v>1.52587890625E-5</v>
      </c>
      <c r="N1161" s="229" t="s">
        <v>1353</v>
      </c>
      <c r="O1161" s="229" t="s">
        <v>977</v>
      </c>
      <c r="P1161" s="231"/>
    </row>
    <row r="1162" spans="1:16" x14ac:dyDescent="0.25">
      <c r="A1162" s="227" t="s">
        <v>2969</v>
      </c>
      <c r="B1162" s="228" t="s">
        <v>2970</v>
      </c>
      <c r="C1162" s="228" t="s">
        <v>3623</v>
      </c>
      <c r="D1162" s="228" t="s">
        <v>165</v>
      </c>
      <c r="E1162" s="229"/>
      <c r="F1162" s="229" t="s">
        <v>139</v>
      </c>
      <c r="G1162" s="229" t="s">
        <v>82</v>
      </c>
      <c r="H1162" s="229"/>
      <c r="I1162" s="229">
        <v>0</v>
      </c>
      <c r="J1162" s="229" t="s">
        <v>909</v>
      </c>
      <c r="K1162" s="230" t="s">
        <v>909</v>
      </c>
      <c r="L1162" s="229">
        <v>1</v>
      </c>
      <c r="M1162" s="229">
        <v>1</v>
      </c>
      <c r="N1162" s="229" t="s">
        <v>384</v>
      </c>
      <c r="O1162" s="229" t="s">
        <v>425</v>
      </c>
      <c r="P1162" s="231"/>
    </row>
    <row r="1163" spans="1:16" x14ac:dyDescent="0.25">
      <c r="A1163" s="227" t="s">
        <v>3602</v>
      </c>
      <c r="B1163" s="228"/>
      <c r="C1163" s="228" t="s">
        <v>3623</v>
      </c>
      <c r="D1163" s="228" t="s">
        <v>165</v>
      </c>
      <c r="E1163" s="229"/>
      <c r="F1163" s="229" t="s">
        <v>136</v>
      </c>
      <c r="G1163" s="229" t="s">
        <v>82</v>
      </c>
      <c r="H1163" s="229"/>
      <c r="I1163" s="229">
        <v>0</v>
      </c>
      <c r="J1163" s="229">
        <v>0</v>
      </c>
      <c r="K1163" s="230">
        <v>1</v>
      </c>
      <c r="L1163" s="229">
        <v>1.52587890625E-5</v>
      </c>
      <c r="M1163" s="229">
        <v>1.52587890625E-5</v>
      </c>
      <c r="N1163" s="229" t="s">
        <v>1353</v>
      </c>
      <c r="O1163" s="229" t="s">
        <v>977</v>
      </c>
      <c r="P1163" s="231"/>
    </row>
    <row r="1164" spans="1:16" x14ac:dyDescent="0.25">
      <c r="A1164" s="227" t="s">
        <v>4038</v>
      </c>
      <c r="B1164" s="228"/>
      <c r="C1164" s="228" t="s">
        <v>3623</v>
      </c>
      <c r="D1164" s="228" t="s">
        <v>165</v>
      </c>
      <c r="E1164" s="229"/>
      <c r="F1164" s="229" t="s">
        <v>136</v>
      </c>
      <c r="G1164" s="229" t="s">
        <v>82</v>
      </c>
      <c r="H1164" s="229"/>
      <c r="I1164" s="229">
        <v>0</v>
      </c>
      <c r="J1164" s="229">
        <v>0</v>
      </c>
      <c r="K1164" s="230" t="s">
        <v>909</v>
      </c>
      <c r="L1164" s="229" t="s">
        <v>909</v>
      </c>
      <c r="M1164" s="229">
        <v>1</v>
      </c>
      <c r="N1164" s="229" t="s">
        <v>384</v>
      </c>
      <c r="O1164" s="229" t="s">
        <v>2376</v>
      </c>
      <c r="P1164" s="231"/>
    </row>
    <row r="1165" spans="1:16" x14ac:dyDescent="0.25">
      <c r="A1165" s="227" t="s">
        <v>3603</v>
      </c>
      <c r="B1165" s="228"/>
      <c r="C1165" s="228" t="s">
        <v>3623</v>
      </c>
      <c r="D1165" s="228" t="s">
        <v>165</v>
      </c>
      <c r="E1165" s="229"/>
      <c r="F1165" s="229" t="s">
        <v>136</v>
      </c>
      <c r="G1165" s="229" t="s">
        <v>82</v>
      </c>
      <c r="H1165" s="229"/>
      <c r="I1165" s="229">
        <v>0</v>
      </c>
      <c r="J1165" s="229">
        <v>0</v>
      </c>
      <c r="K1165" s="230">
        <v>1</v>
      </c>
      <c r="L1165" s="229">
        <v>1.52587890625E-5</v>
      </c>
      <c r="M1165" s="229">
        <v>1.52587890625E-5</v>
      </c>
      <c r="N1165" s="229" t="s">
        <v>1353</v>
      </c>
      <c r="O1165" s="229" t="s">
        <v>977</v>
      </c>
      <c r="P1165" s="231"/>
    </row>
    <row r="1166" spans="1:16" x14ac:dyDescent="0.25">
      <c r="A1166" s="227" t="s">
        <v>4039</v>
      </c>
      <c r="B1166" s="228"/>
      <c r="C1166" s="228" t="s">
        <v>3623</v>
      </c>
      <c r="D1166" s="228" t="s">
        <v>165</v>
      </c>
      <c r="E1166" s="229"/>
      <c r="F1166" s="229" t="s">
        <v>136</v>
      </c>
      <c r="G1166" s="229" t="s">
        <v>82</v>
      </c>
      <c r="H1166" s="229"/>
      <c r="I1166" s="229">
        <v>0</v>
      </c>
      <c r="J1166" s="229">
        <v>0</v>
      </c>
      <c r="K1166" s="230" t="s">
        <v>909</v>
      </c>
      <c r="L1166" s="229" t="s">
        <v>909</v>
      </c>
      <c r="M1166" s="229">
        <v>1</v>
      </c>
      <c r="N1166" s="229" t="s">
        <v>384</v>
      </c>
      <c r="O1166" s="229" t="s">
        <v>2376</v>
      </c>
      <c r="P1166" s="231"/>
    </row>
    <row r="1167" spans="1:16" x14ac:dyDescent="0.25">
      <c r="A1167" s="227" t="s">
        <v>4783</v>
      </c>
      <c r="B1167" s="228" t="s">
        <v>1871</v>
      </c>
      <c r="C1167" s="228" t="s">
        <v>1463</v>
      </c>
      <c r="D1167" s="228" t="s">
        <v>233</v>
      </c>
      <c r="E1167" s="229"/>
      <c r="F1167" s="229" t="s">
        <v>136</v>
      </c>
      <c r="G1167" s="229"/>
      <c r="H1167" s="229"/>
      <c r="I1167" s="229" t="b">
        <v>0</v>
      </c>
      <c r="J1167" s="229" t="b">
        <v>0</v>
      </c>
      <c r="K1167" s="230" t="b">
        <v>1</v>
      </c>
      <c r="L1167" s="229" t="s">
        <v>1871</v>
      </c>
      <c r="M1167" s="229"/>
      <c r="N1167" s="229" t="s">
        <v>695</v>
      </c>
      <c r="O1167" s="229" t="s">
        <v>929</v>
      </c>
      <c r="P1167" s="231"/>
    </row>
    <row r="1168" spans="1:16" ht="26.4" x14ac:dyDescent="0.25">
      <c r="A1168" s="227" t="s">
        <v>4784</v>
      </c>
      <c r="B1168" s="228" t="s">
        <v>1871</v>
      </c>
      <c r="C1168" s="228" t="s">
        <v>1463</v>
      </c>
      <c r="D1168" s="228" t="s">
        <v>233</v>
      </c>
      <c r="E1168" s="229"/>
      <c r="F1168" s="229" t="s">
        <v>136</v>
      </c>
      <c r="G1168" s="229"/>
      <c r="H1168" s="229"/>
      <c r="I1168" s="229" t="s">
        <v>1871</v>
      </c>
      <c r="J1168" s="229">
        <v>0</v>
      </c>
      <c r="K1168" s="230">
        <v>4</v>
      </c>
      <c r="L1168" s="229" t="s">
        <v>1871</v>
      </c>
      <c r="M1168" s="229"/>
      <c r="N1168" s="229" t="s">
        <v>2478</v>
      </c>
      <c r="O1168" s="229" t="s">
        <v>4785</v>
      </c>
      <c r="P1168" s="231"/>
    </row>
    <row r="1169" spans="1:16" x14ac:dyDescent="0.25">
      <c r="A1169" s="227" t="s">
        <v>2609</v>
      </c>
      <c r="B1169" s="228" t="s">
        <v>1871</v>
      </c>
      <c r="C1169" s="228" t="s">
        <v>1463</v>
      </c>
      <c r="D1169" s="228" t="s">
        <v>233</v>
      </c>
      <c r="E1169" s="229"/>
      <c r="F1169" s="229" t="s">
        <v>136</v>
      </c>
      <c r="G1169" s="229"/>
      <c r="H1169" s="229"/>
      <c r="I1169" s="229" t="b">
        <v>0</v>
      </c>
      <c r="J1169" s="229" t="b">
        <v>0</v>
      </c>
      <c r="K1169" s="230" t="b">
        <v>1</v>
      </c>
      <c r="L1169" s="229" t="s">
        <v>1871</v>
      </c>
      <c r="M1169" s="229"/>
      <c r="N1169" s="229" t="s">
        <v>695</v>
      </c>
      <c r="O1169" s="229" t="s">
        <v>929</v>
      </c>
      <c r="P1169" s="231"/>
    </row>
    <row r="1170" spans="1:16" x14ac:dyDescent="0.25">
      <c r="A1170" s="227" t="s">
        <v>4786</v>
      </c>
      <c r="B1170" s="228" t="s">
        <v>1871</v>
      </c>
      <c r="C1170" s="228" t="s">
        <v>1463</v>
      </c>
      <c r="D1170" s="228" t="s">
        <v>233</v>
      </c>
      <c r="E1170" s="229"/>
      <c r="F1170" s="229" t="s">
        <v>139</v>
      </c>
      <c r="G1170" s="229"/>
      <c r="H1170" s="229"/>
      <c r="I1170" s="229">
        <v>0</v>
      </c>
      <c r="J1170" s="229">
        <v>0</v>
      </c>
      <c r="K1170" s="230">
        <v>512</v>
      </c>
      <c r="L1170" s="229">
        <v>1</v>
      </c>
      <c r="M1170" s="229">
        <v>1</v>
      </c>
      <c r="N1170" s="229" t="s">
        <v>271</v>
      </c>
      <c r="O1170" s="229" t="s">
        <v>267</v>
      </c>
      <c r="P1170" s="231"/>
    </row>
    <row r="1171" spans="1:16" x14ac:dyDescent="0.25">
      <c r="A1171" s="227" t="s">
        <v>2971</v>
      </c>
      <c r="B1171" s="228" t="s">
        <v>2973</v>
      </c>
      <c r="C1171" s="228" t="s">
        <v>2972</v>
      </c>
      <c r="D1171" s="228" t="s">
        <v>183</v>
      </c>
      <c r="E1171" s="229"/>
      <c r="F1171" s="229" t="s">
        <v>138</v>
      </c>
      <c r="G1171" s="229" t="s">
        <v>82</v>
      </c>
      <c r="H1171" s="229"/>
      <c r="I1171" s="229">
        <v>0</v>
      </c>
      <c r="J1171" s="229">
        <v>-1</v>
      </c>
      <c r="K1171" s="230">
        <v>1</v>
      </c>
      <c r="L1171" s="229">
        <v>1</v>
      </c>
      <c r="M1171" s="229">
        <v>0</v>
      </c>
      <c r="N1171" s="229" t="s">
        <v>271</v>
      </c>
      <c r="O1171" s="229" t="s">
        <v>2265</v>
      </c>
      <c r="P1171" s="231"/>
    </row>
    <row r="1172" spans="1:16" x14ac:dyDescent="0.25">
      <c r="A1172" s="227" t="s">
        <v>2974</v>
      </c>
      <c r="B1172" s="228" t="s">
        <v>2975</v>
      </c>
      <c r="C1172" s="228" t="s">
        <v>2972</v>
      </c>
      <c r="D1172" s="228" t="s">
        <v>183</v>
      </c>
      <c r="E1172" s="229"/>
      <c r="F1172" s="229" t="s">
        <v>138</v>
      </c>
      <c r="G1172" s="229" t="s">
        <v>82</v>
      </c>
      <c r="H1172" s="229"/>
      <c r="I1172" s="229">
        <v>0</v>
      </c>
      <c r="J1172" s="229">
        <v>-1</v>
      </c>
      <c r="K1172" s="230">
        <v>1</v>
      </c>
      <c r="L1172" s="229">
        <v>1</v>
      </c>
      <c r="M1172" s="229">
        <v>0</v>
      </c>
      <c r="N1172" s="229" t="s">
        <v>271</v>
      </c>
      <c r="O1172" s="229" t="s">
        <v>2265</v>
      </c>
      <c r="P1172" s="231"/>
    </row>
    <row r="1173" spans="1:16" x14ac:dyDescent="0.25">
      <c r="A1173" s="227" t="s">
        <v>2976</v>
      </c>
      <c r="B1173" s="228" t="s">
        <v>2977</v>
      </c>
      <c r="C1173" s="228" t="s">
        <v>2972</v>
      </c>
      <c r="D1173" s="228" t="s">
        <v>183</v>
      </c>
      <c r="E1173" s="229"/>
      <c r="F1173" s="229" t="s">
        <v>138</v>
      </c>
      <c r="G1173" s="229" t="s">
        <v>82</v>
      </c>
      <c r="H1173" s="229"/>
      <c r="I1173" s="229">
        <v>0</v>
      </c>
      <c r="J1173" s="229">
        <v>-1</v>
      </c>
      <c r="K1173" s="230">
        <v>1</v>
      </c>
      <c r="L1173" s="229">
        <v>1</v>
      </c>
      <c r="M1173" s="229">
        <v>0</v>
      </c>
      <c r="N1173" s="229" t="s">
        <v>271</v>
      </c>
      <c r="O1173" s="229" t="s">
        <v>2265</v>
      </c>
      <c r="P1173" s="231"/>
    </row>
    <row r="1174" spans="1:16" x14ac:dyDescent="0.25">
      <c r="A1174" s="227" t="s">
        <v>2978</v>
      </c>
      <c r="B1174" s="228" t="s">
        <v>2979</v>
      </c>
      <c r="C1174" s="228" t="s">
        <v>2972</v>
      </c>
      <c r="D1174" s="228" t="s">
        <v>183</v>
      </c>
      <c r="E1174" s="229"/>
      <c r="F1174" s="229" t="s">
        <v>138</v>
      </c>
      <c r="G1174" s="229" t="s">
        <v>82</v>
      </c>
      <c r="H1174" s="229"/>
      <c r="I1174" s="229">
        <v>0</v>
      </c>
      <c r="J1174" s="229">
        <v>-1</v>
      </c>
      <c r="K1174" s="230">
        <v>1</v>
      </c>
      <c r="L1174" s="229">
        <v>1</v>
      </c>
      <c r="M1174" s="229">
        <v>0</v>
      </c>
      <c r="N1174" s="229" t="s">
        <v>271</v>
      </c>
      <c r="O1174" s="229" t="s">
        <v>2265</v>
      </c>
      <c r="P1174" s="231"/>
    </row>
    <row r="1175" spans="1:16" x14ac:dyDescent="0.25">
      <c r="A1175" s="227" t="s">
        <v>2980</v>
      </c>
      <c r="B1175" s="228" t="s">
        <v>2521</v>
      </c>
      <c r="C1175" s="228" t="s">
        <v>2972</v>
      </c>
      <c r="D1175" s="228" t="s">
        <v>183</v>
      </c>
      <c r="E1175" s="229"/>
      <c r="F1175" s="229" t="s">
        <v>138</v>
      </c>
      <c r="G1175" s="229" t="s">
        <v>82</v>
      </c>
      <c r="H1175" s="229"/>
      <c r="I1175" s="229">
        <v>0</v>
      </c>
      <c r="J1175" s="229">
        <v>-1</v>
      </c>
      <c r="K1175" s="230">
        <v>1</v>
      </c>
      <c r="L1175" s="229">
        <v>1</v>
      </c>
      <c r="M1175" s="229">
        <v>0</v>
      </c>
      <c r="N1175" s="229" t="s">
        <v>271</v>
      </c>
      <c r="O1175" s="229" t="s">
        <v>2265</v>
      </c>
      <c r="P1175" s="231"/>
    </row>
    <row r="1176" spans="1:16" x14ac:dyDescent="0.25">
      <c r="A1176" s="227" t="s">
        <v>2981</v>
      </c>
      <c r="B1176" s="228" t="s">
        <v>2533</v>
      </c>
      <c r="C1176" s="228" t="s">
        <v>2972</v>
      </c>
      <c r="D1176" s="228" t="s">
        <v>183</v>
      </c>
      <c r="E1176" s="229"/>
      <c r="F1176" s="229" t="s">
        <v>138</v>
      </c>
      <c r="G1176" s="229" t="s">
        <v>82</v>
      </c>
      <c r="H1176" s="229"/>
      <c r="I1176" s="229">
        <v>0</v>
      </c>
      <c r="J1176" s="229">
        <v>-1</v>
      </c>
      <c r="K1176" s="230">
        <v>1</v>
      </c>
      <c r="L1176" s="229">
        <v>1</v>
      </c>
      <c r="M1176" s="229">
        <v>0</v>
      </c>
      <c r="N1176" s="229" t="s">
        <v>271</v>
      </c>
      <c r="O1176" s="229" t="s">
        <v>2376</v>
      </c>
      <c r="P1176" s="231"/>
    </row>
    <row r="1177" spans="1:16" x14ac:dyDescent="0.25">
      <c r="A1177" s="227" t="s">
        <v>2264</v>
      </c>
      <c r="B1177" s="228" t="s">
        <v>2982</v>
      </c>
      <c r="C1177" s="228" t="s">
        <v>2972</v>
      </c>
      <c r="D1177" s="228" t="s">
        <v>183</v>
      </c>
      <c r="E1177" s="229"/>
      <c r="F1177" s="229" t="s">
        <v>138</v>
      </c>
      <c r="G1177" s="229" t="s">
        <v>82</v>
      </c>
      <c r="H1177" s="229"/>
      <c r="I1177" s="229">
        <v>0</v>
      </c>
      <c r="J1177" s="229">
        <v>-1</v>
      </c>
      <c r="K1177" s="230">
        <v>1</v>
      </c>
      <c r="L1177" s="229">
        <v>1</v>
      </c>
      <c r="M1177" s="229">
        <v>0</v>
      </c>
      <c r="N1177" s="229" t="s">
        <v>271</v>
      </c>
      <c r="O1177" s="229" t="s">
        <v>2265</v>
      </c>
      <c r="P1177" s="231"/>
    </row>
    <row r="1178" spans="1:16" x14ac:dyDescent="0.25">
      <c r="A1178" s="227" t="s">
        <v>4551</v>
      </c>
      <c r="B1178" s="228"/>
      <c r="C1178" s="228" t="s">
        <v>2972</v>
      </c>
      <c r="D1178" s="228" t="s">
        <v>183</v>
      </c>
      <c r="E1178" s="229"/>
      <c r="F1178" s="229" t="s">
        <v>136</v>
      </c>
      <c r="G1178" s="229" t="s">
        <v>82</v>
      </c>
      <c r="H1178" s="229"/>
      <c r="I1178" s="229">
        <v>0</v>
      </c>
      <c r="J1178" s="229">
        <v>-1</v>
      </c>
      <c r="K1178" s="230">
        <v>1</v>
      </c>
      <c r="L1178" s="229">
        <v>1</v>
      </c>
      <c r="M1178" s="229"/>
      <c r="N1178" s="229" t="s">
        <v>271</v>
      </c>
      <c r="O1178" s="229" t="s">
        <v>2265</v>
      </c>
      <c r="P1178" s="231"/>
    </row>
    <row r="1179" spans="1:16" x14ac:dyDescent="0.25">
      <c r="A1179" s="227" t="s">
        <v>4552</v>
      </c>
      <c r="B1179" s="228"/>
      <c r="C1179" s="228" t="s">
        <v>2972</v>
      </c>
      <c r="D1179" s="228" t="s">
        <v>183</v>
      </c>
      <c r="E1179" s="229"/>
      <c r="F1179" s="229" t="s">
        <v>136</v>
      </c>
      <c r="G1179" s="229" t="s">
        <v>82</v>
      </c>
      <c r="H1179" s="229"/>
      <c r="I1179" s="229">
        <v>0</v>
      </c>
      <c r="J1179" s="229">
        <v>-1</v>
      </c>
      <c r="K1179" s="230">
        <v>1</v>
      </c>
      <c r="L1179" s="229">
        <v>1</v>
      </c>
      <c r="M1179" s="229"/>
      <c r="N1179" s="229" t="s">
        <v>271</v>
      </c>
      <c r="O1179" s="229" t="s">
        <v>2265</v>
      </c>
      <c r="P1179" s="231"/>
    </row>
    <row r="1180" spans="1:16" x14ac:dyDescent="0.25">
      <c r="A1180" s="227" t="s">
        <v>4553</v>
      </c>
      <c r="B1180" s="228"/>
      <c r="C1180" s="228" t="s">
        <v>2972</v>
      </c>
      <c r="D1180" s="228" t="s">
        <v>183</v>
      </c>
      <c r="E1180" s="229"/>
      <c r="F1180" s="229" t="s">
        <v>136</v>
      </c>
      <c r="G1180" s="229" t="s">
        <v>82</v>
      </c>
      <c r="H1180" s="229"/>
      <c r="I1180" s="229">
        <v>0</v>
      </c>
      <c r="J1180" s="229">
        <v>-1</v>
      </c>
      <c r="K1180" s="230">
        <v>1</v>
      </c>
      <c r="L1180" s="229">
        <v>1</v>
      </c>
      <c r="M1180" s="229"/>
      <c r="N1180" s="229" t="s">
        <v>271</v>
      </c>
      <c r="O1180" s="229" t="s">
        <v>2265</v>
      </c>
      <c r="P1180" s="231"/>
    </row>
    <row r="1181" spans="1:16" x14ac:dyDescent="0.25">
      <c r="A1181" s="227" t="s">
        <v>4554</v>
      </c>
      <c r="B1181" s="228"/>
      <c r="C1181" s="228" t="s">
        <v>2972</v>
      </c>
      <c r="D1181" s="228" t="s">
        <v>183</v>
      </c>
      <c r="E1181" s="229"/>
      <c r="F1181" s="229" t="s">
        <v>136</v>
      </c>
      <c r="G1181" s="229" t="s">
        <v>82</v>
      </c>
      <c r="H1181" s="229"/>
      <c r="I1181" s="229">
        <v>0</v>
      </c>
      <c r="J1181" s="229">
        <v>-1</v>
      </c>
      <c r="K1181" s="230">
        <v>1</v>
      </c>
      <c r="L1181" s="229">
        <v>1</v>
      </c>
      <c r="M1181" s="229"/>
      <c r="N1181" s="229" t="s">
        <v>271</v>
      </c>
      <c r="O1181" s="229" t="s">
        <v>2265</v>
      </c>
      <c r="P1181" s="231"/>
    </row>
    <row r="1182" spans="1:16" x14ac:dyDescent="0.25">
      <c r="A1182" s="227" t="s">
        <v>4555</v>
      </c>
      <c r="B1182" s="228"/>
      <c r="C1182" s="228" t="s">
        <v>2972</v>
      </c>
      <c r="D1182" s="228" t="s">
        <v>183</v>
      </c>
      <c r="E1182" s="229"/>
      <c r="F1182" s="229" t="s">
        <v>136</v>
      </c>
      <c r="G1182" s="229" t="s">
        <v>82</v>
      </c>
      <c r="H1182" s="229"/>
      <c r="I1182" s="229">
        <v>0</v>
      </c>
      <c r="J1182" s="229">
        <v>-1</v>
      </c>
      <c r="K1182" s="230">
        <v>1</v>
      </c>
      <c r="L1182" s="229">
        <v>1</v>
      </c>
      <c r="M1182" s="229"/>
      <c r="N1182" s="229" t="s">
        <v>271</v>
      </c>
      <c r="O1182" s="229" t="s">
        <v>2265</v>
      </c>
      <c r="P1182" s="231"/>
    </row>
    <row r="1183" spans="1:16" x14ac:dyDescent="0.25">
      <c r="A1183" s="227" t="s">
        <v>4556</v>
      </c>
      <c r="B1183" s="228"/>
      <c r="C1183" s="228" t="s">
        <v>2972</v>
      </c>
      <c r="D1183" s="228" t="s">
        <v>183</v>
      </c>
      <c r="E1183" s="229"/>
      <c r="F1183" s="229" t="s">
        <v>136</v>
      </c>
      <c r="G1183" s="229" t="s">
        <v>82</v>
      </c>
      <c r="H1183" s="229"/>
      <c r="I1183" s="229">
        <v>0</v>
      </c>
      <c r="J1183" s="229">
        <v>-1</v>
      </c>
      <c r="K1183" s="230">
        <v>1</v>
      </c>
      <c r="L1183" s="229">
        <v>1</v>
      </c>
      <c r="M1183" s="229"/>
      <c r="N1183" s="229" t="s">
        <v>271</v>
      </c>
      <c r="O1183" s="229" t="s">
        <v>2265</v>
      </c>
      <c r="P1183" s="231"/>
    </row>
    <row r="1184" spans="1:16" ht="52.8" x14ac:dyDescent="0.25">
      <c r="A1184" s="227" t="s">
        <v>2267</v>
      </c>
      <c r="B1184" s="228" t="s">
        <v>2983</v>
      </c>
      <c r="C1184" s="228" t="s">
        <v>1473</v>
      </c>
      <c r="D1184" s="228" t="s">
        <v>1474</v>
      </c>
      <c r="E1184" s="229" t="s">
        <v>4440</v>
      </c>
      <c r="F1184" s="229" t="s">
        <v>136</v>
      </c>
      <c r="G1184" s="229" t="s">
        <v>82</v>
      </c>
      <c r="H1184" s="229"/>
      <c r="I1184" s="229">
        <v>0</v>
      </c>
      <c r="J1184" s="229">
        <v>-8.8000000000000007</v>
      </c>
      <c r="K1184" s="230">
        <v>8.8000000000000007</v>
      </c>
      <c r="L1184" s="229" t="s">
        <v>1865</v>
      </c>
      <c r="M1184" s="229"/>
      <c r="N1184" s="229" t="s">
        <v>256</v>
      </c>
      <c r="O1184" s="229" t="s">
        <v>261</v>
      </c>
      <c r="P1184" s="231"/>
    </row>
    <row r="1185" spans="1:16" ht="26.4" x14ac:dyDescent="0.25">
      <c r="A1185" s="227" t="s">
        <v>4010</v>
      </c>
      <c r="B1185" s="228" t="s">
        <v>4441</v>
      </c>
      <c r="C1185" s="228" t="s">
        <v>1473</v>
      </c>
      <c r="D1185" s="228" t="s">
        <v>1474</v>
      </c>
      <c r="E1185" s="229" t="s">
        <v>4442</v>
      </c>
      <c r="F1185" s="229" t="s">
        <v>136</v>
      </c>
      <c r="G1185" s="229" t="s">
        <v>82</v>
      </c>
      <c r="H1185" s="229"/>
      <c r="I1185" s="229">
        <v>0</v>
      </c>
      <c r="J1185" s="229">
        <v>-1118</v>
      </c>
      <c r="K1185" s="230">
        <v>1118</v>
      </c>
      <c r="L1185" s="229" t="s">
        <v>1865</v>
      </c>
      <c r="M1185" s="229"/>
      <c r="N1185" s="229" t="s">
        <v>263</v>
      </c>
      <c r="O1185" s="229" t="s">
        <v>261</v>
      </c>
      <c r="P1185" s="231"/>
    </row>
    <row r="1186" spans="1:16" ht="26.4" x14ac:dyDescent="0.25">
      <c r="A1186" s="227" t="s">
        <v>2290</v>
      </c>
      <c r="B1186" s="228" t="s">
        <v>2218</v>
      </c>
      <c r="C1186" s="228" t="s">
        <v>1473</v>
      </c>
      <c r="D1186" s="228" t="s">
        <v>1474</v>
      </c>
      <c r="E1186" s="229" t="s">
        <v>2984</v>
      </c>
      <c r="F1186" s="229" t="s">
        <v>136</v>
      </c>
      <c r="G1186" s="229" t="s">
        <v>82</v>
      </c>
      <c r="H1186" s="229" t="s">
        <v>2985</v>
      </c>
      <c r="I1186" s="229">
        <v>5</v>
      </c>
      <c r="J1186" s="229">
        <v>5</v>
      </c>
      <c r="K1186" s="230">
        <v>31</v>
      </c>
      <c r="L1186" s="229" t="s">
        <v>1865</v>
      </c>
      <c r="M1186" s="229"/>
      <c r="N1186" s="229" t="s">
        <v>599</v>
      </c>
      <c r="O1186" s="229" t="s">
        <v>261</v>
      </c>
      <c r="P1186" s="231"/>
    </row>
    <row r="1187" spans="1:16" ht="26.4" x14ac:dyDescent="0.25">
      <c r="A1187" s="227" t="s">
        <v>2700</v>
      </c>
      <c r="B1187" s="228" t="s">
        <v>4443</v>
      </c>
      <c r="C1187" s="228" t="s">
        <v>1473</v>
      </c>
      <c r="D1187" s="228" t="s">
        <v>1474</v>
      </c>
      <c r="E1187" s="229" t="s">
        <v>2986</v>
      </c>
      <c r="F1187" s="229" t="s">
        <v>136</v>
      </c>
      <c r="G1187" s="229" t="s">
        <v>82</v>
      </c>
      <c r="H1187" s="229"/>
      <c r="I1187" s="229">
        <v>0</v>
      </c>
      <c r="J1187" s="229">
        <v>2.5000000000000001E-2</v>
      </c>
      <c r="K1187" s="230">
        <v>7.4999999999999997E-2</v>
      </c>
      <c r="L1187" s="229" t="s">
        <v>1865</v>
      </c>
      <c r="M1187" s="229"/>
      <c r="N1187" s="229" t="s">
        <v>1486</v>
      </c>
      <c r="O1187" s="229" t="s">
        <v>261</v>
      </c>
      <c r="P1187" s="231"/>
    </row>
    <row r="1188" spans="1:16" x14ac:dyDescent="0.25">
      <c r="A1188" s="227" t="s">
        <v>2987</v>
      </c>
      <c r="B1188" s="228" t="s">
        <v>2988</v>
      </c>
      <c r="C1188" s="228" t="s">
        <v>1473</v>
      </c>
      <c r="D1188" s="228" t="s">
        <v>1474</v>
      </c>
      <c r="E1188" s="229" t="s">
        <v>2989</v>
      </c>
      <c r="F1188" s="229" t="s">
        <v>136</v>
      </c>
      <c r="G1188" s="229" t="s">
        <v>82</v>
      </c>
      <c r="H1188" s="229"/>
      <c r="I1188" s="229" t="b">
        <v>0</v>
      </c>
      <c r="J1188" s="229" t="b">
        <v>0</v>
      </c>
      <c r="K1188" s="230" t="b">
        <v>1</v>
      </c>
      <c r="L1188" s="229" t="s">
        <v>1883</v>
      </c>
      <c r="M1188" s="229"/>
      <c r="N1188" s="229" t="s">
        <v>424</v>
      </c>
      <c r="O1188" s="229" t="s">
        <v>501</v>
      </c>
      <c r="P1188" s="231"/>
    </row>
    <row r="1189" spans="1:16" ht="52.8" x14ac:dyDescent="0.25">
      <c r="A1189" s="227" t="s">
        <v>4444</v>
      </c>
      <c r="B1189" s="228" t="s">
        <v>4445</v>
      </c>
      <c r="C1189" s="228" t="s">
        <v>1473</v>
      </c>
      <c r="D1189" s="228" t="s">
        <v>1474</v>
      </c>
      <c r="E1189" s="229" t="s">
        <v>4446</v>
      </c>
      <c r="F1189" s="229" t="s">
        <v>136</v>
      </c>
      <c r="G1189" s="229" t="s">
        <v>82</v>
      </c>
      <c r="H1189" s="229"/>
      <c r="I1189" s="229" t="b">
        <v>0</v>
      </c>
      <c r="J1189" s="229" t="b">
        <v>0</v>
      </c>
      <c r="K1189" s="230" t="b">
        <v>1</v>
      </c>
      <c r="L1189" s="229" t="s">
        <v>1883</v>
      </c>
      <c r="M1189" s="229"/>
      <c r="N1189" s="229" t="s">
        <v>424</v>
      </c>
      <c r="O1189" s="229" t="s">
        <v>501</v>
      </c>
      <c r="P1189" s="231"/>
    </row>
    <row r="1190" spans="1:16" ht="26.4" x14ac:dyDescent="0.25">
      <c r="A1190" s="227" t="s">
        <v>2691</v>
      </c>
      <c r="B1190" s="228" t="s">
        <v>2990</v>
      </c>
      <c r="C1190" s="228" t="s">
        <v>1473</v>
      </c>
      <c r="D1190" s="228" t="s">
        <v>1474</v>
      </c>
      <c r="E1190" s="229" t="s">
        <v>2807</v>
      </c>
      <c r="F1190" s="229" t="s">
        <v>138</v>
      </c>
      <c r="G1190" s="229" t="s">
        <v>82</v>
      </c>
      <c r="H1190" s="229"/>
      <c r="I1190" s="229">
        <v>0</v>
      </c>
      <c r="J1190" s="229">
        <v>-8.8000000000000007</v>
      </c>
      <c r="K1190" s="230">
        <v>8.8000000000000007</v>
      </c>
      <c r="L1190" s="229" t="s">
        <v>1865</v>
      </c>
      <c r="M1190" s="229">
        <v>4.8828125E-4</v>
      </c>
      <c r="N1190" s="229" t="s">
        <v>256</v>
      </c>
      <c r="O1190" s="229" t="s">
        <v>261</v>
      </c>
      <c r="P1190" s="231"/>
    </row>
    <row r="1191" spans="1:16" ht="39.6" x14ac:dyDescent="0.25">
      <c r="A1191" s="227" t="s">
        <v>2991</v>
      </c>
      <c r="B1191" s="228" t="s">
        <v>2992</v>
      </c>
      <c r="C1191" s="228" t="s">
        <v>1473</v>
      </c>
      <c r="D1191" s="228" t="s">
        <v>1474</v>
      </c>
      <c r="E1191" s="229" t="s">
        <v>2993</v>
      </c>
      <c r="F1191" s="229" t="s">
        <v>138</v>
      </c>
      <c r="G1191" s="229" t="s">
        <v>82</v>
      </c>
      <c r="H1191" s="229"/>
      <c r="I1191" s="229" t="b">
        <v>0</v>
      </c>
      <c r="J1191" s="229" t="b">
        <v>0</v>
      </c>
      <c r="K1191" s="230" t="b">
        <v>1</v>
      </c>
      <c r="L1191" s="229" t="s">
        <v>1883</v>
      </c>
      <c r="M1191" s="229"/>
      <c r="N1191" s="229" t="s">
        <v>424</v>
      </c>
      <c r="O1191" s="229" t="s">
        <v>501</v>
      </c>
      <c r="P1191" s="231"/>
    </row>
    <row r="1192" spans="1:16" x14ac:dyDescent="0.25">
      <c r="A1192" s="227" t="s">
        <v>4447</v>
      </c>
      <c r="B1192" s="228" t="s">
        <v>4448</v>
      </c>
      <c r="C1192" s="228" t="s">
        <v>1473</v>
      </c>
      <c r="D1192" s="228" t="s">
        <v>1474</v>
      </c>
      <c r="E1192" s="229" t="s">
        <v>2994</v>
      </c>
      <c r="F1192" s="229" t="s">
        <v>138</v>
      </c>
      <c r="G1192" s="229" t="s">
        <v>82</v>
      </c>
      <c r="H1192" s="229"/>
      <c r="I1192" s="229">
        <v>0</v>
      </c>
      <c r="J1192" s="229">
        <v>0</v>
      </c>
      <c r="K1192" s="230">
        <v>1</v>
      </c>
      <c r="L1192" s="229" t="s">
        <v>1865</v>
      </c>
      <c r="M1192" s="229">
        <v>3.0517578125E-5</v>
      </c>
      <c r="N1192" s="229" t="s">
        <v>300</v>
      </c>
      <c r="O1192" s="229" t="s">
        <v>261</v>
      </c>
      <c r="P1192" s="231"/>
    </row>
    <row r="1193" spans="1:16" x14ac:dyDescent="0.25">
      <c r="A1193" s="227" t="s">
        <v>4449</v>
      </c>
      <c r="B1193" s="228"/>
      <c r="C1193" s="228" t="s">
        <v>1473</v>
      </c>
      <c r="D1193" s="228" t="s">
        <v>1474</v>
      </c>
      <c r="E1193" s="229"/>
      <c r="F1193" s="229" t="s">
        <v>139</v>
      </c>
      <c r="G1193" s="229" t="s">
        <v>82</v>
      </c>
      <c r="H1193" s="229"/>
      <c r="I1193" s="229">
        <v>0</v>
      </c>
      <c r="J1193" s="229">
        <v>0</v>
      </c>
      <c r="K1193" s="230">
        <v>571.35</v>
      </c>
      <c r="L1193" s="229" t="s">
        <v>1865</v>
      </c>
      <c r="M1193" s="229">
        <v>1.5625E-2</v>
      </c>
      <c r="N1193" s="229" t="s">
        <v>263</v>
      </c>
      <c r="O1193" s="229" t="s">
        <v>261</v>
      </c>
      <c r="P1193" s="231"/>
    </row>
    <row r="1194" spans="1:16" ht="20.399999999999999" x14ac:dyDescent="0.25">
      <c r="A1194" s="227" t="s">
        <v>4450</v>
      </c>
      <c r="B1194" s="228"/>
      <c r="C1194" s="228" t="s">
        <v>1473</v>
      </c>
      <c r="D1194" s="228" t="s">
        <v>1474</v>
      </c>
      <c r="E1194" s="229"/>
      <c r="F1194" s="229" t="s">
        <v>139</v>
      </c>
      <c r="G1194" s="229" t="s">
        <v>82</v>
      </c>
      <c r="H1194" s="229"/>
      <c r="I1194" s="229">
        <v>0</v>
      </c>
      <c r="J1194" s="229">
        <v>0</v>
      </c>
      <c r="K1194" s="230">
        <v>4294967295</v>
      </c>
      <c r="L1194" s="229">
        <v>1</v>
      </c>
      <c r="M1194" s="229">
        <v>1</v>
      </c>
      <c r="N1194" s="229" t="s">
        <v>273</v>
      </c>
      <c r="O1194" s="229" t="s">
        <v>321</v>
      </c>
      <c r="P1194" s="231"/>
    </row>
    <row r="1195" spans="1:16" ht="20.399999999999999" x14ac:dyDescent="0.25">
      <c r="A1195" s="227" t="s">
        <v>4451</v>
      </c>
      <c r="B1195" s="228"/>
      <c r="C1195" s="228" t="s">
        <v>1473</v>
      </c>
      <c r="D1195" s="228" t="s">
        <v>1474</v>
      </c>
      <c r="E1195" s="229"/>
      <c r="F1195" s="229" t="s">
        <v>139</v>
      </c>
      <c r="G1195" s="229" t="s">
        <v>82</v>
      </c>
      <c r="H1195" s="229"/>
      <c r="I1195" s="229" t="b">
        <v>0</v>
      </c>
      <c r="J1195" s="229" t="b">
        <v>0</v>
      </c>
      <c r="K1195" s="230" t="b">
        <v>1</v>
      </c>
      <c r="L1195" s="229" t="s">
        <v>1883</v>
      </c>
      <c r="M1195" s="229"/>
      <c r="N1195" s="229" t="s">
        <v>424</v>
      </c>
      <c r="O1195" s="229" t="s">
        <v>501</v>
      </c>
      <c r="P1195" s="231"/>
    </row>
    <row r="1196" spans="1:16" x14ac:dyDescent="0.25">
      <c r="A1196" s="227" t="s">
        <v>4452</v>
      </c>
      <c r="B1196" s="228"/>
      <c r="C1196" s="228" t="s">
        <v>1473</v>
      </c>
      <c r="D1196" s="228" t="s">
        <v>1474</v>
      </c>
      <c r="E1196" s="229"/>
      <c r="F1196" s="229" t="s">
        <v>139</v>
      </c>
      <c r="G1196" s="229" t="s">
        <v>82</v>
      </c>
      <c r="H1196" s="229"/>
      <c r="I1196" s="229" t="s">
        <v>1440</v>
      </c>
      <c r="J1196" s="229"/>
      <c r="K1196" s="230"/>
      <c r="L1196" s="229"/>
      <c r="M1196" s="229"/>
      <c r="N1196" s="229"/>
      <c r="O1196" s="229" t="s">
        <v>1960</v>
      </c>
      <c r="P1196" s="231"/>
    </row>
    <row r="1197" spans="1:16" ht="20.399999999999999" x14ac:dyDescent="0.25">
      <c r="A1197" s="227" t="s">
        <v>4453</v>
      </c>
      <c r="B1197" s="228"/>
      <c r="C1197" s="228" t="s">
        <v>1473</v>
      </c>
      <c r="D1197" s="228" t="s">
        <v>1474</v>
      </c>
      <c r="E1197" s="229"/>
      <c r="F1197" s="229" t="s">
        <v>139</v>
      </c>
      <c r="G1197" s="229" t="s">
        <v>82</v>
      </c>
      <c r="H1197" s="229"/>
      <c r="I1197" s="229">
        <v>0</v>
      </c>
      <c r="J1197" s="229">
        <v>0</v>
      </c>
      <c r="K1197" s="230">
        <v>1</v>
      </c>
      <c r="L1197" s="229" t="s">
        <v>1865</v>
      </c>
      <c r="M1197" s="229">
        <v>3.0517578125E-5</v>
      </c>
      <c r="N1197" s="229" t="s">
        <v>300</v>
      </c>
      <c r="O1197" s="229" t="s">
        <v>261</v>
      </c>
      <c r="P1197" s="231"/>
    </row>
    <row r="1198" spans="1:16" ht="20.399999999999999" x14ac:dyDescent="0.25">
      <c r="A1198" s="227" t="s">
        <v>4454</v>
      </c>
      <c r="B1198" s="228"/>
      <c r="C1198" s="228" t="s">
        <v>1473</v>
      </c>
      <c r="D1198" s="228" t="s">
        <v>1474</v>
      </c>
      <c r="E1198" s="229"/>
      <c r="F1198" s="229" t="s">
        <v>139</v>
      </c>
      <c r="G1198" s="229" t="s">
        <v>82</v>
      </c>
      <c r="H1198" s="229"/>
      <c r="I1198" s="229">
        <v>0</v>
      </c>
      <c r="J1198" s="229">
        <v>6.2634873752217546E-3</v>
      </c>
      <c r="K1198" s="230">
        <v>6.0898632575707379E-2</v>
      </c>
      <c r="L1198" s="229" t="s">
        <v>1865</v>
      </c>
      <c r="M1198" s="229">
        <v>3.0517578125E-5</v>
      </c>
      <c r="N1198" s="229" t="s">
        <v>300</v>
      </c>
      <c r="O1198" s="229" t="s">
        <v>261</v>
      </c>
      <c r="P1198" s="231"/>
    </row>
    <row r="1199" spans="1:16" x14ac:dyDescent="0.25">
      <c r="A1199" s="227" t="s">
        <v>4455</v>
      </c>
      <c r="B1199" s="228"/>
      <c r="C1199" s="228" t="s">
        <v>1473</v>
      </c>
      <c r="D1199" s="228" t="s">
        <v>1474</v>
      </c>
      <c r="E1199" s="229"/>
      <c r="F1199" s="229" t="s">
        <v>139</v>
      </c>
      <c r="G1199" s="229" t="s">
        <v>82</v>
      </c>
      <c r="H1199" s="229"/>
      <c r="I1199" s="229" t="s">
        <v>1440</v>
      </c>
      <c r="J1199" s="229"/>
      <c r="K1199" s="230"/>
      <c r="L1199" s="229"/>
      <c r="M1199" s="229"/>
      <c r="N1199" s="229"/>
      <c r="O1199" s="229" t="s">
        <v>1960</v>
      </c>
      <c r="P1199" s="231"/>
    </row>
    <row r="1200" spans="1:16" ht="20.399999999999999" x14ac:dyDescent="0.25">
      <c r="A1200" s="227" t="s">
        <v>4456</v>
      </c>
      <c r="B1200" s="228"/>
      <c r="C1200" s="228" t="s">
        <v>1473</v>
      </c>
      <c r="D1200" s="228" t="s">
        <v>1474</v>
      </c>
      <c r="E1200" s="229"/>
      <c r="F1200" s="229" t="s">
        <v>139</v>
      </c>
      <c r="G1200" s="229" t="s">
        <v>82</v>
      </c>
      <c r="H1200" s="229"/>
      <c r="I1200" s="229">
        <v>0</v>
      </c>
      <c r="J1200" s="229">
        <v>-1118</v>
      </c>
      <c r="K1200" s="230">
        <v>1118</v>
      </c>
      <c r="L1200" s="229" t="s">
        <v>1865</v>
      </c>
      <c r="M1200" s="229">
        <v>3.0517578125E-5</v>
      </c>
      <c r="N1200" s="229" t="s">
        <v>300</v>
      </c>
      <c r="O1200" s="229" t="s">
        <v>261</v>
      </c>
      <c r="P1200" s="231"/>
    </row>
    <row r="1201" spans="1:16" ht="20.399999999999999" x14ac:dyDescent="0.25">
      <c r="A1201" s="227" t="s">
        <v>4457</v>
      </c>
      <c r="B1201" s="228"/>
      <c r="C1201" s="228" t="s">
        <v>1473</v>
      </c>
      <c r="D1201" s="228" t="s">
        <v>1474</v>
      </c>
      <c r="E1201" s="229"/>
      <c r="F1201" s="229" t="s">
        <v>139</v>
      </c>
      <c r="G1201" s="229" t="s">
        <v>82</v>
      </c>
      <c r="H1201" s="229"/>
      <c r="I1201" s="229">
        <v>0</v>
      </c>
      <c r="J1201" s="229">
        <v>0</v>
      </c>
      <c r="K1201" s="230">
        <v>0.95678608171330104</v>
      </c>
      <c r="L1201" s="229" t="s">
        <v>1865</v>
      </c>
      <c r="M1201" s="229">
        <v>3.0517578125E-5</v>
      </c>
      <c r="N1201" s="229" t="s">
        <v>300</v>
      </c>
      <c r="O1201" s="229" t="s">
        <v>261</v>
      </c>
      <c r="P1201" s="231"/>
    </row>
    <row r="1202" spans="1:16" ht="20.399999999999999" x14ac:dyDescent="0.25">
      <c r="A1202" s="227" t="s">
        <v>4458</v>
      </c>
      <c r="B1202" s="228" t="s">
        <v>2995</v>
      </c>
      <c r="C1202" s="228" t="s">
        <v>1473</v>
      </c>
      <c r="D1202" s="228" t="s">
        <v>1474</v>
      </c>
      <c r="E1202" s="229"/>
      <c r="F1202" s="229" t="s">
        <v>141</v>
      </c>
      <c r="G1202" s="229" t="s">
        <v>82</v>
      </c>
      <c r="H1202" s="229"/>
      <c r="I1202" s="229">
        <v>0</v>
      </c>
      <c r="J1202" s="229">
        <v>-1118</v>
      </c>
      <c r="K1202" s="230">
        <v>1118</v>
      </c>
      <c r="L1202" s="229" t="s">
        <v>1865</v>
      </c>
      <c r="M1202" s="229">
        <v>1.5625E-2</v>
      </c>
      <c r="N1202" s="229" t="s">
        <v>263</v>
      </c>
      <c r="O1202" s="229" t="s">
        <v>261</v>
      </c>
      <c r="P1202" s="231"/>
    </row>
    <row r="1203" spans="1:16" ht="20.399999999999999" x14ac:dyDescent="0.25">
      <c r="A1203" s="227" t="s">
        <v>4459</v>
      </c>
      <c r="B1203" s="228" t="s">
        <v>2996</v>
      </c>
      <c r="C1203" s="228" t="s">
        <v>1473</v>
      </c>
      <c r="D1203" s="228" t="s">
        <v>1474</v>
      </c>
      <c r="E1203" s="229"/>
      <c r="F1203" s="229" t="s">
        <v>141</v>
      </c>
      <c r="G1203" s="229" t="s">
        <v>82</v>
      </c>
      <c r="H1203" s="229"/>
      <c r="I1203" s="229">
        <v>0</v>
      </c>
      <c r="J1203" s="229">
        <v>-8.8000000000000007</v>
      </c>
      <c r="K1203" s="230">
        <v>8.8000000000000007</v>
      </c>
      <c r="L1203" s="229" t="s">
        <v>1865</v>
      </c>
      <c r="M1203" s="229">
        <v>4.8828125E-4</v>
      </c>
      <c r="N1203" s="229" t="s">
        <v>256</v>
      </c>
      <c r="O1203" s="229" t="s">
        <v>261</v>
      </c>
      <c r="P1203" s="231"/>
    </row>
    <row r="1204" spans="1:16" ht="20.399999999999999" x14ac:dyDescent="0.25">
      <c r="A1204" s="227" t="s">
        <v>4460</v>
      </c>
      <c r="B1204" s="228" t="s">
        <v>2997</v>
      </c>
      <c r="C1204" s="228" t="s">
        <v>1473</v>
      </c>
      <c r="D1204" s="228" t="s">
        <v>1474</v>
      </c>
      <c r="E1204" s="229"/>
      <c r="F1204" s="229" t="s">
        <v>141</v>
      </c>
      <c r="G1204" s="229" t="s">
        <v>82</v>
      </c>
      <c r="H1204" s="229"/>
      <c r="I1204" s="229">
        <v>0</v>
      </c>
      <c r="J1204" s="229">
        <v>-8.8000000000000007</v>
      </c>
      <c r="K1204" s="230">
        <v>8.8000000000000007</v>
      </c>
      <c r="L1204" s="229" t="s">
        <v>1865</v>
      </c>
      <c r="M1204" s="229">
        <v>4.8828125E-4</v>
      </c>
      <c r="N1204" s="229" t="s">
        <v>256</v>
      </c>
      <c r="O1204" s="229" t="s">
        <v>261</v>
      </c>
      <c r="P1204" s="231"/>
    </row>
    <row r="1205" spans="1:16" ht="20.399999999999999" x14ac:dyDescent="0.25">
      <c r="A1205" s="227" t="s">
        <v>4461</v>
      </c>
      <c r="B1205" s="228" t="s">
        <v>2998</v>
      </c>
      <c r="C1205" s="228" t="s">
        <v>1473</v>
      </c>
      <c r="D1205" s="228" t="s">
        <v>1474</v>
      </c>
      <c r="E1205" s="229"/>
      <c r="F1205" s="229" t="s">
        <v>141</v>
      </c>
      <c r="G1205" s="229" t="s">
        <v>82</v>
      </c>
      <c r="H1205" s="229"/>
      <c r="I1205" s="229">
        <v>0</v>
      </c>
      <c r="J1205" s="229">
        <v>-8.8000000000000007</v>
      </c>
      <c r="K1205" s="230">
        <v>8.8000000000000007</v>
      </c>
      <c r="L1205" s="229" t="s">
        <v>1865</v>
      </c>
      <c r="M1205" s="229">
        <v>4.8828125E-4</v>
      </c>
      <c r="N1205" s="229" t="s">
        <v>256</v>
      </c>
      <c r="O1205" s="229" t="s">
        <v>261</v>
      </c>
      <c r="P1205" s="231"/>
    </row>
    <row r="1206" spans="1:16" x14ac:dyDescent="0.25">
      <c r="A1206" s="227" t="s">
        <v>4462</v>
      </c>
      <c r="B1206" s="228" t="s">
        <v>2999</v>
      </c>
      <c r="C1206" s="228" t="s">
        <v>1473</v>
      </c>
      <c r="D1206" s="228" t="s">
        <v>1474</v>
      </c>
      <c r="E1206" s="229"/>
      <c r="F1206" s="229" t="s">
        <v>141</v>
      </c>
      <c r="G1206" s="229" t="s">
        <v>82</v>
      </c>
      <c r="H1206" s="229"/>
      <c r="I1206" s="229">
        <v>0</v>
      </c>
      <c r="J1206" s="229"/>
      <c r="K1206" s="230"/>
      <c r="L1206" s="229" t="s">
        <v>1865</v>
      </c>
      <c r="M1206" s="229">
        <v>3.0517578125E-5</v>
      </c>
      <c r="N1206" s="229" t="s">
        <v>300</v>
      </c>
      <c r="O1206" s="229" t="s">
        <v>261</v>
      </c>
      <c r="P1206" s="231"/>
    </row>
    <row r="1207" spans="1:16" ht="20.399999999999999" x14ac:dyDescent="0.25">
      <c r="A1207" s="227" t="s">
        <v>4463</v>
      </c>
      <c r="B1207" s="228" t="s">
        <v>3000</v>
      </c>
      <c r="C1207" s="228" t="s">
        <v>1473</v>
      </c>
      <c r="D1207" s="228" t="s">
        <v>1474</v>
      </c>
      <c r="E1207" s="229"/>
      <c r="F1207" s="229" t="s">
        <v>139</v>
      </c>
      <c r="G1207" s="229" t="s">
        <v>82</v>
      </c>
      <c r="H1207" s="229"/>
      <c r="I1207" s="229">
        <v>0</v>
      </c>
      <c r="J1207" s="229">
        <v>-1689.35</v>
      </c>
      <c r="K1207" s="230">
        <v>1689.35</v>
      </c>
      <c r="L1207" s="229" t="s">
        <v>1865</v>
      </c>
      <c r="M1207" s="229">
        <v>1.5625E-2</v>
      </c>
      <c r="N1207" s="229" t="s">
        <v>263</v>
      </c>
      <c r="O1207" s="229" t="s">
        <v>261</v>
      </c>
      <c r="P1207" s="231"/>
    </row>
    <row r="1208" spans="1:16" ht="20.399999999999999" x14ac:dyDescent="0.25">
      <c r="A1208" s="227" t="s">
        <v>4464</v>
      </c>
      <c r="B1208" s="228" t="s">
        <v>2997</v>
      </c>
      <c r="C1208" s="228" t="s">
        <v>1473</v>
      </c>
      <c r="D1208" s="228" t="s">
        <v>1474</v>
      </c>
      <c r="E1208" s="229"/>
      <c r="F1208" s="229" t="s">
        <v>139</v>
      </c>
      <c r="G1208" s="229" t="s">
        <v>82</v>
      </c>
      <c r="H1208" s="229"/>
      <c r="I1208" s="229">
        <v>0</v>
      </c>
      <c r="J1208" s="229">
        <v>-8.8000000000000007</v>
      </c>
      <c r="K1208" s="230">
        <v>8.8000000000000007</v>
      </c>
      <c r="L1208" s="229" t="s">
        <v>1865</v>
      </c>
      <c r="M1208" s="229">
        <v>4.8828125E-4</v>
      </c>
      <c r="N1208" s="229" t="s">
        <v>256</v>
      </c>
      <c r="O1208" s="229" t="s">
        <v>261</v>
      </c>
      <c r="P1208" s="231"/>
    </row>
    <row r="1209" spans="1:16" ht="20.399999999999999" x14ac:dyDescent="0.25">
      <c r="A1209" s="227" t="s">
        <v>4465</v>
      </c>
      <c r="B1209" s="228" t="s">
        <v>3001</v>
      </c>
      <c r="C1209" s="228" t="s">
        <v>1473</v>
      </c>
      <c r="D1209" s="228" t="s">
        <v>1474</v>
      </c>
      <c r="E1209" s="229"/>
      <c r="F1209" s="229" t="s">
        <v>139</v>
      </c>
      <c r="G1209" s="229" t="s">
        <v>82</v>
      </c>
      <c r="H1209" s="229"/>
      <c r="I1209" s="229">
        <v>0</v>
      </c>
      <c r="J1209" s="229">
        <v>-8.8000000000000007</v>
      </c>
      <c r="K1209" s="230">
        <v>8.8000000000000007</v>
      </c>
      <c r="L1209" s="229" t="s">
        <v>1865</v>
      </c>
      <c r="M1209" s="229">
        <v>4.8828125E-4</v>
      </c>
      <c r="N1209" s="229" t="s">
        <v>256</v>
      </c>
      <c r="O1209" s="229" t="s">
        <v>261</v>
      </c>
      <c r="P1209" s="231"/>
    </row>
    <row r="1210" spans="1:16" x14ac:dyDescent="0.25">
      <c r="A1210" s="227" t="s">
        <v>4466</v>
      </c>
      <c r="B1210" s="228" t="s">
        <v>3002</v>
      </c>
      <c r="C1210" s="228" t="s">
        <v>1473</v>
      </c>
      <c r="D1210" s="228" t="s">
        <v>1474</v>
      </c>
      <c r="E1210" s="229"/>
      <c r="F1210" s="229" t="s">
        <v>141</v>
      </c>
      <c r="G1210" s="229" t="s">
        <v>82</v>
      </c>
      <c r="H1210" s="229"/>
      <c r="I1210" s="229">
        <v>0</v>
      </c>
      <c r="J1210" s="229">
        <v>-8.8000000000000007</v>
      </c>
      <c r="K1210" s="230">
        <v>8.8000000000000007</v>
      </c>
      <c r="L1210" s="229" t="s">
        <v>1865</v>
      </c>
      <c r="M1210" s="229">
        <v>4.8828125E-4</v>
      </c>
      <c r="N1210" s="229" t="s">
        <v>256</v>
      </c>
      <c r="O1210" s="229" t="s">
        <v>261</v>
      </c>
      <c r="P1210" s="231"/>
    </row>
    <row r="1211" spans="1:16" x14ac:dyDescent="0.25">
      <c r="A1211" s="227" t="s">
        <v>4467</v>
      </c>
      <c r="B1211" s="228" t="s">
        <v>3003</v>
      </c>
      <c r="C1211" s="228" t="s">
        <v>1473</v>
      </c>
      <c r="D1211" s="228" t="s">
        <v>1474</v>
      </c>
      <c r="E1211" s="229"/>
      <c r="F1211" s="229" t="s">
        <v>141</v>
      </c>
      <c r="G1211" s="229" t="s">
        <v>82</v>
      </c>
      <c r="H1211" s="229"/>
      <c r="I1211" s="229">
        <v>0</v>
      </c>
      <c r="J1211" s="229">
        <v>-8.8000000000000007</v>
      </c>
      <c r="K1211" s="230">
        <v>8.8000000000000007</v>
      </c>
      <c r="L1211" s="229" t="s">
        <v>1865</v>
      </c>
      <c r="M1211" s="229">
        <v>4.8828125E-4</v>
      </c>
      <c r="N1211" s="229" t="s">
        <v>256</v>
      </c>
      <c r="O1211" s="229" t="s">
        <v>261</v>
      </c>
      <c r="P1211" s="231"/>
    </row>
    <row r="1212" spans="1:16" x14ac:dyDescent="0.25">
      <c r="A1212" s="227" t="s">
        <v>4468</v>
      </c>
      <c r="B1212" s="228" t="s">
        <v>3004</v>
      </c>
      <c r="C1212" s="228" t="s">
        <v>1473</v>
      </c>
      <c r="D1212" s="228" t="s">
        <v>1474</v>
      </c>
      <c r="E1212" s="229"/>
      <c r="F1212" s="229" t="s">
        <v>141</v>
      </c>
      <c r="G1212" s="229" t="s">
        <v>82</v>
      </c>
      <c r="H1212" s="229"/>
      <c r="I1212" s="229">
        <v>0</v>
      </c>
      <c r="J1212" s="229">
        <v>-8.8000000000000007</v>
      </c>
      <c r="K1212" s="230">
        <v>8.8000000000000007</v>
      </c>
      <c r="L1212" s="229" t="s">
        <v>1865</v>
      </c>
      <c r="M1212" s="229">
        <v>4.8828125E-4</v>
      </c>
      <c r="N1212" s="229" t="s">
        <v>256</v>
      </c>
      <c r="O1212" s="229" t="s">
        <v>261</v>
      </c>
      <c r="P1212" s="231"/>
    </row>
    <row r="1213" spans="1:16" ht="20.399999999999999" x14ac:dyDescent="0.25">
      <c r="A1213" s="227" t="s">
        <v>4469</v>
      </c>
      <c r="B1213" s="228" t="s">
        <v>3005</v>
      </c>
      <c r="C1213" s="228" t="s">
        <v>1473</v>
      </c>
      <c r="D1213" s="228" t="s">
        <v>1474</v>
      </c>
      <c r="E1213" s="229"/>
      <c r="F1213" s="229" t="s">
        <v>141</v>
      </c>
      <c r="G1213" s="229" t="s">
        <v>82</v>
      </c>
      <c r="H1213" s="229"/>
      <c r="I1213" s="229">
        <v>0</v>
      </c>
      <c r="J1213" s="229">
        <v>-1118</v>
      </c>
      <c r="K1213" s="230">
        <v>1118</v>
      </c>
      <c r="L1213" s="229" t="s">
        <v>1865</v>
      </c>
      <c r="M1213" s="229">
        <v>1.5625E-2</v>
      </c>
      <c r="N1213" s="229" t="s">
        <v>263</v>
      </c>
      <c r="O1213" s="229" t="s">
        <v>261</v>
      </c>
      <c r="P1213" s="231"/>
    </row>
    <row r="1214" spans="1:16" x14ac:dyDescent="0.25">
      <c r="A1214" s="227" t="s">
        <v>4470</v>
      </c>
      <c r="B1214" s="228"/>
      <c r="C1214" s="228" t="s">
        <v>1473</v>
      </c>
      <c r="D1214" s="228"/>
      <c r="E1214" s="229"/>
      <c r="F1214" s="229" t="s">
        <v>139</v>
      </c>
      <c r="G1214" s="229" t="s">
        <v>82</v>
      </c>
      <c r="H1214" s="229"/>
      <c r="I1214" s="229">
        <v>0</v>
      </c>
      <c r="J1214" s="229">
        <v>0</v>
      </c>
      <c r="K1214" s="230">
        <v>3</v>
      </c>
      <c r="L1214" s="229" t="s">
        <v>1865</v>
      </c>
      <c r="M1214" s="229">
        <v>4.8828125E-4</v>
      </c>
      <c r="N1214" s="229" t="s">
        <v>599</v>
      </c>
      <c r="O1214" s="229" t="s">
        <v>261</v>
      </c>
      <c r="P1214" s="231"/>
    </row>
    <row r="1215" spans="1:16" ht="26.4" x14ac:dyDescent="0.25">
      <c r="A1215" s="227" t="s">
        <v>1884</v>
      </c>
      <c r="B1215" s="228" t="s">
        <v>1885</v>
      </c>
      <c r="C1215" s="228" t="s">
        <v>1518</v>
      </c>
      <c r="D1215" s="228"/>
      <c r="E1215" s="229" t="s">
        <v>1973</v>
      </c>
      <c r="F1215" s="229" t="s">
        <v>136</v>
      </c>
      <c r="G1215" s="229" t="s">
        <v>82</v>
      </c>
      <c r="H1215" s="229" t="s">
        <v>3006</v>
      </c>
      <c r="I1215" s="229">
        <v>0</v>
      </c>
      <c r="J1215" s="229">
        <v>-10</v>
      </c>
      <c r="K1215" s="230">
        <v>10</v>
      </c>
      <c r="L1215" s="229" t="s">
        <v>1865</v>
      </c>
      <c r="M1215" s="229">
        <v>3.9100000000000003E-3</v>
      </c>
      <c r="N1215" s="229" t="s">
        <v>265</v>
      </c>
      <c r="O1215" s="229" t="s">
        <v>261</v>
      </c>
      <c r="P1215" s="231"/>
    </row>
    <row r="1216" spans="1:16" ht="92.4" x14ac:dyDescent="0.25">
      <c r="A1216" s="227" t="s">
        <v>3007</v>
      </c>
      <c r="B1216" s="228" t="s">
        <v>1880</v>
      </c>
      <c r="C1216" s="228" t="s">
        <v>1518</v>
      </c>
      <c r="D1216" s="228"/>
      <c r="E1216" s="229" t="s">
        <v>3008</v>
      </c>
      <c r="F1216" s="229" t="s">
        <v>136</v>
      </c>
      <c r="G1216" s="229" t="s">
        <v>82</v>
      </c>
      <c r="H1216" s="229"/>
      <c r="I1216" s="229">
        <v>0</v>
      </c>
      <c r="J1216" s="229">
        <v>-900</v>
      </c>
      <c r="K1216" s="230">
        <v>900</v>
      </c>
      <c r="L1216" s="229" t="s">
        <v>1865</v>
      </c>
      <c r="M1216" s="229">
        <v>6.25E-2</v>
      </c>
      <c r="N1216" s="229" t="s">
        <v>268</v>
      </c>
      <c r="O1216" s="229" t="s">
        <v>261</v>
      </c>
      <c r="P1216" s="231"/>
    </row>
    <row r="1217" spans="1:16" ht="26.4" x14ac:dyDescent="0.25">
      <c r="A1217" s="227" t="s">
        <v>2156</v>
      </c>
      <c r="B1217" s="228" t="s">
        <v>2926</v>
      </c>
      <c r="C1217" s="228" t="s">
        <v>1518</v>
      </c>
      <c r="D1217" s="228"/>
      <c r="E1217" s="229" t="s">
        <v>3009</v>
      </c>
      <c r="F1217" s="229" t="s">
        <v>136</v>
      </c>
      <c r="G1217" s="229" t="s">
        <v>82</v>
      </c>
      <c r="H1217" s="229" t="s">
        <v>3010</v>
      </c>
      <c r="I1217" s="229">
        <v>0</v>
      </c>
      <c r="J1217" s="229">
        <v>-50.000005000000002</v>
      </c>
      <c r="K1217" s="230">
        <v>50.000005000000002</v>
      </c>
      <c r="L1217" s="229" t="s">
        <v>1865</v>
      </c>
      <c r="M1217" s="229">
        <v>1.953125E-3</v>
      </c>
      <c r="N1217" s="229" t="s">
        <v>1461</v>
      </c>
      <c r="O1217" s="229" t="s">
        <v>261</v>
      </c>
      <c r="P1217" s="231"/>
    </row>
    <row r="1218" spans="1:16" ht="79.2" x14ac:dyDescent="0.25">
      <c r="A1218" s="227" t="s">
        <v>1980</v>
      </c>
      <c r="B1218" s="228" t="s">
        <v>1876</v>
      </c>
      <c r="C1218" s="228" t="s">
        <v>1518</v>
      </c>
      <c r="D1218" s="228"/>
      <c r="E1218" s="229" t="s">
        <v>1981</v>
      </c>
      <c r="F1218" s="229" t="s">
        <v>136</v>
      </c>
      <c r="G1218" s="229" t="s">
        <v>82</v>
      </c>
      <c r="H1218" s="229" t="s">
        <v>3011</v>
      </c>
      <c r="I1218" s="229">
        <v>0</v>
      </c>
      <c r="J1218" s="229">
        <v>0</v>
      </c>
      <c r="K1218" s="230">
        <v>255</v>
      </c>
      <c r="L1218" s="229" t="s">
        <v>1865</v>
      </c>
      <c r="M1218" s="229">
        <v>7.8125E-3</v>
      </c>
      <c r="N1218" s="229" t="s">
        <v>311</v>
      </c>
      <c r="O1218" s="229" t="s">
        <v>261</v>
      </c>
      <c r="P1218" s="231"/>
    </row>
    <row r="1219" spans="1:16" ht="79.2" x14ac:dyDescent="0.25">
      <c r="A1219" s="227" t="s">
        <v>3012</v>
      </c>
      <c r="B1219" s="228" t="s">
        <v>3013</v>
      </c>
      <c r="C1219" s="228" t="s">
        <v>1518</v>
      </c>
      <c r="D1219" s="228"/>
      <c r="E1219" s="229" t="s">
        <v>3014</v>
      </c>
      <c r="F1219" s="229" t="s">
        <v>136</v>
      </c>
      <c r="G1219" s="229" t="s">
        <v>82</v>
      </c>
      <c r="H1219" s="229"/>
      <c r="I1219" s="229">
        <v>0</v>
      </c>
      <c r="J1219" s="229">
        <v>7.8125E-3</v>
      </c>
      <c r="K1219" s="230">
        <v>1</v>
      </c>
      <c r="L1219" s="229" t="s">
        <v>1865</v>
      </c>
      <c r="M1219" s="229">
        <v>4.8799999999999999E-4</v>
      </c>
      <c r="N1219" s="229" t="s">
        <v>260</v>
      </c>
      <c r="O1219" s="229" t="s">
        <v>261</v>
      </c>
      <c r="P1219" s="231"/>
    </row>
    <row r="1220" spans="1:16" ht="52.8" x14ac:dyDescent="0.25">
      <c r="A1220" s="227" t="s">
        <v>3015</v>
      </c>
      <c r="B1220" s="228" t="s">
        <v>3016</v>
      </c>
      <c r="C1220" s="228" t="s">
        <v>1518</v>
      </c>
      <c r="D1220" s="228"/>
      <c r="E1220" s="229" t="s">
        <v>3017</v>
      </c>
      <c r="F1220" s="229" t="s">
        <v>136</v>
      </c>
      <c r="G1220" s="229" t="s">
        <v>82</v>
      </c>
      <c r="H1220" s="229"/>
      <c r="I1220" s="229">
        <v>0</v>
      </c>
      <c r="J1220" s="229">
        <v>0</v>
      </c>
      <c r="K1220" s="230">
        <v>20</v>
      </c>
      <c r="L1220" s="229" t="s">
        <v>1865</v>
      </c>
      <c r="M1220" s="229">
        <v>6.25E-2</v>
      </c>
      <c r="N1220" s="229" t="s">
        <v>268</v>
      </c>
      <c r="O1220" s="229" t="s">
        <v>261</v>
      </c>
      <c r="P1220" s="231"/>
    </row>
    <row r="1221" spans="1:16" ht="52.8" x14ac:dyDescent="0.25">
      <c r="A1221" s="227" t="s">
        <v>3018</v>
      </c>
      <c r="B1221" s="228" t="s">
        <v>1878</v>
      </c>
      <c r="C1221" s="228" t="s">
        <v>1518</v>
      </c>
      <c r="D1221" s="228"/>
      <c r="E1221" s="229" t="s">
        <v>3019</v>
      </c>
      <c r="F1221" s="229" t="s">
        <v>136</v>
      </c>
      <c r="G1221" s="229" t="s">
        <v>82</v>
      </c>
      <c r="H1221" s="229" t="s">
        <v>3020</v>
      </c>
      <c r="I1221" s="229">
        <v>0</v>
      </c>
      <c r="J1221" s="229">
        <v>0</v>
      </c>
      <c r="K1221" s="230">
        <v>1</v>
      </c>
      <c r="L1221" s="229" t="s">
        <v>1865</v>
      </c>
      <c r="M1221" s="229">
        <v>4.8799999999999999E-4</v>
      </c>
      <c r="N1221" s="229" t="s">
        <v>260</v>
      </c>
      <c r="O1221" s="229" t="s">
        <v>261</v>
      </c>
      <c r="P1221" s="231"/>
    </row>
    <row r="1222" spans="1:16" ht="92.4" x14ac:dyDescent="0.25">
      <c r="A1222" s="227" t="s">
        <v>3021</v>
      </c>
      <c r="B1222" s="228" t="s">
        <v>3022</v>
      </c>
      <c r="C1222" s="228" t="s">
        <v>1518</v>
      </c>
      <c r="D1222" s="228"/>
      <c r="E1222" s="229" t="s">
        <v>3023</v>
      </c>
      <c r="F1222" s="229" t="s">
        <v>136</v>
      </c>
      <c r="G1222" s="229" t="s">
        <v>82</v>
      </c>
      <c r="H1222" s="229"/>
      <c r="I1222" s="229">
        <v>0</v>
      </c>
      <c r="J1222" s="229">
        <v>0</v>
      </c>
      <c r="K1222" s="230">
        <v>1</v>
      </c>
      <c r="L1222" s="229" t="s">
        <v>1865</v>
      </c>
      <c r="M1222" s="229">
        <v>4.8799999999999999E-4</v>
      </c>
      <c r="N1222" s="229" t="s">
        <v>260</v>
      </c>
      <c r="O1222" s="229" t="s">
        <v>261</v>
      </c>
      <c r="P1222" s="231"/>
    </row>
    <row r="1223" spans="1:16" ht="52.8" x14ac:dyDescent="0.25">
      <c r="A1223" s="227" t="s">
        <v>1870</v>
      </c>
      <c r="B1223" s="228" t="s">
        <v>2263</v>
      </c>
      <c r="C1223" s="228" t="s">
        <v>1518</v>
      </c>
      <c r="D1223" s="228"/>
      <c r="E1223" s="229" t="s">
        <v>3024</v>
      </c>
      <c r="F1223" s="229" t="s">
        <v>136</v>
      </c>
      <c r="G1223" s="229" t="s">
        <v>82</v>
      </c>
      <c r="H1223" s="229"/>
      <c r="I1223" s="229">
        <v>0</v>
      </c>
      <c r="J1223" s="229">
        <v>0</v>
      </c>
      <c r="K1223" s="230">
        <v>1</v>
      </c>
      <c r="L1223" s="229">
        <v>1</v>
      </c>
      <c r="M1223" s="229">
        <v>0</v>
      </c>
      <c r="N1223" s="229" t="s">
        <v>3025</v>
      </c>
      <c r="O1223" s="229" t="s">
        <v>501</v>
      </c>
      <c r="P1223" s="231"/>
    </row>
    <row r="1224" spans="1:16" ht="79.2" x14ac:dyDescent="0.25">
      <c r="A1224" s="227" t="s">
        <v>2294</v>
      </c>
      <c r="B1224" s="228" t="s">
        <v>3026</v>
      </c>
      <c r="C1224" s="228" t="s">
        <v>1518</v>
      </c>
      <c r="D1224" s="228"/>
      <c r="E1224" s="229" t="s">
        <v>3027</v>
      </c>
      <c r="F1224" s="229" t="s">
        <v>136</v>
      </c>
      <c r="G1224" s="229" t="s">
        <v>82</v>
      </c>
      <c r="H1224" s="229" t="s">
        <v>3028</v>
      </c>
      <c r="I1224" s="229">
        <v>30</v>
      </c>
      <c r="J1224" s="229">
        <v>-40</v>
      </c>
      <c r="K1224" s="230">
        <v>150</v>
      </c>
      <c r="L1224" s="229" t="s">
        <v>1865</v>
      </c>
      <c r="M1224" s="229">
        <v>3.125E-2</v>
      </c>
      <c r="N1224" s="229" t="s">
        <v>558</v>
      </c>
      <c r="O1224" s="229" t="s">
        <v>261</v>
      </c>
      <c r="P1224" s="231"/>
    </row>
    <row r="1225" spans="1:16" ht="39.6" x14ac:dyDescent="0.25">
      <c r="A1225" s="227" t="s">
        <v>3029</v>
      </c>
      <c r="B1225" s="228" t="s">
        <v>3030</v>
      </c>
      <c r="C1225" s="228" t="s">
        <v>1518</v>
      </c>
      <c r="D1225" s="228" t="s">
        <v>191</v>
      </c>
      <c r="E1225" s="229" t="s">
        <v>3031</v>
      </c>
      <c r="F1225" s="229" t="s">
        <v>138</v>
      </c>
      <c r="G1225" s="229" t="s">
        <v>82</v>
      </c>
      <c r="H1225" s="229"/>
      <c r="I1225" s="229">
        <v>0</v>
      </c>
      <c r="J1225" s="229">
        <v>-8.8000000000000007</v>
      </c>
      <c r="K1225" s="230">
        <v>8.8000000000000007</v>
      </c>
      <c r="L1225" s="229" t="s">
        <v>1865</v>
      </c>
      <c r="M1225" s="229">
        <v>4.8799999999999999E-4</v>
      </c>
      <c r="N1225" s="229" t="s">
        <v>256</v>
      </c>
      <c r="O1225" s="229" t="s">
        <v>261</v>
      </c>
      <c r="P1225" s="231"/>
    </row>
    <row r="1226" spans="1:16" x14ac:dyDescent="0.25">
      <c r="A1226" s="227" t="s">
        <v>3032</v>
      </c>
      <c r="B1226" s="228" t="s">
        <v>1871</v>
      </c>
      <c r="C1226" s="228" t="s">
        <v>1518</v>
      </c>
      <c r="D1226" s="228" t="s">
        <v>191</v>
      </c>
      <c r="E1226" s="229"/>
      <c r="F1226" s="229" t="s">
        <v>139</v>
      </c>
      <c r="G1226" s="229" t="s">
        <v>82</v>
      </c>
      <c r="H1226" s="229"/>
      <c r="I1226" s="229">
        <v>0</v>
      </c>
      <c r="J1226" s="229">
        <v>0</v>
      </c>
      <c r="K1226" s="230">
        <v>20</v>
      </c>
      <c r="L1226" s="229" t="s">
        <v>1865</v>
      </c>
      <c r="M1226" s="229">
        <v>7.8125E-3</v>
      </c>
      <c r="N1226" s="229" t="s">
        <v>268</v>
      </c>
      <c r="O1226" s="229" t="s">
        <v>261</v>
      </c>
      <c r="P1226" s="231"/>
    </row>
    <row r="1227" spans="1:16" x14ac:dyDescent="0.25">
      <c r="A1227" s="227" t="s">
        <v>3033</v>
      </c>
      <c r="B1227" s="228" t="s">
        <v>1871</v>
      </c>
      <c r="C1227" s="228" t="s">
        <v>1518</v>
      </c>
      <c r="D1227" s="228" t="s">
        <v>191</v>
      </c>
      <c r="E1227" s="229"/>
      <c r="F1227" s="229" t="s">
        <v>139</v>
      </c>
      <c r="G1227" s="229" t="s">
        <v>82</v>
      </c>
      <c r="H1227" s="229"/>
      <c r="I1227" s="229">
        <v>0</v>
      </c>
      <c r="J1227" s="229">
        <v>0</v>
      </c>
      <c r="K1227" s="230">
        <v>1</v>
      </c>
      <c r="L1227" s="229" t="s">
        <v>1865</v>
      </c>
      <c r="M1227" s="229">
        <v>1.5625E-2</v>
      </c>
      <c r="N1227" s="229" t="s">
        <v>260</v>
      </c>
      <c r="O1227" s="229" t="s">
        <v>261</v>
      </c>
      <c r="P1227" s="231"/>
    </row>
    <row r="1228" spans="1:16" x14ac:dyDescent="0.25">
      <c r="A1228" s="227" t="s">
        <v>3034</v>
      </c>
      <c r="B1228" s="228" t="s">
        <v>3035</v>
      </c>
      <c r="C1228" s="228" t="s">
        <v>1518</v>
      </c>
      <c r="D1228" s="228" t="s">
        <v>191</v>
      </c>
      <c r="E1228" s="229"/>
      <c r="F1228" s="229" t="s">
        <v>141</v>
      </c>
      <c r="G1228" s="229" t="s">
        <v>82</v>
      </c>
      <c r="H1228" s="229"/>
      <c r="I1228" s="229"/>
      <c r="J1228" s="229">
        <v>0</v>
      </c>
      <c r="K1228" s="230">
        <v>0.5</v>
      </c>
      <c r="L1228" s="229" t="s">
        <v>1865</v>
      </c>
      <c r="M1228" s="229"/>
      <c r="N1228" s="229" t="s">
        <v>256</v>
      </c>
      <c r="O1228" s="229" t="s">
        <v>261</v>
      </c>
      <c r="P1228" s="231"/>
    </row>
    <row r="1229" spans="1:16" x14ac:dyDescent="0.25">
      <c r="A1229" s="227" t="s">
        <v>3036</v>
      </c>
      <c r="B1229" s="228" t="s">
        <v>3037</v>
      </c>
      <c r="C1229" s="228" t="s">
        <v>1518</v>
      </c>
      <c r="D1229" s="228" t="s">
        <v>191</v>
      </c>
      <c r="E1229" s="229"/>
      <c r="F1229" s="229" t="s">
        <v>141</v>
      </c>
      <c r="G1229" s="229" t="s">
        <v>82</v>
      </c>
      <c r="H1229" s="229"/>
      <c r="I1229" s="229"/>
      <c r="J1229" s="229">
        <v>0</v>
      </c>
      <c r="K1229" s="230">
        <v>1</v>
      </c>
      <c r="L1229" s="229" t="s">
        <v>1865</v>
      </c>
      <c r="M1229" s="229"/>
      <c r="N1229" s="229" t="s">
        <v>260</v>
      </c>
      <c r="O1229" s="229" t="s">
        <v>261</v>
      </c>
      <c r="P1229" s="231"/>
    </row>
    <row r="1230" spans="1:16" x14ac:dyDescent="0.25">
      <c r="A1230" s="227" t="s">
        <v>3038</v>
      </c>
      <c r="B1230" s="228" t="s">
        <v>3039</v>
      </c>
      <c r="C1230" s="228" t="s">
        <v>1518</v>
      </c>
      <c r="D1230" s="228" t="s">
        <v>191</v>
      </c>
      <c r="E1230" s="229"/>
      <c r="F1230" s="229" t="s">
        <v>141</v>
      </c>
      <c r="G1230" s="229" t="s">
        <v>82</v>
      </c>
      <c r="H1230" s="229"/>
      <c r="I1230" s="229"/>
      <c r="J1230" s="229">
        <v>0</v>
      </c>
      <c r="K1230" s="230">
        <v>50</v>
      </c>
      <c r="L1230" s="229" t="s">
        <v>1865</v>
      </c>
      <c r="M1230" s="229"/>
      <c r="N1230" s="229" t="s">
        <v>260</v>
      </c>
      <c r="O1230" s="229" t="s">
        <v>261</v>
      </c>
      <c r="P1230" s="231"/>
    </row>
    <row r="1231" spans="1:16" x14ac:dyDescent="0.25">
      <c r="A1231" s="227" t="s">
        <v>3040</v>
      </c>
      <c r="B1231" s="228" t="s">
        <v>3041</v>
      </c>
      <c r="C1231" s="228" t="s">
        <v>1518</v>
      </c>
      <c r="D1231" s="228" t="s">
        <v>191</v>
      </c>
      <c r="E1231" s="229"/>
      <c r="F1231" s="229" t="s">
        <v>141</v>
      </c>
      <c r="G1231" s="229" t="s">
        <v>82</v>
      </c>
      <c r="H1231" s="229"/>
      <c r="I1231" s="229"/>
      <c r="J1231" s="229">
        <v>0</v>
      </c>
      <c r="K1231" s="230">
        <v>10</v>
      </c>
      <c r="L1231" s="229" t="s">
        <v>1865</v>
      </c>
      <c r="M1231" s="229"/>
      <c r="N1231" s="229" t="s">
        <v>260</v>
      </c>
      <c r="O1231" s="229" t="s">
        <v>261</v>
      </c>
      <c r="P1231" s="231"/>
    </row>
    <row r="1232" spans="1:16" x14ac:dyDescent="0.25">
      <c r="A1232" s="227" t="s">
        <v>3033</v>
      </c>
      <c r="B1232" s="228" t="s">
        <v>3042</v>
      </c>
      <c r="C1232" s="228" t="s">
        <v>1518</v>
      </c>
      <c r="D1232" s="228" t="s">
        <v>191</v>
      </c>
      <c r="E1232" s="229"/>
      <c r="F1232" s="229" t="s">
        <v>139</v>
      </c>
      <c r="G1232" s="229" t="s">
        <v>82</v>
      </c>
      <c r="H1232" s="229"/>
      <c r="I1232" s="229"/>
      <c r="J1232" s="229">
        <v>0</v>
      </c>
      <c r="K1232" s="230">
        <v>1</v>
      </c>
      <c r="L1232" s="229" t="s">
        <v>1865</v>
      </c>
      <c r="M1232" s="229"/>
      <c r="N1232" s="229" t="s">
        <v>260</v>
      </c>
      <c r="O1232" s="229" t="s">
        <v>261</v>
      </c>
      <c r="P1232" s="231"/>
    </row>
    <row r="1233" spans="1:16" x14ac:dyDescent="0.25">
      <c r="A1233" s="227" t="s">
        <v>3043</v>
      </c>
      <c r="B1233" s="228" t="s">
        <v>3044</v>
      </c>
      <c r="C1233" s="228" t="s">
        <v>1518</v>
      </c>
      <c r="D1233" s="228" t="s">
        <v>191</v>
      </c>
      <c r="E1233" s="229"/>
      <c r="F1233" s="229" t="s">
        <v>141</v>
      </c>
      <c r="G1233" s="229" t="s">
        <v>82</v>
      </c>
      <c r="H1233" s="229"/>
      <c r="I1233" s="229"/>
      <c r="J1233" s="229">
        <v>0</v>
      </c>
      <c r="K1233" s="230">
        <v>1640</v>
      </c>
      <c r="L1233" s="229">
        <v>6.25E-2</v>
      </c>
      <c r="M1233" s="229"/>
      <c r="N1233" s="229" t="s">
        <v>268</v>
      </c>
      <c r="O1233" s="229" t="s">
        <v>711</v>
      </c>
      <c r="P1233" s="231"/>
    </row>
    <row r="1234" spans="1:16" x14ac:dyDescent="0.25">
      <c r="A1234" s="227" t="s">
        <v>3045</v>
      </c>
      <c r="B1234" s="228" t="s">
        <v>3046</v>
      </c>
      <c r="C1234" s="228" t="s">
        <v>1518</v>
      </c>
      <c r="D1234" s="228" t="s">
        <v>191</v>
      </c>
      <c r="E1234" s="229"/>
      <c r="F1234" s="229" t="s">
        <v>141</v>
      </c>
      <c r="G1234" s="229" t="s">
        <v>82</v>
      </c>
      <c r="H1234" s="229"/>
      <c r="I1234" s="229"/>
      <c r="J1234" s="229">
        <v>-1</v>
      </c>
      <c r="K1234" s="230">
        <v>1</v>
      </c>
      <c r="L1234" s="229" t="s">
        <v>1865</v>
      </c>
      <c r="M1234" s="229">
        <v>6.25E-2</v>
      </c>
      <c r="N1234" s="229" t="s">
        <v>268</v>
      </c>
      <c r="O1234" s="229" t="s">
        <v>261</v>
      </c>
      <c r="P1234" s="231"/>
    </row>
    <row r="1235" spans="1:16" x14ac:dyDescent="0.25">
      <c r="A1235" s="227" t="s">
        <v>3047</v>
      </c>
      <c r="B1235" s="228" t="s">
        <v>3048</v>
      </c>
      <c r="C1235" s="228" t="s">
        <v>1518</v>
      </c>
      <c r="D1235" s="228" t="s">
        <v>191</v>
      </c>
      <c r="E1235" s="229"/>
      <c r="F1235" s="229" t="s">
        <v>141</v>
      </c>
      <c r="G1235" s="229" t="s">
        <v>82</v>
      </c>
      <c r="H1235" s="229"/>
      <c r="I1235" s="229"/>
      <c r="J1235" s="229">
        <v>-10</v>
      </c>
      <c r="K1235" s="230">
        <v>10</v>
      </c>
      <c r="L1235" s="229" t="s">
        <v>1865</v>
      </c>
      <c r="M1235" s="229"/>
      <c r="N1235" s="229" t="s">
        <v>256</v>
      </c>
      <c r="O1235" s="229" t="s">
        <v>261</v>
      </c>
      <c r="P1235" s="231"/>
    </row>
    <row r="1236" spans="1:16" x14ac:dyDescent="0.25">
      <c r="A1236" s="227" t="s">
        <v>3049</v>
      </c>
      <c r="B1236" s="228" t="s">
        <v>2067</v>
      </c>
      <c r="C1236" s="228" t="s">
        <v>1518</v>
      </c>
      <c r="D1236" s="228" t="s">
        <v>191</v>
      </c>
      <c r="E1236" s="229"/>
      <c r="F1236" s="229" t="s">
        <v>136</v>
      </c>
      <c r="G1236" s="229" t="s">
        <v>82</v>
      </c>
      <c r="H1236" s="229"/>
      <c r="I1236" s="229" t="b">
        <v>0</v>
      </c>
      <c r="J1236" s="229" t="b">
        <v>0</v>
      </c>
      <c r="K1236" s="230" t="b">
        <v>1</v>
      </c>
      <c r="L1236" s="229" t="s">
        <v>1871</v>
      </c>
      <c r="M1236" s="229" t="s">
        <v>1871</v>
      </c>
      <c r="N1236" s="229" t="s">
        <v>271</v>
      </c>
      <c r="O1236" s="229" t="s">
        <v>501</v>
      </c>
      <c r="P1236" s="231"/>
    </row>
    <row r="1237" spans="1:16" ht="52.8" x14ac:dyDescent="0.25">
      <c r="A1237" s="227" t="s">
        <v>1887</v>
      </c>
      <c r="B1237" s="228" t="s">
        <v>1880</v>
      </c>
      <c r="C1237" s="228" t="s">
        <v>1574</v>
      </c>
      <c r="D1237" s="228" t="s">
        <v>249</v>
      </c>
      <c r="E1237" s="229" t="s">
        <v>3050</v>
      </c>
      <c r="F1237" s="229" t="s">
        <v>136</v>
      </c>
      <c r="G1237" s="229" t="s">
        <v>82</v>
      </c>
      <c r="H1237" s="229" t="s">
        <v>3051</v>
      </c>
      <c r="I1237" s="229">
        <v>0</v>
      </c>
      <c r="J1237" s="229">
        <v>-900</v>
      </c>
      <c r="K1237" s="230">
        <v>900</v>
      </c>
      <c r="L1237" s="229" t="s">
        <v>1865</v>
      </c>
      <c r="M1237" s="229"/>
      <c r="N1237" s="229" t="s">
        <v>268</v>
      </c>
      <c r="O1237" s="229" t="s">
        <v>261</v>
      </c>
      <c r="P1237" s="231"/>
    </row>
    <row r="1238" spans="1:16" ht="39.6" x14ac:dyDescent="0.25">
      <c r="A1238" s="227" t="s">
        <v>3029</v>
      </c>
      <c r="B1238" s="228" t="s">
        <v>3030</v>
      </c>
      <c r="C1238" s="228" t="s">
        <v>1574</v>
      </c>
      <c r="D1238" s="228" t="s">
        <v>249</v>
      </c>
      <c r="E1238" s="229" t="s">
        <v>1981</v>
      </c>
      <c r="F1238" s="229" t="s">
        <v>136</v>
      </c>
      <c r="G1238" s="229" t="s">
        <v>82</v>
      </c>
      <c r="H1238" s="229"/>
      <c r="I1238" s="229">
        <v>0</v>
      </c>
      <c r="J1238" s="229">
        <v>-8.8000000000000007</v>
      </c>
      <c r="K1238" s="230">
        <v>8.8000000000000007</v>
      </c>
      <c r="L1238" s="229" t="s">
        <v>1865</v>
      </c>
      <c r="M1238" s="229"/>
      <c r="N1238" s="229" t="s">
        <v>256</v>
      </c>
      <c r="O1238" s="229" t="s">
        <v>261</v>
      </c>
      <c r="P1238" s="231"/>
    </row>
    <row r="1239" spans="1:16" ht="66" x14ac:dyDescent="0.25">
      <c r="A1239" s="227" t="s">
        <v>1875</v>
      </c>
      <c r="B1239" s="228" t="s">
        <v>1876</v>
      </c>
      <c r="C1239" s="228" t="s">
        <v>1574</v>
      </c>
      <c r="D1239" s="228" t="s">
        <v>249</v>
      </c>
      <c r="E1239" s="229" t="s">
        <v>3052</v>
      </c>
      <c r="F1239" s="229" t="s">
        <v>136</v>
      </c>
      <c r="G1239" s="229" t="s">
        <v>82</v>
      </c>
      <c r="H1239" s="229" t="s">
        <v>3053</v>
      </c>
      <c r="I1239" s="229">
        <v>0</v>
      </c>
      <c r="J1239" s="229">
        <v>0</v>
      </c>
      <c r="K1239" s="230">
        <v>255</v>
      </c>
      <c r="L1239" s="229" t="s">
        <v>1865</v>
      </c>
      <c r="M1239" s="229"/>
      <c r="N1239" s="229" t="s">
        <v>311</v>
      </c>
      <c r="O1239" s="229" t="s">
        <v>261</v>
      </c>
      <c r="P1239" s="231"/>
    </row>
    <row r="1240" spans="1:16" ht="26.4" x14ac:dyDescent="0.25">
      <c r="A1240" s="227" t="s">
        <v>2096</v>
      </c>
      <c r="B1240" s="228" t="s">
        <v>2097</v>
      </c>
      <c r="C1240" s="228" t="s">
        <v>1574</v>
      </c>
      <c r="D1240" s="228" t="s">
        <v>249</v>
      </c>
      <c r="E1240" s="229" t="s">
        <v>3054</v>
      </c>
      <c r="F1240" s="229" t="s">
        <v>138</v>
      </c>
      <c r="G1240" s="229" t="s">
        <v>82</v>
      </c>
      <c r="H1240" s="229"/>
      <c r="I1240" s="229">
        <v>0</v>
      </c>
      <c r="J1240" s="229">
        <v>-8.8000000000000007</v>
      </c>
      <c r="K1240" s="230">
        <v>8.8000000000000007</v>
      </c>
      <c r="L1240" s="229" t="s">
        <v>1865</v>
      </c>
      <c r="M1240" s="229">
        <v>4.8828125E-4</v>
      </c>
      <c r="N1240" s="229" t="s">
        <v>256</v>
      </c>
      <c r="O1240" s="229" t="s">
        <v>261</v>
      </c>
      <c r="P1240" s="231"/>
    </row>
    <row r="1241" spans="1:16" ht="26.4" x14ac:dyDescent="0.25">
      <c r="A1241" s="227" t="s">
        <v>3055</v>
      </c>
      <c r="B1241" s="228" t="s">
        <v>3056</v>
      </c>
      <c r="C1241" s="228" t="s">
        <v>1574</v>
      </c>
      <c r="D1241" s="228" t="s">
        <v>249</v>
      </c>
      <c r="E1241" s="229"/>
      <c r="F1241" s="229" t="s">
        <v>141</v>
      </c>
      <c r="G1241" s="229" t="s">
        <v>82</v>
      </c>
      <c r="H1241" s="229" t="s">
        <v>3057</v>
      </c>
      <c r="I1241" s="229">
        <v>0</v>
      </c>
      <c r="J1241" s="229">
        <v>-8.8000000000000007</v>
      </c>
      <c r="K1241" s="230">
        <v>8.8000000000000007</v>
      </c>
      <c r="L1241" s="229" t="s">
        <v>1865</v>
      </c>
      <c r="M1241" s="229">
        <v>4.8828125E-4</v>
      </c>
      <c r="N1241" s="229" t="s">
        <v>256</v>
      </c>
      <c r="O1241" s="229" t="s">
        <v>261</v>
      </c>
      <c r="P1241" s="231"/>
    </row>
    <row r="1242" spans="1:16" ht="26.4" x14ac:dyDescent="0.25">
      <c r="A1242" s="227" t="s">
        <v>3058</v>
      </c>
      <c r="B1242" s="228" t="s">
        <v>3059</v>
      </c>
      <c r="C1242" s="228" t="s">
        <v>1574</v>
      </c>
      <c r="D1242" s="228" t="s">
        <v>249</v>
      </c>
      <c r="E1242" s="229"/>
      <c r="F1242" s="229" t="s">
        <v>141</v>
      </c>
      <c r="G1242" s="229" t="s">
        <v>82</v>
      </c>
      <c r="H1242" s="229" t="s">
        <v>3060</v>
      </c>
      <c r="I1242" s="229">
        <v>0</v>
      </c>
      <c r="J1242" s="229">
        <v>-8.8000000000000007</v>
      </c>
      <c r="K1242" s="230">
        <v>8.8000000000000007</v>
      </c>
      <c r="L1242" s="229" t="s">
        <v>1865</v>
      </c>
      <c r="M1242" s="229">
        <v>4.8828125E-4</v>
      </c>
      <c r="N1242" s="229" t="s">
        <v>256</v>
      </c>
      <c r="O1242" s="229" t="s">
        <v>261</v>
      </c>
      <c r="P1242" s="231"/>
    </row>
    <row r="1243" spans="1:16" x14ac:dyDescent="0.25">
      <c r="A1243" s="227" t="s">
        <v>3061</v>
      </c>
      <c r="B1243" s="228" t="s">
        <v>3062</v>
      </c>
      <c r="C1243" s="228" t="s">
        <v>1574</v>
      </c>
      <c r="D1243" s="228" t="s">
        <v>249</v>
      </c>
      <c r="E1243" s="229"/>
      <c r="F1243" s="229" t="s">
        <v>141</v>
      </c>
      <c r="G1243" s="229" t="s">
        <v>82</v>
      </c>
      <c r="H1243" s="229"/>
      <c r="I1243" s="229" t="b">
        <v>0</v>
      </c>
      <c r="J1243" s="229" t="b">
        <v>0</v>
      </c>
      <c r="K1243" s="230" t="b">
        <v>1</v>
      </c>
      <c r="L1243" s="229" t="s">
        <v>1871</v>
      </c>
      <c r="M1243" s="229" t="s">
        <v>1871</v>
      </c>
      <c r="N1243" s="229" t="s">
        <v>271</v>
      </c>
      <c r="O1243" s="229" t="s">
        <v>929</v>
      </c>
      <c r="P1243" s="231"/>
    </row>
    <row r="1244" spans="1:16" x14ac:dyDescent="0.25">
      <c r="A1244" s="227" t="s">
        <v>3063</v>
      </c>
      <c r="B1244" s="228" t="s">
        <v>2067</v>
      </c>
      <c r="C1244" s="228" t="s">
        <v>1574</v>
      </c>
      <c r="D1244" s="228" t="s">
        <v>249</v>
      </c>
      <c r="E1244" s="229"/>
      <c r="F1244" s="229" t="s">
        <v>136</v>
      </c>
      <c r="G1244" s="229"/>
      <c r="H1244" s="229"/>
      <c r="I1244" s="229" t="b">
        <v>0</v>
      </c>
      <c r="J1244" s="229" t="b">
        <v>0</v>
      </c>
      <c r="K1244" s="230" t="b">
        <v>1</v>
      </c>
      <c r="L1244" s="229" t="s">
        <v>1871</v>
      </c>
      <c r="M1244" s="229" t="s">
        <v>1871</v>
      </c>
      <c r="N1244" s="229" t="s">
        <v>271</v>
      </c>
      <c r="O1244" s="229" t="s">
        <v>929</v>
      </c>
      <c r="P1244" s="231"/>
    </row>
    <row r="1245" spans="1:16" ht="52.8" x14ac:dyDescent="0.25">
      <c r="A1245" s="227" t="s">
        <v>2068</v>
      </c>
      <c r="B1245" s="228" t="s">
        <v>2069</v>
      </c>
      <c r="C1245" s="228" t="s">
        <v>1574</v>
      </c>
      <c r="D1245" s="228" t="s">
        <v>249</v>
      </c>
      <c r="E1245" s="229" t="s">
        <v>2070</v>
      </c>
      <c r="F1245" s="229" t="s">
        <v>136</v>
      </c>
      <c r="G1245" s="229" t="s">
        <v>82</v>
      </c>
      <c r="H1245" s="229"/>
      <c r="I1245" s="229">
        <v>0</v>
      </c>
      <c r="J1245" s="229">
        <v>0</v>
      </c>
      <c r="K1245" s="230">
        <v>2</v>
      </c>
      <c r="L1245" s="229">
        <v>1</v>
      </c>
      <c r="M1245" s="229"/>
      <c r="N1245" s="229" t="s">
        <v>271</v>
      </c>
      <c r="O1245" s="229" t="s">
        <v>2071</v>
      </c>
      <c r="P1245" s="231"/>
    </row>
    <row r="1246" spans="1:16" ht="52.8" x14ac:dyDescent="0.25">
      <c r="A1246" s="227" t="s">
        <v>3064</v>
      </c>
      <c r="B1246" s="228" t="s">
        <v>3065</v>
      </c>
      <c r="C1246" s="228" t="s">
        <v>1588</v>
      </c>
      <c r="D1246" s="228"/>
      <c r="E1246" s="229" t="s">
        <v>3066</v>
      </c>
      <c r="F1246" s="229" t="s">
        <v>136</v>
      </c>
      <c r="G1246" s="229"/>
      <c r="H1246" s="229"/>
      <c r="I1246" s="229">
        <v>0</v>
      </c>
      <c r="J1246" s="229">
        <v>0</v>
      </c>
      <c r="K1246" s="230">
        <v>511</v>
      </c>
      <c r="L1246" s="229" t="s">
        <v>2283</v>
      </c>
      <c r="M1246" s="229"/>
      <c r="N1246" s="229" t="s">
        <v>311</v>
      </c>
      <c r="O1246" s="229" t="s">
        <v>261</v>
      </c>
      <c r="P1246" s="231"/>
    </row>
    <row r="1247" spans="1:16" ht="39.6" x14ac:dyDescent="0.25">
      <c r="A1247" s="227" t="s">
        <v>1875</v>
      </c>
      <c r="B1247" s="228" t="s">
        <v>1876</v>
      </c>
      <c r="C1247" s="228" t="s">
        <v>1588</v>
      </c>
      <c r="D1247" s="228"/>
      <c r="E1247" s="229" t="s">
        <v>3067</v>
      </c>
      <c r="F1247" s="229" t="s">
        <v>138</v>
      </c>
      <c r="G1247" s="229"/>
      <c r="H1247" s="229"/>
      <c r="I1247" s="229">
        <v>0</v>
      </c>
      <c r="J1247" s="229">
        <v>0</v>
      </c>
      <c r="K1247" s="230">
        <v>511</v>
      </c>
      <c r="L1247" s="229" t="s">
        <v>2283</v>
      </c>
      <c r="M1247" s="229"/>
      <c r="N1247" s="229" t="s">
        <v>311</v>
      </c>
      <c r="O1247" s="229" t="s">
        <v>261</v>
      </c>
      <c r="P1247" s="231"/>
    </row>
    <row r="1248" spans="1:16" ht="26.4" x14ac:dyDescent="0.25">
      <c r="A1248" s="227" t="s">
        <v>4989</v>
      </c>
      <c r="B1248" s="228"/>
      <c r="C1248" s="228" t="s">
        <v>1588</v>
      </c>
      <c r="D1248" s="228"/>
      <c r="E1248" s="229"/>
      <c r="F1248" s="229" t="s">
        <v>139</v>
      </c>
      <c r="G1248" s="229"/>
      <c r="H1248" s="229"/>
      <c r="I1248" s="229">
        <v>0</v>
      </c>
      <c r="J1248" s="229">
        <v>0</v>
      </c>
      <c r="K1248" s="230">
        <v>511</v>
      </c>
      <c r="L1248" s="229" t="s">
        <v>2283</v>
      </c>
      <c r="M1248" s="229"/>
      <c r="N1248" s="229" t="s">
        <v>311</v>
      </c>
      <c r="O1248" s="229" t="s">
        <v>261</v>
      </c>
      <c r="P1248" s="231"/>
    </row>
    <row r="1249" spans="1:16" ht="26.4" x14ac:dyDescent="0.25">
      <c r="A1249" s="227" t="s">
        <v>3068</v>
      </c>
      <c r="B1249" s="228"/>
      <c r="C1249" s="228" t="s">
        <v>1588</v>
      </c>
      <c r="D1249" s="228"/>
      <c r="E1249" s="229"/>
      <c r="F1249" s="229" t="s">
        <v>136</v>
      </c>
      <c r="G1249" s="229"/>
      <c r="H1249" s="229"/>
      <c r="I1249" s="229">
        <v>0</v>
      </c>
      <c r="J1249" s="229">
        <v>-50</v>
      </c>
      <c r="K1249" s="230">
        <v>50</v>
      </c>
      <c r="L1249" s="229" t="s">
        <v>2283</v>
      </c>
      <c r="M1249" s="229"/>
      <c r="N1249" s="229" t="s">
        <v>3069</v>
      </c>
      <c r="O1249" s="229" t="s">
        <v>261</v>
      </c>
      <c r="P1249" s="231"/>
    </row>
    <row r="1250" spans="1:16" ht="26.4" x14ac:dyDescent="0.25">
      <c r="A1250" s="227" t="s">
        <v>3070</v>
      </c>
      <c r="B1250" s="228"/>
      <c r="C1250" s="228" t="s">
        <v>1588</v>
      </c>
      <c r="D1250" s="228"/>
      <c r="E1250" s="229"/>
      <c r="F1250" s="229" t="s">
        <v>138</v>
      </c>
      <c r="G1250" s="229"/>
      <c r="H1250" s="229"/>
      <c r="I1250" s="229">
        <v>0</v>
      </c>
      <c r="J1250" s="229">
        <v>-50</v>
      </c>
      <c r="K1250" s="230">
        <v>50</v>
      </c>
      <c r="L1250" s="229" t="s">
        <v>2283</v>
      </c>
      <c r="M1250" s="229"/>
      <c r="N1250" s="229" t="s">
        <v>3069</v>
      </c>
      <c r="O1250" s="229" t="s">
        <v>261</v>
      </c>
      <c r="P1250" s="231"/>
    </row>
    <row r="1251" spans="1:16" ht="26.4" x14ac:dyDescent="0.25">
      <c r="A1251" s="227" t="s">
        <v>4990</v>
      </c>
      <c r="B1251" s="228"/>
      <c r="C1251" s="228" t="s">
        <v>1588</v>
      </c>
      <c r="D1251" s="228"/>
      <c r="E1251" s="229"/>
      <c r="F1251" s="229" t="s">
        <v>139</v>
      </c>
      <c r="G1251" s="229"/>
      <c r="H1251" s="229"/>
      <c r="I1251" s="229">
        <v>0</v>
      </c>
      <c r="J1251" s="229">
        <v>-180</v>
      </c>
      <c r="K1251" s="230">
        <v>180</v>
      </c>
      <c r="L1251" s="229" t="s">
        <v>2283</v>
      </c>
      <c r="M1251" s="229"/>
      <c r="N1251" s="229" t="s">
        <v>3069</v>
      </c>
      <c r="O1251" s="229" t="s">
        <v>261</v>
      </c>
      <c r="P1251" s="231"/>
    </row>
    <row r="1252" spans="1:16" ht="26.4" x14ac:dyDescent="0.25">
      <c r="A1252" s="227" t="s">
        <v>3071</v>
      </c>
      <c r="B1252" s="228" t="s">
        <v>3073</v>
      </c>
      <c r="C1252" s="228" t="s">
        <v>3072</v>
      </c>
      <c r="D1252" s="228" t="s">
        <v>180</v>
      </c>
      <c r="E1252" s="229" t="s">
        <v>3074</v>
      </c>
      <c r="F1252" s="229" t="s">
        <v>141</v>
      </c>
      <c r="G1252" s="229" t="s">
        <v>82</v>
      </c>
      <c r="H1252" s="229"/>
      <c r="I1252" s="229">
        <v>0</v>
      </c>
      <c r="J1252" s="229">
        <v>0</v>
      </c>
      <c r="K1252" s="230">
        <v>1</v>
      </c>
      <c r="L1252" s="229">
        <v>1</v>
      </c>
      <c r="M1252" s="229">
        <v>0</v>
      </c>
      <c r="N1252" s="229" t="s">
        <v>424</v>
      </c>
      <c r="O1252" s="229" t="s">
        <v>1003</v>
      </c>
      <c r="P1252" s="231"/>
    </row>
    <row r="1253" spans="1:16" ht="39.6" x14ac:dyDescent="0.25">
      <c r="A1253" s="227" t="s">
        <v>3075</v>
      </c>
      <c r="B1253" s="228" t="s">
        <v>3076</v>
      </c>
      <c r="C1253" s="228" t="s">
        <v>3072</v>
      </c>
      <c r="D1253" s="228" t="s">
        <v>180</v>
      </c>
      <c r="E1253" s="229" t="s">
        <v>3077</v>
      </c>
      <c r="F1253" s="229" t="s">
        <v>141</v>
      </c>
      <c r="G1253" s="229" t="s">
        <v>82</v>
      </c>
      <c r="H1253" s="229"/>
      <c r="I1253" s="229">
        <v>0</v>
      </c>
      <c r="J1253" s="229">
        <v>0</v>
      </c>
      <c r="K1253" s="230">
        <v>8</v>
      </c>
      <c r="L1253" s="229">
        <v>8</v>
      </c>
      <c r="M1253" s="229">
        <v>0</v>
      </c>
      <c r="N1253" s="229" t="s">
        <v>424</v>
      </c>
      <c r="O1253" s="229" t="s">
        <v>1003</v>
      </c>
      <c r="P1253" s="231"/>
    </row>
    <row r="1254" spans="1:16" ht="39.6" x14ac:dyDescent="0.25">
      <c r="A1254" s="227" t="s">
        <v>3078</v>
      </c>
      <c r="B1254" s="228" t="s">
        <v>3079</v>
      </c>
      <c r="C1254" s="228" t="s">
        <v>3072</v>
      </c>
      <c r="D1254" s="228" t="s">
        <v>180</v>
      </c>
      <c r="E1254" s="229" t="s">
        <v>3080</v>
      </c>
      <c r="F1254" s="229" t="s">
        <v>141</v>
      </c>
      <c r="G1254" s="229" t="s">
        <v>82</v>
      </c>
      <c r="H1254" s="229"/>
      <c r="I1254" s="229">
        <v>0</v>
      </c>
      <c r="J1254" s="229">
        <v>0</v>
      </c>
      <c r="K1254" s="230">
        <v>524288</v>
      </c>
      <c r="L1254" s="229">
        <v>524288</v>
      </c>
      <c r="M1254" s="229">
        <v>0</v>
      </c>
      <c r="N1254" s="229" t="s">
        <v>424</v>
      </c>
      <c r="O1254" s="229" t="s">
        <v>321</v>
      </c>
      <c r="P1254" s="231"/>
    </row>
    <row r="1255" spans="1:16" ht="39.6" x14ac:dyDescent="0.25">
      <c r="A1255" s="227" t="s">
        <v>3081</v>
      </c>
      <c r="B1255" s="228" t="s">
        <v>3082</v>
      </c>
      <c r="C1255" s="228" t="s">
        <v>3072</v>
      </c>
      <c r="D1255" s="228" t="s">
        <v>180</v>
      </c>
      <c r="E1255" s="229" t="s">
        <v>3083</v>
      </c>
      <c r="F1255" s="229" t="s">
        <v>141</v>
      </c>
      <c r="G1255" s="229" t="s">
        <v>82</v>
      </c>
      <c r="H1255" s="229"/>
      <c r="I1255" s="229">
        <v>0</v>
      </c>
      <c r="J1255" s="229">
        <v>0</v>
      </c>
      <c r="K1255" s="230">
        <v>22282308</v>
      </c>
      <c r="L1255" s="229">
        <v>22282308</v>
      </c>
      <c r="M1255" s="229">
        <v>0</v>
      </c>
      <c r="N1255" s="229" t="s">
        <v>424</v>
      </c>
      <c r="O1255" s="229" t="s">
        <v>321</v>
      </c>
      <c r="P1255" s="231"/>
    </row>
    <row r="1256" spans="1:16" ht="66" x14ac:dyDescent="0.25">
      <c r="A1256" s="227" t="s">
        <v>1999</v>
      </c>
      <c r="B1256" s="228" t="s">
        <v>2000</v>
      </c>
      <c r="C1256" s="228" t="s">
        <v>1596</v>
      </c>
      <c r="D1256" s="228" t="s">
        <v>217</v>
      </c>
      <c r="E1256" s="229" t="s">
        <v>1985</v>
      </c>
      <c r="F1256" s="229" t="s">
        <v>136</v>
      </c>
      <c r="G1256" s="229" t="s">
        <v>82</v>
      </c>
      <c r="H1256" s="229" t="s">
        <v>3084</v>
      </c>
      <c r="I1256" s="229">
        <v>1</v>
      </c>
      <c r="J1256" s="229">
        <v>1</v>
      </c>
      <c r="K1256" s="230">
        <v>2</v>
      </c>
      <c r="L1256" s="229" t="s">
        <v>1865</v>
      </c>
      <c r="M1256" s="229"/>
      <c r="N1256" s="229" t="s">
        <v>260</v>
      </c>
      <c r="O1256" s="229" t="s">
        <v>261</v>
      </c>
      <c r="P1256" s="231"/>
    </row>
    <row r="1257" spans="1:16" ht="52.8" x14ac:dyDescent="0.25">
      <c r="A1257" s="227" t="s">
        <v>3085</v>
      </c>
      <c r="B1257" s="228" t="s">
        <v>2353</v>
      </c>
      <c r="C1257" s="228" t="s">
        <v>1596</v>
      </c>
      <c r="D1257" s="228" t="s">
        <v>217</v>
      </c>
      <c r="E1257" s="229" t="s">
        <v>3086</v>
      </c>
      <c r="F1257" s="229" t="s">
        <v>136</v>
      </c>
      <c r="G1257" s="229" t="s">
        <v>82</v>
      </c>
      <c r="H1257" s="229"/>
      <c r="I1257" s="229">
        <v>0</v>
      </c>
      <c r="J1257" s="229">
        <v>0</v>
      </c>
      <c r="K1257" s="230">
        <v>1</v>
      </c>
      <c r="L1257" s="229" t="s">
        <v>1865</v>
      </c>
      <c r="M1257" s="229"/>
      <c r="N1257" s="229" t="s">
        <v>260</v>
      </c>
      <c r="O1257" s="229" t="s">
        <v>261</v>
      </c>
      <c r="P1257" s="231"/>
    </row>
    <row r="1258" spans="1:16" ht="52.8" x14ac:dyDescent="0.25">
      <c r="A1258" s="227" t="s">
        <v>1884</v>
      </c>
      <c r="B1258" s="228" t="s">
        <v>1885</v>
      </c>
      <c r="C1258" s="228" t="s">
        <v>1596</v>
      </c>
      <c r="D1258" s="228" t="s">
        <v>217</v>
      </c>
      <c r="E1258" s="229" t="s">
        <v>1973</v>
      </c>
      <c r="F1258" s="229" t="s">
        <v>136</v>
      </c>
      <c r="G1258" s="229" t="s">
        <v>82</v>
      </c>
      <c r="H1258" s="229" t="s">
        <v>3087</v>
      </c>
      <c r="I1258" s="229">
        <v>0</v>
      </c>
      <c r="J1258" s="229">
        <v>-10</v>
      </c>
      <c r="K1258" s="230">
        <v>10</v>
      </c>
      <c r="L1258" s="229" t="s">
        <v>1865</v>
      </c>
      <c r="M1258" s="229"/>
      <c r="N1258" s="229" t="s">
        <v>265</v>
      </c>
      <c r="O1258" s="229" t="s">
        <v>261</v>
      </c>
      <c r="P1258" s="231"/>
    </row>
    <row r="1259" spans="1:16" ht="39.6" x14ac:dyDescent="0.25">
      <c r="A1259" s="227" t="s">
        <v>2019</v>
      </c>
      <c r="B1259" s="228" t="s">
        <v>2020</v>
      </c>
      <c r="C1259" s="228" t="s">
        <v>1596</v>
      </c>
      <c r="D1259" s="228" t="s">
        <v>217</v>
      </c>
      <c r="E1259" s="229" t="s">
        <v>3088</v>
      </c>
      <c r="F1259" s="229" t="s">
        <v>136</v>
      </c>
      <c r="G1259" s="229" t="s">
        <v>82</v>
      </c>
      <c r="H1259" s="229"/>
      <c r="I1259" s="229">
        <v>0</v>
      </c>
      <c r="J1259" s="229">
        <v>-8.8000000000000007</v>
      </c>
      <c r="K1259" s="230">
        <v>8.8000000000000007</v>
      </c>
      <c r="L1259" s="229" t="s">
        <v>1865</v>
      </c>
      <c r="M1259" s="229"/>
      <c r="N1259" s="229" t="s">
        <v>256</v>
      </c>
      <c r="O1259" s="229" t="s">
        <v>261</v>
      </c>
      <c r="P1259" s="231"/>
    </row>
    <row r="1260" spans="1:16" ht="52.8" x14ac:dyDescent="0.25">
      <c r="A1260" s="227" t="s">
        <v>1875</v>
      </c>
      <c r="B1260" s="228" t="s">
        <v>1876</v>
      </c>
      <c r="C1260" s="228" t="s">
        <v>1596</v>
      </c>
      <c r="D1260" s="228" t="s">
        <v>217</v>
      </c>
      <c r="E1260" s="229" t="s">
        <v>1981</v>
      </c>
      <c r="F1260" s="229" t="s">
        <v>136</v>
      </c>
      <c r="G1260" s="229" t="s">
        <v>82</v>
      </c>
      <c r="H1260" s="229" t="s">
        <v>3089</v>
      </c>
      <c r="I1260" s="229">
        <v>0</v>
      </c>
      <c r="J1260" s="229">
        <v>0</v>
      </c>
      <c r="K1260" s="230">
        <v>511.9921875</v>
      </c>
      <c r="L1260" s="229" t="s">
        <v>1865</v>
      </c>
      <c r="M1260" s="229"/>
      <c r="N1260" s="229" t="s">
        <v>311</v>
      </c>
      <c r="O1260" s="229" t="s">
        <v>261</v>
      </c>
      <c r="P1260" s="231"/>
    </row>
    <row r="1261" spans="1:16" ht="39.6" x14ac:dyDescent="0.25">
      <c r="A1261" s="227" t="s">
        <v>2072</v>
      </c>
      <c r="B1261" s="228" t="s">
        <v>2073</v>
      </c>
      <c r="C1261" s="228" t="s">
        <v>1596</v>
      </c>
      <c r="D1261" s="228" t="s">
        <v>217</v>
      </c>
      <c r="E1261" s="229" t="s">
        <v>3090</v>
      </c>
      <c r="F1261" s="229" t="s">
        <v>138</v>
      </c>
      <c r="G1261" s="229" t="s">
        <v>82</v>
      </c>
      <c r="H1261" s="229"/>
      <c r="I1261" s="229">
        <v>0</v>
      </c>
      <c r="J1261" s="229">
        <v>-8.8000000000000007</v>
      </c>
      <c r="K1261" s="230">
        <v>8.8000000000000007</v>
      </c>
      <c r="L1261" s="229" t="s">
        <v>1865</v>
      </c>
      <c r="M1261" s="229">
        <v>4.8899999999999996E-4</v>
      </c>
      <c r="N1261" s="229" t="s">
        <v>256</v>
      </c>
      <c r="O1261" s="229" t="s">
        <v>261</v>
      </c>
      <c r="P1261" s="231"/>
    </row>
    <row r="1262" spans="1:16" ht="39.6" x14ac:dyDescent="0.25">
      <c r="A1262" s="227" t="s">
        <v>3091</v>
      </c>
      <c r="B1262" s="228" t="s">
        <v>3092</v>
      </c>
      <c r="C1262" s="228" t="s">
        <v>1596</v>
      </c>
      <c r="D1262" s="228" t="s">
        <v>217</v>
      </c>
      <c r="E1262" s="229" t="s">
        <v>3090</v>
      </c>
      <c r="F1262" s="229" t="s">
        <v>138</v>
      </c>
      <c r="G1262" s="229" t="s">
        <v>82</v>
      </c>
      <c r="H1262" s="229"/>
      <c r="I1262" s="229">
        <v>0</v>
      </c>
      <c r="J1262" s="229">
        <v>-8.8000000000000007</v>
      </c>
      <c r="K1262" s="230">
        <v>8.8000000000000007</v>
      </c>
      <c r="L1262" s="229" t="s">
        <v>1865</v>
      </c>
      <c r="M1262" s="229">
        <v>4.8899999999999996E-4</v>
      </c>
      <c r="N1262" s="229" t="s">
        <v>256</v>
      </c>
      <c r="O1262" s="229" t="s">
        <v>261</v>
      </c>
      <c r="P1262" s="231"/>
    </row>
    <row r="1263" spans="1:16" x14ac:dyDescent="0.25">
      <c r="A1263" s="227" t="s">
        <v>3093</v>
      </c>
      <c r="B1263" s="228" t="s">
        <v>3094</v>
      </c>
      <c r="C1263" s="228" t="s">
        <v>1596</v>
      </c>
      <c r="D1263" s="228" t="s">
        <v>217</v>
      </c>
      <c r="E1263" s="229"/>
      <c r="F1263" s="229" t="s">
        <v>139</v>
      </c>
      <c r="G1263" s="229" t="s">
        <v>82</v>
      </c>
      <c r="H1263" s="229"/>
      <c r="I1263" s="229">
        <v>0</v>
      </c>
      <c r="J1263" s="229">
        <v>0</v>
      </c>
      <c r="K1263" s="230">
        <v>5000</v>
      </c>
      <c r="L1263" s="229">
        <v>1</v>
      </c>
      <c r="M1263" s="229">
        <v>0</v>
      </c>
      <c r="N1263" s="229" t="s">
        <v>271</v>
      </c>
      <c r="O1263" s="229" t="s">
        <v>267</v>
      </c>
      <c r="P1263" s="231"/>
    </row>
    <row r="1264" spans="1:16" ht="26.4" x14ac:dyDescent="0.25">
      <c r="A1264" s="227" t="s">
        <v>3095</v>
      </c>
      <c r="B1264" s="228"/>
      <c r="C1264" s="228" t="s">
        <v>1596</v>
      </c>
      <c r="D1264" s="228" t="s">
        <v>217</v>
      </c>
      <c r="E1264" s="229" t="s">
        <v>3096</v>
      </c>
      <c r="F1264" s="229" t="s">
        <v>139</v>
      </c>
      <c r="G1264" s="229" t="s">
        <v>82</v>
      </c>
      <c r="H1264" s="229"/>
      <c r="I1264" s="229"/>
      <c r="J1264" s="229"/>
      <c r="K1264" s="230"/>
      <c r="L1264" s="229"/>
      <c r="M1264" s="229"/>
      <c r="N1264" s="229"/>
      <c r="O1264" s="229" t="s">
        <v>3097</v>
      </c>
      <c r="P1264" s="231"/>
    </row>
    <row r="1265" spans="1:16" ht="20.399999999999999" x14ac:dyDescent="0.25">
      <c r="A1265" s="227" t="s">
        <v>3098</v>
      </c>
      <c r="B1265" s="228"/>
      <c r="C1265" s="228" t="s">
        <v>1596</v>
      </c>
      <c r="D1265" s="228" t="s">
        <v>217</v>
      </c>
      <c r="E1265" s="229"/>
      <c r="F1265" s="229" t="s">
        <v>139</v>
      </c>
      <c r="G1265" s="229" t="s">
        <v>82</v>
      </c>
      <c r="H1265" s="229"/>
      <c r="I1265" s="229">
        <v>0</v>
      </c>
      <c r="J1265" s="229">
        <v>-2077</v>
      </c>
      <c r="K1265" s="230">
        <v>2077</v>
      </c>
      <c r="L1265" s="229" t="s">
        <v>1865</v>
      </c>
      <c r="M1265" s="229">
        <v>4.8899999999999996E-4</v>
      </c>
      <c r="N1265" s="229" t="s">
        <v>260</v>
      </c>
      <c r="O1265" s="229" t="s">
        <v>261</v>
      </c>
      <c r="P1265" s="231"/>
    </row>
    <row r="1266" spans="1:16" ht="20.399999999999999" x14ac:dyDescent="0.25">
      <c r="A1266" s="227" t="s">
        <v>3099</v>
      </c>
      <c r="B1266" s="228"/>
      <c r="C1266" s="228" t="s">
        <v>1596</v>
      </c>
      <c r="D1266" s="228" t="s">
        <v>217</v>
      </c>
      <c r="E1266" s="229"/>
      <c r="F1266" s="229" t="s">
        <v>139</v>
      </c>
      <c r="G1266" s="229" t="s">
        <v>82</v>
      </c>
      <c r="H1266" s="229"/>
      <c r="I1266" s="229">
        <v>0</v>
      </c>
      <c r="J1266" s="229">
        <v>-1981</v>
      </c>
      <c r="K1266" s="230">
        <v>1981</v>
      </c>
      <c r="L1266" s="229" t="s">
        <v>1865</v>
      </c>
      <c r="M1266" s="229">
        <v>4.8899999999999996E-4</v>
      </c>
      <c r="N1266" s="229" t="s">
        <v>260</v>
      </c>
      <c r="O1266" s="229" t="s">
        <v>261</v>
      </c>
      <c r="P1266" s="231"/>
    </row>
    <row r="1267" spans="1:16" ht="20.399999999999999" x14ac:dyDescent="0.25">
      <c r="A1267" s="227" t="s">
        <v>3100</v>
      </c>
      <c r="B1267" s="228"/>
      <c r="C1267" s="228" t="s">
        <v>1596</v>
      </c>
      <c r="D1267" s="228" t="s">
        <v>217</v>
      </c>
      <c r="E1267" s="229"/>
      <c r="F1267" s="229" t="s">
        <v>139</v>
      </c>
      <c r="G1267" s="229" t="s">
        <v>82</v>
      </c>
      <c r="H1267" s="229"/>
      <c r="I1267" s="229">
        <v>0</v>
      </c>
      <c r="J1267" s="229">
        <v>-2312</v>
      </c>
      <c r="K1267" s="230">
        <v>2312</v>
      </c>
      <c r="L1267" s="229" t="s">
        <v>1865</v>
      </c>
      <c r="M1267" s="229">
        <v>4.8899999999999996E-4</v>
      </c>
      <c r="N1267" s="229" t="s">
        <v>260</v>
      </c>
      <c r="O1267" s="229" t="s">
        <v>261</v>
      </c>
      <c r="P1267" s="231"/>
    </row>
    <row r="1268" spans="1:16" ht="20.399999999999999" x14ac:dyDescent="0.25">
      <c r="A1268" s="227" t="s">
        <v>3101</v>
      </c>
      <c r="B1268" s="228"/>
      <c r="C1268" s="228" t="s">
        <v>1596</v>
      </c>
      <c r="D1268" s="228" t="s">
        <v>217</v>
      </c>
      <c r="E1268" s="229"/>
      <c r="F1268" s="229" t="s">
        <v>139</v>
      </c>
      <c r="G1268" s="229" t="s">
        <v>82</v>
      </c>
      <c r="H1268" s="229"/>
      <c r="I1268" s="229">
        <v>0</v>
      </c>
      <c r="J1268" s="229">
        <v>-2</v>
      </c>
      <c r="K1268" s="230">
        <v>0</v>
      </c>
      <c r="L1268" s="229" t="s">
        <v>1865</v>
      </c>
      <c r="M1268" s="229">
        <v>5.0000000000000002E-5</v>
      </c>
      <c r="N1268" s="229" t="s">
        <v>260</v>
      </c>
      <c r="O1268" s="229" t="s">
        <v>261</v>
      </c>
      <c r="P1268" s="231"/>
    </row>
    <row r="1269" spans="1:16" ht="20.399999999999999" x14ac:dyDescent="0.25">
      <c r="A1269" s="227" t="s">
        <v>3102</v>
      </c>
      <c r="B1269" s="228"/>
      <c r="C1269" s="228" t="s">
        <v>1596</v>
      </c>
      <c r="D1269" s="228" t="s">
        <v>217</v>
      </c>
      <c r="E1269" s="229"/>
      <c r="F1269" s="229" t="s">
        <v>139</v>
      </c>
      <c r="G1269" s="229" t="s">
        <v>82</v>
      </c>
      <c r="H1269" s="229"/>
      <c r="I1269" s="229">
        <v>0</v>
      </c>
      <c r="J1269" s="229">
        <v>-1</v>
      </c>
      <c r="K1269" s="230">
        <v>1</v>
      </c>
      <c r="L1269" s="229" t="s">
        <v>1865</v>
      </c>
      <c r="M1269" s="229">
        <v>5.0000000000000002E-5</v>
      </c>
      <c r="N1269" s="229" t="s">
        <v>260</v>
      </c>
      <c r="O1269" s="229" t="s">
        <v>261</v>
      </c>
      <c r="P1269" s="231"/>
    </row>
    <row r="1270" spans="1:16" ht="20.399999999999999" x14ac:dyDescent="0.25">
      <c r="A1270" s="227" t="s">
        <v>3103</v>
      </c>
      <c r="B1270" s="228"/>
      <c r="C1270" s="228" t="s">
        <v>1596</v>
      </c>
      <c r="D1270" s="228" t="s">
        <v>217</v>
      </c>
      <c r="E1270" s="229"/>
      <c r="F1270" s="229" t="s">
        <v>139</v>
      </c>
      <c r="G1270" s="229" t="s">
        <v>82</v>
      </c>
      <c r="H1270" s="229"/>
      <c r="I1270" s="229">
        <v>0</v>
      </c>
      <c r="J1270" s="229">
        <v>0</v>
      </c>
      <c r="K1270" s="230">
        <v>2300</v>
      </c>
      <c r="L1270" s="229" t="s">
        <v>1865</v>
      </c>
      <c r="M1270" s="229">
        <v>5.0000000000000002E-5</v>
      </c>
      <c r="N1270" s="229" t="s">
        <v>260</v>
      </c>
      <c r="O1270" s="229" t="s">
        <v>261</v>
      </c>
      <c r="P1270" s="231"/>
    </row>
    <row r="1271" spans="1:16" ht="20.399999999999999" x14ac:dyDescent="0.25">
      <c r="A1271" s="227" t="s">
        <v>3104</v>
      </c>
      <c r="B1271" s="228"/>
      <c r="C1271" s="228" t="s">
        <v>1596</v>
      </c>
      <c r="D1271" s="228" t="s">
        <v>217</v>
      </c>
      <c r="E1271" s="229"/>
      <c r="F1271" s="229" t="s">
        <v>139</v>
      </c>
      <c r="G1271" s="229" t="s">
        <v>82</v>
      </c>
      <c r="H1271" s="229"/>
      <c r="I1271" s="229">
        <v>0</v>
      </c>
      <c r="J1271" s="229">
        <v>-4500</v>
      </c>
      <c r="K1271" s="230">
        <v>0</v>
      </c>
      <c r="L1271" s="229" t="s">
        <v>1865</v>
      </c>
      <c r="M1271" s="229">
        <v>5.0000000000000002E-5</v>
      </c>
      <c r="N1271" s="229" t="s">
        <v>260</v>
      </c>
      <c r="O1271" s="229" t="s">
        <v>261</v>
      </c>
      <c r="P1271" s="231"/>
    </row>
    <row r="1272" spans="1:16" ht="20.399999999999999" x14ac:dyDescent="0.25">
      <c r="A1272" s="227" t="s">
        <v>3105</v>
      </c>
      <c r="B1272" s="228"/>
      <c r="C1272" s="228" t="s">
        <v>1596</v>
      </c>
      <c r="D1272" s="228" t="s">
        <v>217</v>
      </c>
      <c r="E1272" s="229"/>
      <c r="F1272" s="229" t="s">
        <v>139</v>
      </c>
      <c r="G1272" s="229" t="s">
        <v>82</v>
      </c>
      <c r="H1272" s="229"/>
      <c r="I1272" s="229">
        <v>0</v>
      </c>
      <c r="J1272" s="229">
        <v>-4</v>
      </c>
      <c r="K1272" s="230">
        <v>2300</v>
      </c>
      <c r="L1272" s="229" t="s">
        <v>1865</v>
      </c>
      <c r="M1272" s="229">
        <v>5.0000000000000002E-5</v>
      </c>
      <c r="N1272" s="229" t="s">
        <v>260</v>
      </c>
      <c r="O1272" s="229" t="s">
        <v>261</v>
      </c>
      <c r="P1272" s="231"/>
    </row>
    <row r="1273" spans="1:16" ht="20.399999999999999" x14ac:dyDescent="0.25">
      <c r="A1273" s="227" t="s">
        <v>3106</v>
      </c>
      <c r="B1273" s="228"/>
      <c r="C1273" s="228" t="s">
        <v>1596</v>
      </c>
      <c r="D1273" s="228" t="s">
        <v>217</v>
      </c>
      <c r="E1273" s="229"/>
      <c r="F1273" s="229" t="s">
        <v>139</v>
      </c>
      <c r="G1273" s="229" t="s">
        <v>82</v>
      </c>
      <c r="H1273" s="229"/>
      <c r="I1273" s="229">
        <v>0</v>
      </c>
      <c r="J1273" s="229">
        <v>-2077</v>
      </c>
      <c r="K1273" s="230">
        <v>2077</v>
      </c>
      <c r="L1273" s="229" t="s">
        <v>1865</v>
      </c>
      <c r="M1273" s="229">
        <v>4.8899999999999996E-4</v>
      </c>
      <c r="N1273" s="229" t="s">
        <v>260</v>
      </c>
      <c r="O1273" s="229" t="s">
        <v>261</v>
      </c>
      <c r="P1273" s="231"/>
    </row>
    <row r="1274" spans="1:16" ht="20.399999999999999" x14ac:dyDescent="0.25">
      <c r="A1274" s="227" t="s">
        <v>3107</v>
      </c>
      <c r="B1274" s="228"/>
      <c r="C1274" s="228" t="s">
        <v>1596</v>
      </c>
      <c r="D1274" s="228" t="s">
        <v>217</v>
      </c>
      <c r="E1274" s="229"/>
      <c r="F1274" s="229" t="s">
        <v>139</v>
      </c>
      <c r="G1274" s="229" t="s">
        <v>82</v>
      </c>
      <c r="H1274" s="229"/>
      <c r="I1274" s="229">
        <v>0</v>
      </c>
      <c r="J1274" s="229">
        <v>-1981</v>
      </c>
      <c r="K1274" s="230">
        <v>1981</v>
      </c>
      <c r="L1274" s="229" t="s">
        <v>1865</v>
      </c>
      <c r="M1274" s="229">
        <v>4.8899999999999996E-4</v>
      </c>
      <c r="N1274" s="229" t="s">
        <v>260</v>
      </c>
      <c r="O1274" s="229" t="s">
        <v>261</v>
      </c>
      <c r="P1274" s="231"/>
    </row>
    <row r="1275" spans="1:16" ht="20.399999999999999" x14ac:dyDescent="0.25">
      <c r="A1275" s="227" t="s">
        <v>3108</v>
      </c>
      <c r="B1275" s="228"/>
      <c r="C1275" s="228" t="s">
        <v>1596</v>
      </c>
      <c r="D1275" s="228" t="s">
        <v>217</v>
      </c>
      <c r="E1275" s="229"/>
      <c r="F1275" s="229" t="s">
        <v>139</v>
      </c>
      <c r="G1275" s="229" t="s">
        <v>82</v>
      </c>
      <c r="H1275" s="229"/>
      <c r="I1275" s="229">
        <v>0</v>
      </c>
      <c r="J1275" s="229">
        <v>-2312</v>
      </c>
      <c r="K1275" s="230">
        <v>2312</v>
      </c>
      <c r="L1275" s="229" t="s">
        <v>1865</v>
      </c>
      <c r="M1275" s="229">
        <v>4.8899999999999996E-4</v>
      </c>
      <c r="N1275" s="229" t="s">
        <v>260</v>
      </c>
      <c r="O1275" s="229" t="s">
        <v>261</v>
      </c>
      <c r="P1275" s="231"/>
    </row>
    <row r="1276" spans="1:16" ht="20.399999999999999" x14ac:dyDescent="0.25">
      <c r="A1276" s="227" t="s">
        <v>3109</v>
      </c>
      <c r="B1276" s="228"/>
      <c r="C1276" s="228" t="s">
        <v>1596</v>
      </c>
      <c r="D1276" s="228" t="s">
        <v>217</v>
      </c>
      <c r="E1276" s="229"/>
      <c r="F1276" s="229" t="s">
        <v>139</v>
      </c>
      <c r="G1276" s="229" t="s">
        <v>82</v>
      </c>
      <c r="H1276" s="229"/>
      <c r="I1276" s="229">
        <v>0</v>
      </c>
      <c r="J1276" s="229">
        <v>-2</v>
      </c>
      <c r="K1276" s="230">
        <v>0</v>
      </c>
      <c r="L1276" s="229" t="s">
        <v>1865</v>
      </c>
      <c r="M1276" s="229">
        <v>5.0000000000000002E-5</v>
      </c>
      <c r="N1276" s="229" t="s">
        <v>260</v>
      </c>
      <c r="O1276" s="229" t="s">
        <v>261</v>
      </c>
      <c r="P1276" s="231"/>
    </row>
    <row r="1277" spans="1:16" ht="20.399999999999999" x14ac:dyDescent="0.25">
      <c r="A1277" s="227" t="s">
        <v>3110</v>
      </c>
      <c r="B1277" s="228"/>
      <c r="C1277" s="228" t="s">
        <v>1596</v>
      </c>
      <c r="D1277" s="228" t="s">
        <v>217</v>
      </c>
      <c r="E1277" s="229"/>
      <c r="F1277" s="229" t="s">
        <v>139</v>
      </c>
      <c r="G1277" s="229" t="s">
        <v>82</v>
      </c>
      <c r="H1277" s="229"/>
      <c r="I1277" s="229">
        <v>0</v>
      </c>
      <c r="J1277" s="229">
        <v>-1</v>
      </c>
      <c r="K1277" s="230">
        <v>1</v>
      </c>
      <c r="L1277" s="229" t="s">
        <v>1865</v>
      </c>
      <c r="M1277" s="229">
        <v>5.0000000000000002E-5</v>
      </c>
      <c r="N1277" s="229" t="s">
        <v>260</v>
      </c>
      <c r="O1277" s="229" t="s">
        <v>261</v>
      </c>
      <c r="P1277" s="231"/>
    </row>
    <row r="1278" spans="1:16" ht="20.399999999999999" x14ac:dyDescent="0.25">
      <c r="A1278" s="227" t="s">
        <v>3111</v>
      </c>
      <c r="B1278" s="228"/>
      <c r="C1278" s="228" t="s">
        <v>1596</v>
      </c>
      <c r="D1278" s="228" t="s">
        <v>217</v>
      </c>
      <c r="E1278" s="229"/>
      <c r="F1278" s="229" t="s">
        <v>139</v>
      </c>
      <c r="G1278" s="229" t="s">
        <v>82</v>
      </c>
      <c r="H1278" s="229"/>
      <c r="I1278" s="229">
        <v>0</v>
      </c>
      <c r="J1278" s="229">
        <v>0</v>
      </c>
      <c r="K1278" s="230">
        <v>2300</v>
      </c>
      <c r="L1278" s="229" t="s">
        <v>1865</v>
      </c>
      <c r="M1278" s="229">
        <v>5.0000000000000002E-5</v>
      </c>
      <c r="N1278" s="229" t="s">
        <v>260</v>
      </c>
      <c r="O1278" s="229" t="s">
        <v>261</v>
      </c>
      <c r="P1278" s="231"/>
    </row>
    <row r="1279" spans="1:16" ht="20.399999999999999" x14ac:dyDescent="0.25">
      <c r="A1279" s="227" t="s">
        <v>3112</v>
      </c>
      <c r="B1279" s="228"/>
      <c r="C1279" s="228" t="s">
        <v>1596</v>
      </c>
      <c r="D1279" s="228" t="s">
        <v>217</v>
      </c>
      <c r="E1279" s="229"/>
      <c r="F1279" s="229" t="s">
        <v>139</v>
      </c>
      <c r="G1279" s="229" t="s">
        <v>82</v>
      </c>
      <c r="H1279" s="229"/>
      <c r="I1279" s="229">
        <v>0</v>
      </c>
      <c r="J1279" s="229">
        <v>-4500</v>
      </c>
      <c r="K1279" s="230">
        <v>0</v>
      </c>
      <c r="L1279" s="229" t="s">
        <v>1865</v>
      </c>
      <c r="M1279" s="229">
        <v>5.0000000000000002E-5</v>
      </c>
      <c r="N1279" s="229" t="s">
        <v>260</v>
      </c>
      <c r="O1279" s="229" t="s">
        <v>261</v>
      </c>
      <c r="P1279" s="231"/>
    </row>
    <row r="1280" spans="1:16" ht="20.399999999999999" x14ac:dyDescent="0.25">
      <c r="A1280" s="227" t="s">
        <v>3113</v>
      </c>
      <c r="B1280" s="228"/>
      <c r="C1280" s="228" t="s">
        <v>1596</v>
      </c>
      <c r="D1280" s="228" t="s">
        <v>217</v>
      </c>
      <c r="E1280" s="229"/>
      <c r="F1280" s="229" t="s">
        <v>139</v>
      </c>
      <c r="G1280" s="229" t="s">
        <v>82</v>
      </c>
      <c r="H1280" s="229"/>
      <c r="I1280" s="229">
        <v>0</v>
      </c>
      <c r="J1280" s="229">
        <v>-4</v>
      </c>
      <c r="K1280" s="230">
        <v>2300</v>
      </c>
      <c r="L1280" s="229" t="s">
        <v>1865</v>
      </c>
      <c r="M1280" s="229">
        <v>5.0000000000000002E-5</v>
      </c>
      <c r="N1280" s="229" t="s">
        <v>260</v>
      </c>
      <c r="O1280" s="229" t="s">
        <v>261</v>
      </c>
      <c r="P1280" s="231"/>
    </row>
    <row r="1281" spans="1:16" ht="20.399999999999999" x14ac:dyDescent="0.25">
      <c r="A1281" s="227" t="s">
        <v>3114</v>
      </c>
      <c r="B1281" s="228"/>
      <c r="C1281" s="228" t="s">
        <v>1596</v>
      </c>
      <c r="D1281" s="228" t="s">
        <v>217</v>
      </c>
      <c r="E1281" s="229"/>
      <c r="F1281" s="229" t="s">
        <v>139</v>
      </c>
      <c r="G1281" s="229" t="s">
        <v>82</v>
      </c>
      <c r="H1281" s="229"/>
      <c r="I1281" s="229">
        <v>0</v>
      </c>
      <c r="J1281" s="229">
        <v>-2077</v>
      </c>
      <c r="K1281" s="230">
        <v>2077</v>
      </c>
      <c r="L1281" s="229" t="s">
        <v>1865</v>
      </c>
      <c r="M1281" s="229">
        <v>4.8899999999999996E-4</v>
      </c>
      <c r="N1281" s="229" t="s">
        <v>260</v>
      </c>
      <c r="O1281" s="229" t="s">
        <v>261</v>
      </c>
      <c r="P1281" s="231"/>
    </row>
    <row r="1282" spans="1:16" ht="20.399999999999999" x14ac:dyDescent="0.25">
      <c r="A1282" s="227" t="s">
        <v>3115</v>
      </c>
      <c r="B1282" s="228"/>
      <c r="C1282" s="228" t="s">
        <v>1596</v>
      </c>
      <c r="D1282" s="228" t="s">
        <v>217</v>
      </c>
      <c r="E1282" s="229"/>
      <c r="F1282" s="229" t="s">
        <v>139</v>
      </c>
      <c r="G1282" s="229" t="s">
        <v>82</v>
      </c>
      <c r="H1282" s="229"/>
      <c r="I1282" s="229">
        <v>0</v>
      </c>
      <c r="J1282" s="229">
        <v>-1981</v>
      </c>
      <c r="K1282" s="230">
        <v>1981</v>
      </c>
      <c r="L1282" s="229" t="s">
        <v>1865</v>
      </c>
      <c r="M1282" s="229">
        <v>4.8899999999999996E-4</v>
      </c>
      <c r="N1282" s="229" t="s">
        <v>260</v>
      </c>
      <c r="O1282" s="229" t="s">
        <v>261</v>
      </c>
      <c r="P1282" s="231"/>
    </row>
    <row r="1283" spans="1:16" ht="20.399999999999999" x14ac:dyDescent="0.25">
      <c r="A1283" s="227" t="s">
        <v>3116</v>
      </c>
      <c r="B1283" s="228"/>
      <c r="C1283" s="228" t="s">
        <v>1596</v>
      </c>
      <c r="D1283" s="228" t="s">
        <v>217</v>
      </c>
      <c r="E1283" s="229"/>
      <c r="F1283" s="229" t="s">
        <v>139</v>
      </c>
      <c r="G1283" s="229" t="s">
        <v>82</v>
      </c>
      <c r="H1283" s="229"/>
      <c r="I1283" s="229">
        <v>0</v>
      </c>
      <c r="J1283" s="229">
        <v>-2312</v>
      </c>
      <c r="K1283" s="230">
        <v>2312</v>
      </c>
      <c r="L1283" s="229" t="s">
        <v>1865</v>
      </c>
      <c r="M1283" s="229">
        <v>4.8899999999999996E-4</v>
      </c>
      <c r="N1283" s="229" t="s">
        <v>260</v>
      </c>
      <c r="O1283" s="229" t="s">
        <v>261</v>
      </c>
      <c r="P1283" s="231"/>
    </row>
    <row r="1284" spans="1:16" ht="20.399999999999999" x14ac:dyDescent="0.25">
      <c r="A1284" s="227" t="s">
        <v>3117</v>
      </c>
      <c r="B1284" s="228"/>
      <c r="C1284" s="228" t="s">
        <v>1596</v>
      </c>
      <c r="D1284" s="228" t="s">
        <v>217</v>
      </c>
      <c r="E1284" s="229"/>
      <c r="F1284" s="229" t="s">
        <v>139</v>
      </c>
      <c r="G1284" s="229" t="s">
        <v>82</v>
      </c>
      <c r="H1284" s="229"/>
      <c r="I1284" s="229">
        <v>0</v>
      </c>
      <c r="J1284" s="229">
        <v>-2</v>
      </c>
      <c r="K1284" s="230">
        <v>0</v>
      </c>
      <c r="L1284" s="229" t="s">
        <v>1865</v>
      </c>
      <c r="M1284" s="229">
        <v>5.0000000000000002E-5</v>
      </c>
      <c r="N1284" s="229" t="s">
        <v>260</v>
      </c>
      <c r="O1284" s="229" t="s">
        <v>261</v>
      </c>
      <c r="P1284" s="231"/>
    </row>
    <row r="1285" spans="1:16" ht="20.399999999999999" x14ac:dyDescent="0.25">
      <c r="A1285" s="227" t="s">
        <v>3118</v>
      </c>
      <c r="B1285" s="228"/>
      <c r="C1285" s="228" t="s">
        <v>1596</v>
      </c>
      <c r="D1285" s="228" t="s">
        <v>217</v>
      </c>
      <c r="E1285" s="229"/>
      <c r="F1285" s="229" t="s">
        <v>139</v>
      </c>
      <c r="G1285" s="229" t="s">
        <v>82</v>
      </c>
      <c r="H1285" s="229"/>
      <c r="I1285" s="229">
        <v>0</v>
      </c>
      <c r="J1285" s="229">
        <v>-1</v>
      </c>
      <c r="K1285" s="230">
        <v>1</v>
      </c>
      <c r="L1285" s="229" t="s">
        <v>1865</v>
      </c>
      <c r="M1285" s="229">
        <v>5.0000000000000002E-5</v>
      </c>
      <c r="N1285" s="229" t="s">
        <v>260</v>
      </c>
      <c r="O1285" s="229" t="s">
        <v>261</v>
      </c>
      <c r="P1285" s="231"/>
    </row>
    <row r="1286" spans="1:16" ht="20.399999999999999" x14ac:dyDescent="0.25">
      <c r="A1286" s="227" t="s">
        <v>3119</v>
      </c>
      <c r="B1286" s="228"/>
      <c r="C1286" s="228" t="s">
        <v>1596</v>
      </c>
      <c r="D1286" s="228" t="s">
        <v>217</v>
      </c>
      <c r="E1286" s="229"/>
      <c r="F1286" s="229" t="s">
        <v>139</v>
      </c>
      <c r="G1286" s="229" t="s">
        <v>82</v>
      </c>
      <c r="H1286" s="229"/>
      <c r="I1286" s="229">
        <v>0</v>
      </c>
      <c r="J1286" s="229">
        <v>0</v>
      </c>
      <c r="K1286" s="230">
        <v>2300</v>
      </c>
      <c r="L1286" s="229" t="s">
        <v>1865</v>
      </c>
      <c r="M1286" s="229">
        <v>5.0000000000000002E-5</v>
      </c>
      <c r="N1286" s="229" t="s">
        <v>260</v>
      </c>
      <c r="O1286" s="229" t="s">
        <v>261</v>
      </c>
      <c r="P1286" s="231"/>
    </row>
    <row r="1287" spans="1:16" ht="20.399999999999999" x14ac:dyDescent="0.25">
      <c r="A1287" s="227" t="s">
        <v>3120</v>
      </c>
      <c r="B1287" s="228"/>
      <c r="C1287" s="228" t="s">
        <v>1596</v>
      </c>
      <c r="D1287" s="228" t="s">
        <v>217</v>
      </c>
      <c r="E1287" s="229"/>
      <c r="F1287" s="229" t="s">
        <v>139</v>
      </c>
      <c r="G1287" s="229" t="s">
        <v>82</v>
      </c>
      <c r="H1287" s="229"/>
      <c r="I1287" s="229">
        <v>0</v>
      </c>
      <c r="J1287" s="229">
        <v>-4500</v>
      </c>
      <c r="K1287" s="230">
        <v>0</v>
      </c>
      <c r="L1287" s="229" t="s">
        <v>1865</v>
      </c>
      <c r="M1287" s="229">
        <v>5.0000000000000002E-5</v>
      </c>
      <c r="N1287" s="229" t="s">
        <v>260</v>
      </c>
      <c r="O1287" s="229" t="s">
        <v>261</v>
      </c>
      <c r="P1287" s="231"/>
    </row>
    <row r="1288" spans="1:16" ht="20.399999999999999" x14ac:dyDescent="0.25">
      <c r="A1288" s="227" t="s">
        <v>3121</v>
      </c>
      <c r="B1288" s="228"/>
      <c r="C1288" s="228" t="s">
        <v>1596</v>
      </c>
      <c r="D1288" s="228" t="s">
        <v>217</v>
      </c>
      <c r="E1288" s="229"/>
      <c r="F1288" s="229" t="s">
        <v>139</v>
      </c>
      <c r="G1288" s="229" t="s">
        <v>82</v>
      </c>
      <c r="H1288" s="229"/>
      <c r="I1288" s="229">
        <v>0</v>
      </c>
      <c r="J1288" s="229">
        <v>-4</v>
      </c>
      <c r="K1288" s="230">
        <v>2300</v>
      </c>
      <c r="L1288" s="229" t="s">
        <v>1865</v>
      </c>
      <c r="M1288" s="229">
        <v>5.0000000000000002E-5</v>
      </c>
      <c r="N1288" s="229" t="s">
        <v>260</v>
      </c>
      <c r="O1288" s="229" t="s">
        <v>261</v>
      </c>
      <c r="P1288" s="231"/>
    </row>
    <row r="1289" spans="1:16" ht="20.399999999999999" x14ac:dyDescent="0.25">
      <c r="A1289" s="227" t="s">
        <v>3122</v>
      </c>
      <c r="B1289" s="228"/>
      <c r="C1289" s="228" t="s">
        <v>1596</v>
      </c>
      <c r="D1289" s="228" t="s">
        <v>217</v>
      </c>
      <c r="E1289" s="229"/>
      <c r="F1289" s="229" t="s">
        <v>139</v>
      </c>
      <c r="G1289" s="229" t="s">
        <v>82</v>
      </c>
      <c r="H1289" s="229"/>
      <c r="I1289" s="229">
        <v>0</v>
      </c>
      <c r="J1289" s="229">
        <v>-2077</v>
      </c>
      <c r="K1289" s="230">
        <v>2077</v>
      </c>
      <c r="L1289" s="229" t="s">
        <v>1865</v>
      </c>
      <c r="M1289" s="229">
        <v>4.8899999999999996E-4</v>
      </c>
      <c r="N1289" s="229" t="s">
        <v>260</v>
      </c>
      <c r="O1289" s="229" t="s">
        <v>261</v>
      </c>
      <c r="P1289" s="231"/>
    </row>
    <row r="1290" spans="1:16" ht="20.399999999999999" x14ac:dyDescent="0.25">
      <c r="A1290" s="227" t="s">
        <v>3123</v>
      </c>
      <c r="B1290" s="228"/>
      <c r="C1290" s="228" t="s">
        <v>1596</v>
      </c>
      <c r="D1290" s="228" t="s">
        <v>217</v>
      </c>
      <c r="E1290" s="229"/>
      <c r="F1290" s="229" t="s">
        <v>139</v>
      </c>
      <c r="G1290" s="229" t="s">
        <v>82</v>
      </c>
      <c r="H1290" s="229"/>
      <c r="I1290" s="229">
        <v>0</v>
      </c>
      <c r="J1290" s="229">
        <v>-1981</v>
      </c>
      <c r="K1290" s="230">
        <v>1981</v>
      </c>
      <c r="L1290" s="229" t="s">
        <v>1865</v>
      </c>
      <c r="M1290" s="229">
        <v>4.8899999999999996E-4</v>
      </c>
      <c r="N1290" s="229" t="s">
        <v>260</v>
      </c>
      <c r="O1290" s="229" t="s">
        <v>261</v>
      </c>
      <c r="P1290" s="231"/>
    </row>
    <row r="1291" spans="1:16" ht="20.399999999999999" x14ac:dyDescent="0.25">
      <c r="A1291" s="227" t="s">
        <v>3124</v>
      </c>
      <c r="B1291" s="228"/>
      <c r="C1291" s="228" t="s">
        <v>1596</v>
      </c>
      <c r="D1291" s="228" t="s">
        <v>217</v>
      </c>
      <c r="E1291" s="229"/>
      <c r="F1291" s="229" t="s">
        <v>139</v>
      </c>
      <c r="G1291" s="229" t="s">
        <v>82</v>
      </c>
      <c r="H1291" s="229"/>
      <c r="I1291" s="229">
        <v>0</v>
      </c>
      <c r="J1291" s="229">
        <v>-2312</v>
      </c>
      <c r="K1291" s="230">
        <v>2312</v>
      </c>
      <c r="L1291" s="229" t="s">
        <v>1865</v>
      </c>
      <c r="M1291" s="229">
        <v>4.8899999999999996E-4</v>
      </c>
      <c r="N1291" s="229" t="s">
        <v>260</v>
      </c>
      <c r="O1291" s="229" t="s">
        <v>261</v>
      </c>
      <c r="P1291" s="231"/>
    </row>
    <row r="1292" spans="1:16" ht="20.399999999999999" x14ac:dyDescent="0.25">
      <c r="A1292" s="227" t="s">
        <v>3125</v>
      </c>
      <c r="B1292" s="228"/>
      <c r="C1292" s="228" t="s">
        <v>1596</v>
      </c>
      <c r="D1292" s="228" t="s">
        <v>217</v>
      </c>
      <c r="E1292" s="229"/>
      <c r="F1292" s="229" t="s">
        <v>139</v>
      </c>
      <c r="G1292" s="229" t="s">
        <v>82</v>
      </c>
      <c r="H1292" s="229"/>
      <c r="I1292" s="229">
        <v>0</v>
      </c>
      <c r="J1292" s="229">
        <v>-2</v>
      </c>
      <c r="K1292" s="230">
        <v>0</v>
      </c>
      <c r="L1292" s="229" t="s">
        <v>1865</v>
      </c>
      <c r="M1292" s="229">
        <v>5.0000000000000002E-5</v>
      </c>
      <c r="N1292" s="229" t="s">
        <v>260</v>
      </c>
      <c r="O1292" s="229" t="s">
        <v>261</v>
      </c>
      <c r="P1292" s="231"/>
    </row>
    <row r="1293" spans="1:16" ht="20.399999999999999" x14ac:dyDescent="0.25">
      <c r="A1293" s="227" t="s">
        <v>3126</v>
      </c>
      <c r="B1293" s="228"/>
      <c r="C1293" s="228" t="s">
        <v>1596</v>
      </c>
      <c r="D1293" s="228" t="s">
        <v>217</v>
      </c>
      <c r="E1293" s="229"/>
      <c r="F1293" s="229" t="s">
        <v>139</v>
      </c>
      <c r="G1293" s="229" t="s">
        <v>82</v>
      </c>
      <c r="H1293" s="229"/>
      <c r="I1293" s="229">
        <v>0</v>
      </c>
      <c r="J1293" s="229">
        <v>-1</v>
      </c>
      <c r="K1293" s="230">
        <v>1</v>
      </c>
      <c r="L1293" s="229" t="s">
        <v>1865</v>
      </c>
      <c r="M1293" s="229">
        <v>5.0000000000000002E-5</v>
      </c>
      <c r="N1293" s="229" t="s">
        <v>260</v>
      </c>
      <c r="O1293" s="229" t="s">
        <v>261</v>
      </c>
      <c r="P1293" s="231"/>
    </row>
    <row r="1294" spans="1:16" ht="20.399999999999999" x14ac:dyDescent="0.25">
      <c r="A1294" s="227" t="s">
        <v>3127</v>
      </c>
      <c r="B1294" s="228"/>
      <c r="C1294" s="228" t="s">
        <v>1596</v>
      </c>
      <c r="D1294" s="228" t="s">
        <v>217</v>
      </c>
      <c r="E1294" s="229"/>
      <c r="F1294" s="229" t="s">
        <v>139</v>
      </c>
      <c r="G1294" s="229" t="s">
        <v>82</v>
      </c>
      <c r="H1294" s="229"/>
      <c r="I1294" s="229">
        <v>0</v>
      </c>
      <c r="J1294" s="229">
        <v>0</v>
      </c>
      <c r="K1294" s="230">
        <v>2300</v>
      </c>
      <c r="L1294" s="229" t="s">
        <v>1865</v>
      </c>
      <c r="M1294" s="229">
        <v>5.0000000000000002E-5</v>
      </c>
      <c r="N1294" s="229" t="s">
        <v>260</v>
      </c>
      <c r="O1294" s="229" t="s">
        <v>261</v>
      </c>
      <c r="P1294" s="231"/>
    </row>
    <row r="1295" spans="1:16" ht="20.399999999999999" x14ac:dyDescent="0.25">
      <c r="A1295" s="227" t="s">
        <v>3128</v>
      </c>
      <c r="B1295" s="228"/>
      <c r="C1295" s="228" t="s">
        <v>1596</v>
      </c>
      <c r="D1295" s="228" t="s">
        <v>217</v>
      </c>
      <c r="E1295" s="229"/>
      <c r="F1295" s="229" t="s">
        <v>139</v>
      </c>
      <c r="G1295" s="229" t="s">
        <v>82</v>
      </c>
      <c r="H1295" s="229"/>
      <c r="I1295" s="229">
        <v>0</v>
      </c>
      <c r="J1295" s="229">
        <v>-4500</v>
      </c>
      <c r="K1295" s="230">
        <v>0</v>
      </c>
      <c r="L1295" s="229" t="s">
        <v>1865</v>
      </c>
      <c r="M1295" s="229">
        <v>5.0000000000000002E-5</v>
      </c>
      <c r="N1295" s="229" t="s">
        <v>260</v>
      </c>
      <c r="O1295" s="229" t="s">
        <v>261</v>
      </c>
      <c r="P1295" s="231"/>
    </row>
    <row r="1296" spans="1:16" ht="20.399999999999999" x14ac:dyDescent="0.25">
      <c r="A1296" s="227" t="s">
        <v>3129</v>
      </c>
      <c r="B1296" s="228"/>
      <c r="C1296" s="228" t="s">
        <v>1596</v>
      </c>
      <c r="D1296" s="228" t="s">
        <v>217</v>
      </c>
      <c r="E1296" s="229"/>
      <c r="F1296" s="229" t="s">
        <v>139</v>
      </c>
      <c r="G1296" s="229" t="s">
        <v>82</v>
      </c>
      <c r="H1296" s="229"/>
      <c r="I1296" s="229">
        <v>0</v>
      </c>
      <c r="J1296" s="229">
        <v>-4</v>
      </c>
      <c r="K1296" s="230">
        <v>2300</v>
      </c>
      <c r="L1296" s="229" t="s">
        <v>1865</v>
      </c>
      <c r="M1296" s="229">
        <v>5.0000000000000002E-5</v>
      </c>
      <c r="N1296" s="229" t="s">
        <v>260</v>
      </c>
      <c r="O1296" s="229" t="s">
        <v>261</v>
      </c>
      <c r="P1296" s="231"/>
    </row>
    <row r="1297" spans="1:16" ht="26.4" x14ac:dyDescent="0.25">
      <c r="A1297" s="227" t="s">
        <v>3130</v>
      </c>
      <c r="B1297" s="228"/>
      <c r="C1297" s="228" t="s">
        <v>1596</v>
      </c>
      <c r="D1297" s="228" t="s">
        <v>217</v>
      </c>
      <c r="E1297" s="229" t="s">
        <v>3096</v>
      </c>
      <c r="F1297" s="229" t="s">
        <v>139</v>
      </c>
      <c r="G1297" s="229" t="s">
        <v>82</v>
      </c>
      <c r="H1297" s="229"/>
      <c r="I1297" s="229"/>
      <c r="J1297" s="229"/>
      <c r="K1297" s="230"/>
      <c r="L1297" s="229"/>
      <c r="M1297" s="229"/>
      <c r="N1297" s="229"/>
      <c r="O1297" s="229" t="s">
        <v>3097</v>
      </c>
      <c r="P1297" s="231"/>
    </row>
    <row r="1298" spans="1:16" ht="20.399999999999999" x14ac:dyDescent="0.25">
      <c r="A1298" s="227" t="s">
        <v>3131</v>
      </c>
      <c r="B1298" s="228"/>
      <c r="C1298" s="228" t="s">
        <v>1596</v>
      </c>
      <c r="D1298" s="228" t="s">
        <v>217</v>
      </c>
      <c r="E1298" s="229"/>
      <c r="F1298" s="229" t="s">
        <v>139</v>
      </c>
      <c r="G1298" s="229" t="s">
        <v>82</v>
      </c>
      <c r="H1298" s="229"/>
      <c r="I1298" s="229">
        <v>0</v>
      </c>
      <c r="J1298" s="229">
        <v>-2077</v>
      </c>
      <c r="K1298" s="230">
        <v>2077</v>
      </c>
      <c r="L1298" s="229" t="s">
        <v>1865</v>
      </c>
      <c r="M1298" s="229">
        <v>4.8899999999999996E-4</v>
      </c>
      <c r="N1298" s="229" t="s">
        <v>260</v>
      </c>
      <c r="O1298" s="229" t="s">
        <v>261</v>
      </c>
      <c r="P1298" s="231"/>
    </row>
    <row r="1299" spans="1:16" ht="20.399999999999999" x14ac:dyDescent="0.25">
      <c r="A1299" s="227" t="s">
        <v>3132</v>
      </c>
      <c r="B1299" s="228"/>
      <c r="C1299" s="228" t="s">
        <v>1596</v>
      </c>
      <c r="D1299" s="228" t="s">
        <v>217</v>
      </c>
      <c r="E1299" s="229"/>
      <c r="F1299" s="229" t="s">
        <v>139</v>
      </c>
      <c r="G1299" s="229" t="s">
        <v>82</v>
      </c>
      <c r="H1299" s="229"/>
      <c r="I1299" s="229">
        <v>0</v>
      </c>
      <c r="J1299" s="229">
        <v>-1981</v>
      </c>
      <c r="K1299" s="230">
        <v>1981</v>
      </c>
      <c r="L1299" s="229" t="s">
        <v>1865</v>
      </c>
      <c r="M1299" s="229">
        <v>4.8899999999999996E-4</v>
      </c>
      <c r="N1299" s="229" t="s">
        <v>260</v>
      </c>
      <c r="O1299" s="229" t="s">
        <v>261</v>
      </c>
      <c r="P1299" s="231"/>
    </row>
    <row r="1300" spans="1:16" ht="20.399999999999999" x14ac:dyDescent="0.25">
      <c r="A1300" s="227" t="s">
        <v>3133</v>
      </c>
      <c r="B1300" s="228"/>
      <c r="C1300" s="228" t="s">
        <v>1596</v>
      </c>
      <c r="D1300" s="228" t="s">
        <v>217</v>
      </c>
      <c r="E1300" s="229"/>
      <c r="F1300" s="229" t="s">
        <v>139</v>
      </c>
      <c r="G1300" s="229" t="s">
        <v>82</v>
      </c>
      <c r="H1300" s="229"/>
      <c r="I1300" s="229">
        <v>0</v>
      </c>
      <c r="J1300" s="229">
        <v>-2312</v>
      </c>
      <c r="K1300" s="230">
        <v>2312</v>
      </c>
      <c r="L1300" s="229" t="s">
        <v>1865</v>
      </c>
      <c r="M1300" s="229">
        <v>4.8899999999999996E-4</v>
      </c>
      <c r="N1300" s="229" t="s">
        <v>260</v>
      </c>
      <c r="O1300" s="229" t="s">
        <v>261</v>
      </c>
      <c r="P1300" s="231"/>
    </row>
    <row r="1301" spans="1:16" ht="20.399999999999999" x14ac:dyDescent="0.25">
      <c r="A1301" s="227" t="s">
        <v>3134</v>
      </c>
      <c r="B1301" s="228"/>
      <c r="C1301" s="228" t="s">
        <v>1596</v>
      </c>
      <c r="D1301" s="228" t="s">
        <v>217</v>
      </c>
      <c r="E1301" s="229"/>
      <c r="F1301" s="229" t="s">
        <v>139</v>
      </c>
      <c r="G1301" s="229" t="s">
        <v>82</v>
      </c>
      <c r="H1301" s="229"/>
      <c r="I1301" s="229">
        <v>0</v>
      </c>
      <c r="J1301" s="229">
        <v>-2</v>
      </c>
      <c r="K1301" s="230">
        <v>0</v>
      </c>
      <c r="L1301" s="229" t="s">
        <v>1865</v>
      </c>
      <c r="M1301" s="229">
        <v>5.0000000000000002E-5</v>
      </c>
      <c r="N1301" s="229" t="s">
        <v>260</v>
      </c>
      <c r="O1301" s="229" t="s">
        <v>261</v>
      </c>
      <c r="P1301" s="231"/>
    </row>
    <row r="1302" spans="1:16" ht="20.399999999999999" x14ac:dyDescent="0.25">
      <c r="A1302" s="227" t="s">
        <v>3135</v>
      </c>
      <c r="B1302" s="228"/>
      <c r="C1302" s="228" t="s">
        <v>1596</v>
      </c>
      <c r="D1302" s="228" t="s">
        <v>217</v>
      </c>
      <c r="E1302" s="229"/>
      <c r="F1302" s="229" t="s">
        <v>139</v>
      </c>
      <c r="G1302" s="229" t="s">
        <v>82</v>
      </c>
      <c r="H1302" s="229"/>
      <c r="I1302" s="229">
        <v>0</v>
      </c>
      <c r="J1302" s="229">
        <v>-1</v>
      </c>
      <c r="K1302" s="230">
        <v>1</v>
      </c>
      <c r="L1302" s="229" t="s">
        <v>1865</v>
      </c>
      <c r="M1302" s="229">
        <v>5.0000000000000002E-5</v>
      </c>
      <c r="N1302" s="229" t="s">
        <v>260</v>
      </c>
      <c r="O1302" s="229" t="s">
        <v>261</v>
      </c>
      <c r="P1302" s="231"/>
    </row>
    <row r="1303" spans="1:16" ht="20.399999999999999" x14ac:dyDescent="0.25">
      <c r="A1303" s="227" t="s">
        <v>3136</v>
      </c>
      <c r="B1303" s="228"/>
      <c r="C1303" s="228" t="s">
        <v>1596</v>
      </c>
      <c r="D1303" s="228" t="s">
        <v>217</v>
      </c>
      <c r="E1303" s="229"/>
      <c r="F1303" s="229" t="s">
        <v>139</v>
      </c>
      <c r="G1303" s="229" t="s">
        <v>82</v>
      </c>
      <c r="H1303" s="229"/>
      <c r="I1303" s="229">
        <v>0</v>
      </c>
      <c r="J1303" s="229">
        <v>0</v>
      </c>
      <c r="K1303" s="230">
        <v>2300</v>
      </c>
      <c r="L1303" s="229" t="s">
        <v>1865</v>
      </c>
      <c r="M1303" s="229">
        <v>5.0000000000000002E-5</v>
      </c>
      <c r="N1303" s="229" t="s">
        <v>260</v>
      </c>
      <c r="O1303" s="229" t="s">
        <v>261</v>
      </c>
      <c r="P1303" s="231"/>
    </row>
    <row r="1304" spans="1:16" ht="20.399999999999999" x14ac:dyDescent="0.25">
      <c r="A1304" s="227" t="s">
        <v>3137</v>
      </c>
      <c r="B1304" s="228"/>
      <c r="C1304" s="228" t="s">
        <v>1596</v>
      </c>
      <c r="D1304" s="228" t="s">
        <v>217</v>
      </c>
      <c r="E1304" s="229"/>
      <c r="F1304" s="229" t="s">
        <v>139</v>
      </c>
      <c r="G1304" s="229" t="s">
        <v>82</v>
      </c>
      <c r="H1304" s="229"/>
      <c r="I1304" s="229">
        <v>0</v>
      </c>
      <c r="J1304" s="229">
        <v>-4500</v>
      </c>
      <c r="K1304" s="230">
        <v>0</v>
      </c>
      <c r="L1304" s="229" t="s">
        <v>1865</v>
      </c>
      <c r="M1304" s="229">
        <v>5.0000000000000002E-5</v>
      </c>
      <c r="N1304" s="229" t="s">
        <v>260</v>
      </c>
      <c r="O1304" s="229" t="s">
        <v>261</v>
      </c>
      <c r="P1304" s="231"/>
    </row>
    <row r="1305" spans="1:16" ht="20.399999999999999" x14ac:dyDescent="0.25">
      <c r="A1305" s="227" t="s">
        <v>3138</v>
      </c>
      <c r="B1305" s="228"/>
      <c r="C1305" s="228" t="s">
        <v>1596</v>
      </c>
      <c r="D1305" s="228" t="s">
        <v>217</v>
      </c>
      <c r="E1305" s="229"/>
      <c r="F1305" s="229" t="s">
        <v>139</v>
      </c>
      <c r="G1305" s="229" t="s">
        <v>82</v>
      </c>
      <c r="H1305" s="229"/>
      <c r="I1305" s="229">
        <v>0</v>
      </c>
      <c r="J1305" s="229">
        <v>-4</v>
      </c>
      <c r="K1305" s="230">
        <v>2300</v>
      </c>
      <c r="L1305" s="229" t="s">
        <v>1865</v>
      </c>
      <c r="M1305" s="229">
        <v>5.0000000000000002E-5</v>
      </c>
      <c r="N1305" s="229" t="s">
        <v>260</v>
      </c>
      <c r="O1305" s="229" t="s">
        <v>261</v>
      </c>
      <c r="P1305" s="231"/>
    </row>
    <row r="1306" spans="1:16" ht="20.399999999999999" x14ac:dyDescent="0.25">
      <c r="A1306" s="227" t="s">
        <v>3139</v>
      </c>
      <c r="B1306" s="228"/>
      <c r="C1306" s="228" t="s">
        <v>1596</v>
      </c>
      <c r="D1306" s="228" t="s">
        <v>217</v>
      </c>
      <c r="E1306" s="229"/>
      <c r="F1306" s="229" t="s">
        <v>139</v>
      </c>
      <c r="G1306" s="229" t="s">
        <v>82</v>
      </c>
      <c r="H1306" s="229"/>
      <c r="I1306" s="229">
        <v>0</v>
      </c>
      <c r="J1306" s="229">
        <v>-2077</v>
      </c>
      <c r="K1306" s="230">
        <v>2077</v>
      </c>
      <c r="L1306" s="229" t="s">
        <v>1865</v>
      </c>
      <c r="M1306" s="229">
        <v>4.8899999999999996E-4</v>
      </c>
      <c r="N1306" s="229" t="s">
        <v>260</v>
      </c>
      <c r="O1306" s="229" t="s">
        <v>261</v>
      </c>
      <c r="P1306" s="231"/>
    </row>
    <row r="1307" spans="1:16" ht="20.399999999999999" x14ac:dyDescent="0.25">
      <c r="A1307" s="227" t="s">
        <v>3140</v>
      </c>
      <c r="B1307" s="228"/>
      <c r="C1307" s="228" t="s">
        <v>1596</v>
      </c>
      <c r="D1307" s="228" t="s">
        <v>217</v>
      </c>
      <c r="E1307" s="229"/>
      <c r="F1307" s="229" t="s">
        <v>139</v>
      </c>
      <c r="G1307" s="229" t="s">
        <v>82</v>
      </c>
      <c r="H1307" s="229"/>
      <c r="I1307" s="229">
        <v>0</v>
      </c>
      <c r="J1307" s="229">
        <v>-1981</v>
      </c>
      <c r="K1307" s="230">
        <v>1981</v>
      </c>
      <c r="L1307" s="229" t="s">
        <v>1865</v>
      </c>
      <c r="M1307" s="229">
        <v>4.8899999999999996E-4</v>
      </c>
      <c r="N1307" s="229" t="s">
        <v>260</v>
      </c>
      <c r="O1307" s="229" t="s">
        <v>261</v>
      </c>
      <c r="P1307" s="231"/>
    </row>
    <row r="1308" spans="1:16" ht="20.399999999999999" x14ac:dyDescent="0.25">
      <c r="A1308" s="227" t="s">
        <v>3141</v>
      </c>
      <c r="B1308" s="228"/>
      <c r="C1308" s="228" t="s">
        <v>1596</v>
      </c>
      <c r="D1308" s="228" t="s">
        <v>217</v>
      </c>
      <c r="E1308" s="229"/>
      <c r="F1308" s="229" t="s">
        <v>139</v>
      </c>
      <c r="G1308" s="229" t="s">
        <v>82</v>
      </c>
      <c r="H1308" s="229"/>
      <c r="I1308" s="229">
        <v>0</v>
      </c>
      <c r="J1308" s="229">
        <v>-2312</v>
      </c>
      <c r="K1308" s="230">
        <v>2312</v>
      </c>
      <c r="L1308" s="229" t="s">
        <v>1865</v>
      </c>
      <c r="M1308" s="229">
        <v>4.8899999999999996E-4</v>
      </c>
      <c r="N1308" s="229" t="s">
        <v>260</v>
      </c>
      <c r="O1308" s="229" t="s">
        <v>261</v>
      </c>
      <c r="P1308" s="231"/>
    </row>
    <row r="1309" spans="1:16" ht="20.399999999999999" x14ac:dyDescent="0.25">
      <c r="A1309" s="227" t="s">
        <v>3142</v>
      </c>
      <c r="B1309" s="228"/>
      <c r="C1309" s="228" t="s">
        <v>1596</v>
      </c>
      <c r="D1309" s="228" t="s">
        <v>217</v>
      </c>
      <c r="E1309" s="229"/>
      <c r="F1309" s="229" t="s">
        <v>139</v>
      </c>
      <c r="G1309" s="229" t="s">
        <v>82</v>
      </c>
      <c r="H1309" s="229"/>
      <c r="I1309" s="229">
        <v>0</v>
      </c>
      <c r="J1309" s="229">
        <v>-2</v>
      </c>
      <c r="K1309" s="230">
        <v>0</v>
      </c>
      <c r="L1309" s="229" t="s">
        <v>1865</v>
      </c>
      <c r="M1309" s="229">
        <v>5.0000000000000002E-5</v>
      </c>
      <c r="N1309" s="229" t="s">
        <v>260</v>
      </c>
      <c r="O1309" s="229" t="s">
        <v>261</v>
      </c>
      <c r="P1309" s="231"/>
    </row>
    <row r="1310" spans="1:16" ht="20.399999999999999" x14ac:dyDescent="0.25">
      <c r="A1310" s="227" t="s">
        <v>3143</v>
      </c>
      <c r="B1310" s="228"/>
      <c r="C1310" s="228" t="s">
        <v>1596</v>
      </c>
      <c r="D1310" s="228" t="s">
        <v>217</v>
      </c>
      <c r="E1310" s="229"/>
      <c r="F1310" s="229" t="s">
        <v>139</v>
      </c>
      <c r="G1310" s="229" t="s">
        <v>82</v>
      </c>
      <c r="H1310" s="229"/>
      <c r="I1310" s="229">
        <v>0</v>
      </c>
      <c r="J1310" s="229">
        <v>-1</v>
      </c>
      <c r="K1310" s="230">
        <v>1</v>
      </c>
      <c r="L1310" s="229" t="s">
        <v>1865</v>
      </c>
      <c r="M1310" s="229">
        <v>5.0000000000000002E-5</v>
      </c>
      <c r="N1310" s="229" t="s">
        <v>260</v>
      </c>
      <c r="O1310" s="229" t="s">
        <v>261</v>
      </c>
      <c r="P1310" s="231"/>
    </row>
    <row r="1311" spans="1:16" ht="20.399999999999999" x14ac:dyDescent="0.25">
      <c r="A1311" s="227" t="s">
        <v>3144</v>
      </c>
      <c r="B1311" s="228"/>
      <c r="C1311" s="228" t="s">
        <v>1596</v>
      </c>
      <c r="D1311" s="228" t="s">
        <v>217</v>
      </c>
      <c r="E1311" s="229"/>
      <c r="F1311" s="229" t="s">
        <v>139</v>
      </c>
      <c r="G1311" s="229" t="s">
        <v>82</v>
      </c>
      <c r="H1311" s="229"/>
      <c r="I1311" s="229">
        <v>0</v>
      </c>
      <c r="J1311" s="229">
        <v>0</v>
      </c>
      <c r="K1311" s="230">
        <v>2300</v>
      </c>
      <c r="L1311" s="229" t="s">
        <v>1865</v>
      </c>
      <c r="M1311" s="229">
        <v>5.0000000000000002E-5</v>
      </c>
      <c r="N1311" s="229" t="s">
        <v>260</v>
      </c>
      <c r="O1311" s="229" t="s">
        <v>261</v>
      </c>
      <c r="P1311" s="231"/>
    </row>
    <row r="1312" spans="1:16" ht="20.399999999999999" x14ac:dyDescent="0.25">
      <c r="A1312" s="227" t="s">
        <v>3145</v>
      </c>
      <c r="B1312" s="228"/>
      <c r="C1312" s="228" t="s">
        <v>1596</v>
      </c>
      <c r="D1312" s="228" t="s">
        <v>217</v>
      </c>
      <c r="E1312" s="229"/>
      <c r="F1312" s="229" t="s">
        <v>139</v>
      </c>
      <c r="G1312" s="229" t="s">
        <v>82</v>
      </c>
      <c r="H1312" s="229"/>
      <c r="I1312" s="229">
        <v>0</v>
      </c>
      <c r="J1312" s="229">
        <v>-4500</v>
      </c>
      <c r="K1312" s="230">
        <v>0</v>
      </c>
      <c r="L1312" s="229" t="s">
        <v>1865</v>
      </c>
      <c r="M1312" s="229">
        <v>5.0000000000000002E-5</v>
      </c>
      <c r="N1312" s="229" t="s">
        <v>260</v>
      </c>
      <c r="O1312" s="229" t="s">
        <v>261</v>
      </c>
      <c r="P1312" s="231"/>
    </row>
    <row r="1313" spans="1:16" ht="20.399999999999999" x14ac:dyDescent="0.25">
      <c r="A1313" s="227" t="s">
        <v>3146</v>
      </c>
      <c r="B1313" s="228"/>
      <c r="C1313" s="228" t="s">
        <v>1596</v>
      </c>
      <c r="D1313" s="228" t="s">
        <v>217</v>
      </c>
      <c r="E1313" s="229"/>
      <c r="F1313" s="229" t="s">
        <v>139</v>
      </c>
      <c r="G1313" s="229" t="s">
        <v>82</v>
      </c>
      <c r="H1313" s="229"/>
      <c r="I1313" s="229">
        <v>0</v>
      </c>
      <c r="J1313" s="229">
        <v>-4</v>
      </c>
      <c r="K1313" s="230">
        <v>2300</v>
      </c>
      <c r="L1313" s="229" t="s">
        <v>1865</v>
      </c>
      <c r="M1313" s="229">
        <v>5.0000000000000002E-5</v>
      </c>
      <c r="N1313" s="229" t="s">
        <v>260</v>
      </c>
      <c r="O1313" s="229" t="s">
        <v>261</v>
      </c>
      <c r="P1313" s="231"/>
    </row>
    <row r="1314" spans="1:16" ht="20.399999999999999" x14ac:dyDescent="0.25">
      <c r="A1314" s="227" t="s">
        <v>3147</v>
      </c>
      <c r="B1314" s="228"/>
      <c r="C1314" s="228" t="s">
        <v>1596</v>
      </c>
      <c r="D1314" s="228" t="s">
        <v>217</v>
      </c>
      <c r="E1314" s="229"/>
      <c r="F1314" s="229" t="s">
        <v>139</v>
      </c>
      <c r="G1314" s="229" t="s">
        <v>82</v>
      </c>
      <c r="H1314" s="229"/>
      <c r="I1314" s="229">
        <v>0</v>
      </c>
      <c r="J1314" s="229">
        <v>-2077</v>
      </c>
      <c r="K1314" s="230">
        <v>2077</v>
      </c>
      <c r="L1314" s="229" t="s">
        <v>1865</v>
      </c>
      <c r="M1314" s="229">
        <v>4.8899999999999996E-4</v>
      </c>
      <c r="N1314" s="229" t="s">
        <v>260</v>
      </c>
      <c r="O1314" s="229" t="s">
        <v>261</v>
      </c>
      <c r="P1314" s="231"/>
    </row>
    <row r="1315" spans="1:16" ht="20.399999999999999" x14ac:dyDescent="0.25">
      <c r="A1315" s="227" t="s">
        <v>3148</v>
      </c>
      <c r="B1315" s="228"/>
      <c r="C1315" s="228" t="s">
        <v>1596</v>
      </c>
      <c r="D1315" s="228" t="s">
        <v>217</v>
      </c>
      <c r="E1315" s="229"/>
      <c r="F1315" s="229" t="s">
        <v>139</v>
      </c>
      <c r="G1315" s="229" t="s">
        <v>82</v>
      </c>
      <c r="H1315" s="229"/>
      <c r="I1315" s="229">
        <v>0</v>
      </c>
      <c r="J1315" s="229">
        <v>-1981</v>
      </c>
      <c r="K1315" s="230">
        <v>1981</v>
      </c>
      <c r="L1315" s="229" t="s">
        <v>1865</v>
      </c>
      <c r="M1315" s="229">
        <v>4.8899999999999996E-4</v>
      </c>
      <c r="N1315" s="229" t="s">
        <v>260</v>
      </c>
      <c r="O1315" s="229" t="s">
        <v>261</v>
      </c>
      <c r="P1315" s="231"/>
    </row>
    <row r="1316" spans="1:16" ht="20.399999999999999" x14ac:dyDescent="0.25">
      <c r="A1316" s="227" t="s">
        <v>3149</v>
      </c>
      <c r="B1316" s="228"/>
      <c r="C1316" s="228" t="s">
        <v>1596</v>
      </c>
      <c r="D1316" s="228" t="s">
        <v>217</v>
      </c>
      <c r="E1316" s="229"/>
      <c r="F1316" s="229" t="s">
        <v>139</v>
      </c>
      <c r="G1316" s="229" t="s">
        <v>82</v>
      </c>
      <c r="H1316" s="229"/>
      <c r="I1316" s="229">
        <v>0</v>
      </c>
      <c r="J1316" s="229">
        <v>-2312</v>
      </c>
      <c r="K1316" s="230">
        <v>2312</v>
      </c>
      <c r="L1316" s="229" t="s">
        <v>1865</v>
      </c>
      <c r="M1316" s="229">
        <v>4.8899999999999996E-4</v>
      </c>
      <c r="N1316" s="229" t="s">
        <v>260</v>
      </c>
      <c r="O1316" s="229" t="s">
        <v>261</v>
      </c>
      <c r="P1316" s="231"/>
    </row>
    <row r="1317" spans="1:16" ht="20.399999999999999" x14ac:dyDescent="0.25">
      <c r="A1317" s="227" t="s">
        <v>3150</v>
      </c>
      <c r="B1317" s="228"/>
      <c r="C1317" s="228" t="s">
        <v>1596</v>
      </c>
      <c r="D1317" s="228" t="s">
        <v>217</v>
      </c>
      <c r="E1317" s="229"/>
      <c r="F1317" s="229" t="s">
        <v>139</v>
      </c>
      <c r="G1317" s="229" t="s">
        <v>82</v>
      </c>
      <c r="H1317" s="229"/>
      <c r="I1317" s="229">
        <v>0</v>
      </c>
      <c r="J1317" s="229">
        <v>-2</v>
      </c>
      <c r="K1317" s="230">
        <v>0</v>
      </c>
      <c r="L1317" s="229" t="s">
        <v>1865</v>
      </c>
      <c r="M1317" s="229">
        <v>5.0000000000000002E-5</v>
      </c>
      <c r="N1317" s="229" t="s">
        <v>260</v>
      </c>
      <c r="O1317" s="229" t="s">
        <v>261</v>
      </c>
      <c r="P1317" s="231"/>
    </row>
    <row r="1318" spans="1:16" ht="20.399999999999999" x14ac:dyDescent="0.25">
      <c r="A1318" s="227" t="s">
        <v>3151</v>
      </c>
      <c r="B1318" s="228"/>
      <c r="C1318" s="228" t="s">
        <v>1596</v>
      </c>
      <c r="D1318" s="228" t="s">
        <v>217</v>
      </c>
      <c r="E1318" s="229"/>
      <c r="F1318" s="229" t="s">
        <v>139</v>
      </c>
      <c r="G1318" s="229" t="s">
        <v>82</v>
      </c>
      <c r="H1318" s="229"/>
      <c r="I1318" s="229">
        <v>0</v>
      </c>
      <c r="J1318" s="229">
        <v>-1</v>
      </c>
      <c r="K1318" s="230">
        <v>1</v>
      </c>
      <c r="L1318" s="229" t="s">
        <v>1865</v>
      </c>
      <c r="M1318" s="229">
        <v>5.0000000000000002E-5</v>
      </c>
      <c r="N1318" s="229" t="s">
        <v>260</v>
      </c>
      <c r="O1318" s="229" t="s">
        <v>261</v>
      </c>
      <c r="P1318" s="231"/>
    </row>
    <row r="1319" spans="1:16" ht="20.399999999999999" x14ac:dyDescent="0.25">
      <c r="A1319" s="227" t="s">
        <v>3152</v>
      </c>
      <c r="B1319" s="228"/>
      <c r="C1319" s="228" t="s">
        <v>1596</v>
      </c>
      <c r="D1319" s="228" t="s">
        <v>217</v>
      </c>
      <c r="E1319" s="229"/>
      <c r="F1319" s="229" t="s">
        <v>139</v>
      </c>
      <c r="G1319" s="229" t="s">
        <v>82</v>
      </c>
      <c r="H1319" s="229"/>
      <c r="I1319" s="229">
        <v>0</v>
      </c>
      <c r="J1319" s="229">
        <v>0</v>
      </c>
      <c r="K1319" s="230">
        <v>2300</v>
      </c>
      <c r="L1319" s="229" t="s">
        <v>1865</v>
      </c>
      <c r="M1319" s="229">
        <v>5.0000000000000002E-5</v>
      </c>
      <c r="N1319" s="229" t="s">
        <v>260</v>
      </c>
      <c r="O1319" s="229" t="s">
        <v>261</v>
      </c>
      <c r="P1319" s="231"/>
    </row>
    <row r="1320" spans="1:16" ht="20.399999999999999" x14ac:dyDescent="0.25">
      <c r="A1320" s="227" t="s">
        <v>3153</v>
      </c>
      <c r="B1320" s="228"/>
      <c r="C1320" s="228" t="s">
        <v>1596</v>
      </c>
      <c r="D1320" s="228" t="s">
        <v>217</v>
      </c>
      <c r="E1320" s="229"/>
      <c r="F1320" s="229" t="s">
        <v>139</v>
      </c>
      <c r="G1320" s="229" t="s">
        <v>82</v>
      </c>
      <c r="H1320" s="229"/>
      <c r="I1320" s="229">
        <v>0</v>
      </c>
      <c r="J1320" s="229">
        <v>-4500</v>
      </c>
      <c r="K1320" s="230">
        <v>0</v>
      </c>
      <c r="L1320" s="229" t="s">
        <v>1865</v>
      </c>
      <c r="M1320" s="229">
        <v>5.0000000000000002E-5</v>
      </c>
      <c r="N1320" s="229" t="s">
        <v>260</v>
      </c>
      <c r="O1320" s="229" t="s">
        <v>261</v>
      </c>
      <c r="P1320" s="231"/>
    </row>
    <row r="1321" spans="1:16" ht="20.399999999999999" x14ac:dyDescent="0.25">
      <c r="A1321" s="227" t="s">
        <v>3154</v>
      </c>
      <c r="B1321" s="228"/>
      <c r="C1321" s="228" t="s">
        <v>1596</v>
      </c>
      <c r="D1321" s="228" t="s">
        <v>217</v>
      </c>
      <c r="E1321" s="229"/>
      <c r="F1321" s="229" t="s">
        <v>139</v>
      </c>
      <c r="G1321" s="229" t="s">
        <v>82</v>
      </c>
      <c r="H1321" s="229"/>
      <c r="I1321" s="229">
        <v>0</v>
      </c>
      <c r="J1321" s="229">
        <v>-4</v>
      </c>
      <c r="K1321" s="230">
        <v>2300</v>
      </c>
      <c r="L1321" s="229" t="s">
        <v>1865</v>
      </c>
      <c r="M1321" s="229">
        <v>5.0000000000000002E-5</v>
      </c>
      <c r="N1321" s="229" t="s">
        <v>260</v>
      </c>
      <c r="O1321" s="229" t="s">
        <v>261</v>
      </c>
      <c r="P1321" s="231"/>
    </row>
    <row r="1322" spans="1:16" ht="20.399999999999999" x14ac:dyDescent="0.25">
      <c r="A1322" s="227" t="s">
        <v>3155</v>
      </c>
      <c r="B1322" s="228"/>
      <c r="C1322" s="228" t="s">
        <v>1596</v>
      </c>
      <c r="D1322" s="228" t="s">
        <v>217</v>
      </c>
      <c r="E1322" s="229"/>
      <c r="F1322" s="229" t="s">
        <v>139</v>
      </c>
      <c r="G1322" s="229" t="s">
        <v>82</v>
      </c>
      <c r="H1322" s="229"/>
      <c r="I1322" s="229">
        <v>0</v>
      </c>
      <c r="J1322" s="229">
        <v>-2077</v>
      </c>
      <c r="K1322" s="230">
        <v>2077</v>
      </c>
      <c r="L1322" s="229" t="s">
        <v>1865</v>
      </c>
      <c r="M1322" s="229">
        <v>4.8899999999999996E-4</v>
      </c>
      <c r="N1322" s="229" t="s">
        <v>260</v>
      </c>
      <c r="O1322" s="229" t="s">
        <v>261</v>
      </c>
      <c r="P1322" s="231"/>
    </row>
    <row r="1323" spans="1:16" ht="20.399999999999999" x14ac:dyDescent="0.25">
      <c r="A1323" s="227" t="s">
        <v>3156</v>
      </c>
      <c r="B1323" s="228"/>
      <c r="C1323" s="228" t="s">
        <v>1596</v>
      </c>
      <c r="D1323" s="228" t="s">
        <v>217</v>
      </c>
      <c r="E1323" s="229"/>
      <c r="F1323" s="229" t="s">
        <v>139</v>
      </c>
      <c r="G1323" s="229" t="s">
        <v>82</v>
      </c>
      <c r="H1323" s="229"/>
      <c r="I1323" s="229">
        <v>0</v>
      </c>
      <c r="J1323" s="229">
        <v>-1981</v>
      </c>
      <c r="K1323" s="230">
        <v>1981</v>
      </c>
      <c r="L1323" s="229" t="s">
        <v>1865</v>
      </c>
      <c r="M1323" s="229">
        <v>4.8899999999999996E-4</v>
      </c>
      <c r="N1323" s="229" t="s">
        <v>260</v>
      </c>
      <c r="O1323" s="229" t="s">
        <v>261</v>
      </c>
      <c r="P1323" s="231"/>
    </row>
    <row r="1324" spans="1:16" ht="20.399999999999999" x14ac:dyDescent="0.25">
      <c r="A1324" s="227" t="s">
        <v>3157</v>
      </c>
      <c r="B1324" s="228"/>
      <c r="C1324" s="228" t="s">
        <v>1596</v>
      </c>
      <c r="D1324" s="228" t="s">
        <v>217</v>
      </c>
      <c r="E1324" s="229"/>
      <c r="F1324" s="229" t="s">
        <v>139</v>
      </c>
      <c r="G1324" s="229" t="s">
        <v>82</v>
      </c>
      <c r="H1324" s="229"/>
      <c r="I1324" s="229">
        <v>0</v>
      </c>
      <c r="J1324" s="229">
        <v>-2312</v>
      </c>
      <c r="K1324" s="230">
        <v>2312</v>
      </c>
      <c r="L1324" s="229" t="s">
        <v>1865</v>
      </c>
      <c r="M1324" s="229">
        <v>4.8899999999999996E-4</v>
      </c>
      <c r="N1324" s="229" t="s">
        <v>260</v>
      </c>
      <c r="O1324" s="229" t="s">
        <v>261</v>
      </c>
      <c r="P1324" s="231"/>
    </row>
    <row r="1325" spans="1:16" ht="20.399999999999999" x14ac:dyDescent="0.25">
      <c r="A1325" s="227" t="s">
        <v>3158</v>
      </c>
      <c r="B1325" s="228"/>
      <c r="C1325" s="228" t="s">
        <v>1596</v>
      </c>
      <c r="D1325" s="228" t="s">
        <v>217</v>
      </c>
      <c r="E1325" s="229"/>
      <c r="F1325" s="229" t="s">
        <v>139</v>
      </c>
      <c r="G1325" s="229" t="s">
        <v>82</v>
      </c>
      <c r="H1325" s="229"/>
      <c r="I1325" s="229">
        <v>0</v>
      </c>
      <c r="J1325" s="229">
        <v>-2</v>
      </c>
      <c r="K1325" s="230">
        <v>0</v>
      </c>
      <c r="L1325" s="229" t="s">
        <v>1865</v>
      </c>
      <c r="M1325" s="229">
        <v>5.0000000000000002E-5</v>
      </c>
      <c r="N1325" s="229" t="s">
        <v>260</v>
      </c>
      <c r="O1325" s="229" t="s">
        <v>261</v>
      </c>
      <c r="P1325" s="231"/>
    </row>
    <row r="1326" spans="1:16" ht="20.399999999999999" x14ac:dyDescent="0.25">
      <c r="A1326" s="227" t="s">
        <v>3159</v>
      </c>
      <c r="B1326" s="228"/>
      <c r="C1326" s="228" t="s">
        <v>1596</v>
      </c>
      <c r="D1326" s="228" t="s">
        <v>217</v>
      </c>
      <c r="E1326" s="229"/>
      <c r="F1326" s="229" t="s">
        <v>139</v>
      </c>
      <c r="G1326" s="229" t="s">
        <v>82</v>
      </c>
      <c r="H1326" s="229"/>
      <c r="I1326" s="229">
        <v>0</v>
      </c>
      <c r="J1326" s="229">
        <v>-1</v>
      </c>
      <c r="K1326" s="230">
        <v>1</v>
      </c>
      <c r="L1326" s="229" t="s">
        <v>1865</v>
      </c>
      <c r="M1326" s="229">
        <v>5.0000000000000002E-5</v>
      </c>
      <c r="N1326" s="229" t="s">
        <v>260</v>
      </c>
      <c r="O1326" s="229" t="s">
        <v>261</v>
      </c>
      <c r="P1326" s="231"/>
    </row>
    <row r="1327" spans="1:16" ht="20.399999999999999" x14ac:dyDescent="0.25">
      <c r="A1327" s="227" t="s">
        <v>3160</v>
      </c>
      <c r="B1327" s="228"/>
      <c r="C1327" s="228" t="s">
        <v>1596</v>
      </c>
      <c r="D1327" s="228" t="s">
        <v>217</v>
      </c>
      <c r="E1327" s="229"/>
      <c r="F1327" s="229" t="s">
        <v>139</v>
      </c>
      <c r="G1327" s="229" t="s">
        <v>82</v>
      </c>
      <c r="H1327" s="229"/>
      <c r="I1327" s="229">
        <v>0</v>
      </c>
      <c r="J1327" s="229">
        <v>0</v>
      </c>
      <c r="K1327" s="230">
        <v>2300</v>
      </c>
      <c r="L1327" s="229" t="s">
        <v>1865</v>
      </c>
      <c r="M1327" s="229">
        <v>5.0000000000000002E-5</v>
      </c>
      <c r="N1327" s="229" t="s">
        <v>260</v>
      </c>
      <c r="O1327" s="229" t="s">
        <v>261</v>
      </c>
      <c r="P1327" s="231"/>
    </row>
    <row r="1328" spans="1:16" ht="20.399999999999999" x14ac:dyDescent="0.25">
      <c r="A1328" s="227" t="s">
        <v>3161</v>
      </c>
      <c r="B1328" s="228"/>
      <c r="C1328" s="228" t="s">
        <v>1596</v>
      </c>
      <c r="D1328" s="228" t="s">
        <v>217</v>
      </c>
      <c r="E1328" s="229"/>
      <c r="F1328" s="229" t="s">
        <v>139</v>
      </c>
      <c r="G1328" s="229" t="s">
        <v>82</v>
      </c>
      <c r="H1328" s="229"/>
      <c r="I1328" s="229">
        <v>0</v>
      </c>
      <c r="J1328" s="229">
        <v>-4500</v>
      </c>
      <c r="K1328" s="230">
        <v>0</v>
      </c>
      <c r="L1328" s="229" t="s">
        <v>1865</v>
      </c>
      <c r="M1328" s="229">
        <v>5.0000000000000002E-5</v>
      </c>
      <c r="N1328" s="229" t="s">
        <v>260</v>
      </c>
      <c r="O1328" s="229" t="s">
        <v>261</v>
      </c>
      <c r="P1328" s="231"/>
    </row>
    <row r="1329" spans="1:16" ht="20.399999999999999" x14ac:dyDescent="0.25">
      <c r="A1329" s="227" t="s">
        <v>3162</v>
      </c>
      <c r="B1329" s="228"/>
      <c r="C1329" s="228" t="s">
        <v>1596</v>
      </c>
      <c r="D1329" s="228" t="s">
        <v>217</v>
      </c>
      <c r="E1329" s="229"/>
      <c r="F1329" s="229" t="s">
        <v>139</v>
      </c>
      <c r="G1329" s="229" t="s">
        <v>82</v>
      </c>
      <c r="H1329" s="229"/>
      <c r="I1329" s="229">
        <v>0</v>
      </c>
      <c r="J1329" s="229">
        <v>-4</v>
      </c>
      <c r="K1329" s="230">
        <v>2300</v>
      </c>
      <c r="L1329" s="229" t="s">
        <v>1865</v>
      </c>
      <c r="M1329" s="229">
        <v>5.0000000000000002E-5</v>
      </c>
      <c r="N1329" s="229" t="s">
        <v>260</v>
      </c>
      <c r="O1329" s="229" t="s">
        <v>261</v>
      </c>
      <c r="P1329" s="231"/>
    </row>
    <row r="1330" spans="1:16" ht="26.4" x14ac:dyDescent="0.25">
      <c r="A1330" s="227" t="s">
        <v>3543</v>
      </c>
      <c r="B1330" s="228"/>
      <c r="C1330" s="228" t="s">
        <v>1596</v>
      </c>
      <c r="D1330" s="228" t="s">
        <v>217</v>
      </c>
      <c r="E1330" s="229" t="s">
        <v>3544</v>
      </c>
      <c r="F1330" s="229" t="s">
        <v>139</v>
      </c>
      <c r="G1330" s="229" t="s">
        <v>82</v>
      </c>
      <c r="H1330" s="229"/>
      <c r="I1330" s="229"/>
      <c r="J1330" s="229"/>
      <c r="K1330" s="230"/>
      <c r="L1330" s="229"/>
      <c r="M1330" s="229"/>
      <c r="N1330" s="229"/>
      <c r="O1330" s="229" t="s">
        <v>1960</v>
      </c>
      <c r="P1330" s="231"/>
    </row>
    <row r="1331" spans="1:16" x14ac:dyDescent="0.25">
      <c r="A1331" s="227" t="s">
        <v>3545</v>
      </c>
      <c r="B1331" s="228"/>
      <c r="C1331" s="228" t="s">
        <v>1596</v>
      </c>
      <c r="D1331" s="228" t="s">
        <v>217</v>
      </c>
      <c r="E1331" s="229"/>
      <c r="F1331" s="229" t="s">
        <v>139</v>
      </c>
      <c r="G1331" s="229" t="s">
        <v>82</v>
      </c>
      <c r="H1331" s="229"/>
      <c r="I1331" s="229">
        <v>0</v>
      </c>
      <c r="J1331" s="229">
        <v>0</v>
      </c>
      <c r="K1331" s="230">
        <v>10</v>
      </c>
      <c r="L1331" s="229" t="s">
        <v>1865</v>
      </c>
      <c r="M1331" s="229">
        <v>3.9100000000000003E-3</v>
      </c>
      <c r="N1331" s="229" t="s">
        <v>260</v>
      </c>
      <c r="O1331" s="229" t="s">
        <v>261</v>
      </c>
      <c r="P1331" s="231"/>
    </row>
    <row r="1332" spans="1:16" x14ac:dyDescent="0.25">
      <c r="A1332" s="227" t="s">
        <v>3546</v>
      </c>
      <c r="B1332" s="228"/>
      <c r="C1332" s="228" t="s">
        <v>1596</v>
      </c>
      <c r="D1332" s="228" t="s">
        <v>217</v>
      </c>
      <c r="E1332" s="229"/>
      <c r="F1332" s="229" t="s">
        <v>139</v>
      </c>
      <c r="G1332" s="229" t="s">
        <v>82</v>
      </c>
      <c r="H1332" s="229"/>
      <c r="I1332" s="229">
        <v>0</v>
      </c>
      <c r="J1332" s="229">
        <v>1.25E-4</v>
      </c>
      <c r="K1332" s="230">
        <v>0.46660000000000001</v>
      </c>
      <c r="L1332" s="229" t="s">
        <v>1865</v>
      </c>
      <c r="M1332" s="229">
        <v>5.0000000000000002E-5</v>
      </c>
      <c r="N1332" s="229" t="s">
        <v>260</v>
      </c>
      <c r="O1332" s="229" t="s">
        <v>261</v>
      </c>
      <c r="P1332" s="231"/>
    </row>
    <row r="1333" spans="1:16" ht="26.4" x14ac:dyDescent="0.25">
      <c r="A1333" s="227" t="s">
        <v>3163</v>
      </c>
      <c r="B1333" s="228"/>
      <c r="C1333" s="228" t="s">
        <v>1596</v>
      </c>
      <c r="D1333" s="228" t="s">
        <v>217</v>
      </c>
      <c r="E1333" s="229" t="s">
        <v>3164</v>
      </c>
      <c r="F1333" s="229" t="s">
        <v>139</v>
      </c>
      <c r="G1333" s="229" t="s">
        <v>82</v>
      </c>
      <c r="H1333" s="229"/>
      <c r="I1333" s="229"/>
      <c r="J1333" s="229"/>
      <c r="K1333" s="230"/>
      <c r="L1333" s="229"/>
      <c r="M1333" s="229"/>
      <c r="N1333" s="229"/>
      <c r="O1333" s="229" t="s">
        <v>1960</v>
      </c>
      <c r="P1333" s="231"/>
    </row>
    <row r="1334" spans="1:16" x14ac:dyDescent="0.25">
      <c r="A1334" s="227" t="s">
        <v>3165</v>
      </c>
      <c r="B1334" s="228"/>
      <c r="C1334" s="228" t="s">
        <v>1596</v>
      </c>
      <c r="D1334" s="228" t="s">
        <v>217</v>
      </c>
      <c r="E1334" s="229"/>
      <c r="F1334" s="229" t="s">
        <v>139</v>
      </c>
      <c r="G1334" s="229" t="s">
        <v>82</v>
      </c>
      <c r="H1334" s="229"/>
      <c r="I1334" s="229">
        <v>0</v>
      </c>
      <c r="J1334" s="229">
        <v>0</v>
      </c>
      <c r="K1334" s="230">
        <v>10</v>
      </c>
      <c r="L1334" s="229" t="s">
        <v>1865</v>
      </c>
      <c r="M1334" s="229">
        <v>3.9100000000000003E-3</v>
      </c>
      <c r="N1334" s="229" t="s">
        <v>260</v>
      </c>
      <c r="O1334" s="229" t="s">
        <v>261</v>
      </c>
      <c r="P1334" s="231"/>
    </row>
    <row r="1335" spans="1:16" x14ac:dyDescent="0.25">
      <c r="A1335" s="227" t="s">
        <v>3166</v>
      </c>
      <c r="B1335" s="228"/>
      <c r="C1335" s="228" t="s">
        <v>1596</v>
      </c>
      <c r="D1335" s="228" t="s">
        <v>217</v>
      </c>
      <c r="E1335" s="229"/>
      <c r="F1335" s="229" t="s">
        <v>139</v>
      </c>
      <c r="G1335" s="229" t="s">
        <v>82</v>
      </c>
      <c r="H1335" s="229"/>
      <c r="I1335" s="229">
        <v>0</v>
      </c>
      <c r="J1335" s="229">
        <v>1.25E-4</v>
      </c>
      <c r="K1335" s="230">
        <v>0.46660000000000001</v>
      </c>
      <c r="L1335" s="229" t="s">
        <v>1865</v>
      </c>
      <c r="M1335" s="229">
        <v>5.0000000000000002E-5</v>
      </c>
      <c r="N1335" s="229" t="s">
        <v>260</v>
      </c>
      <c r="O1335" s="229" t="s">
        <v>261</v>
      </c>
      <c r="P1335" s="231"/>
    </row>
    <row r="1336" spans="1:16" ht="26.4" x14ac:dyDescent="0.25">
      <c r="A1336" s="227" t="s">
        <v>3167</v>
      </c>
      <c r="B1336" s="228" t="s">
        <v>3168</v>
      </c>
      <c r="C1336" s="228" t="s">
        <v>1596</v>
      </c>
      <c r="D1336" s="228" t="s">
        <v>217</v>
      </c>
      <c r="E1336" s="229"/>
      <c r="F1336" s="229" t="s">
        <v>141</v>
      </c>
      <c r="G1336" s="229" t="s">
        <v>82</v>
      </c>
      <c r="H1336" s="229" t="s">
        <v>3169</v>
      </c>
      <c r="I1336" s="229">
        <v>0</v>
      </c>
      <c r="J1336" s="229">
        <v>0</v>
      </c>
      <c r="K1336" s="230">
        <v>1</v>
      </c>
      <c r="L1336" s="229" t="s">
        <v>1865</v>
      </c>
      <c r="M1336" s="229">
        <v>6.1099999999999994E-5</v>
      </c>
      <c r="N1336" s="229" t="s">
        <v>260</v>
      </c>
      <c r="O1336" s="229" t="s">
        <v>261</v>
      </c>
      <c r="P1336" s="231"/>
    </row>
    <row r="1337" spans="1:16" ht="26.4" x14ac:dyDescent="0.25">
      <c r="A1337" s="227" t="s">
        <v>3170</v>
      </c>
      <c r="B1337" s="228" t="s">
        <v>3171</v>
      </c>
      <c r="C1337" s="228" t="s">
        <v>1596</v>
      </c>
      <c r="D1337" s="228" t="s">
        <v>217</v>
      </c>
      <c r="E1337" s="229"/>
      <c r="F1337" s="229" t="s">
        <v>141</v>
      </c>
      <c r="G1337" s="229" t="s">
        <v>82</v>
      </c>
      <c r="H1337" s="229" t="s">
        <v>3172</v>
      </c>
      <c r="I1337" s="229">
        <v>0</v>
      </c>
      <c r="J1337" s="229">
        <v>0</v>
      </c>
      <c r="K1337" s="230">
        <v>1</v>
      </c>
      <c r="L1337" s="229" t="s">
        <v>1865</v>
      </c>
      <c r="M1337" s="229">
        <v>6.1099999999999994E-5</v>
      </c>
      <c r="N1337" s="229" t="s">
        <v>260</v>
      </c>
      <c r="O1337" s="229" t="s">
        <v>261</v>
      </c>
      <c r="P1337" s="231"/>
    </row>
    <row r="1338" spans="1:16" ht="26.4" x14ac:dyDescent="0.25">
      <c r="A1338" s="227" t="s">
        <v>3173</v>
      </c>
      <c r="B1338" s="228" t="s">
        <v>3174</v>
      </c>
      <c r="C1338" s="228" t="s">
        <v>1596</v>
      </c>
      <c r="D1338" s="228" t="s">
        <v>217</v>
      </c>
      <c r="E1338" s="229"/>
      <c r="F1338" s="229" t="s">
        <v>141</v>
      </c>
      <c r="G1338" s="229" t="s">
        <v>82</v>
      </c>
      <c r="H1338" s="229" t="s">
        <v>3175</v>
      </c>
      <c r="I1338" s="229">
        <v>0</v>
      </c>
      <c r="J1338" s="229">
        <v>0</v>
      </c>
      <c r="K1338" s="230">
        <v>1</v>
      </c>
      <c r="L1338" s="229" t="s">
        <v>1865</v>
      </c>
      <c r="M1338" s="229">
        <v>6.1099999999999994E-5</v>
      </c>
      <c r="N1338" s="229" t="s">
        <v>260</v>
      </c>
      <c r="O1338" s="229" t="s">
        <v>261</v>
      </c>
      <c r="P1338" s="231"/>
    </row>
    <row r="1339" spans="1:16" ht="26.4" x14ac:dyDescent="0.25">
      <c r="A1339" s="227" t="s">
        <v>3176</v>
      </c>
      <c r="B1339" s="228" t="s">
        <v>3177</v>
      </c>
      <c r="C1339" s="228" t="s">
        <v>1596</v>
      </c>
      <c r="D1339" s="228" t="s">
        <v>217</v>
      </c>
      <c r="E1339" s="229"/>
      <c r="F1339" s="229" t="s">
        <v>141</v>
      </c>
      <c r="G1339" s="229" t="s">
        <v>82</v>
      </c>
      <c r="H1339" s="229" t="s">
        <v>3178</v>
      </c>
      <c r="I1339" s="229">
        <v>0</v>
      </c>
      <c r="J1339" s="229">
        <v>0</v>
      </c>
      <c r="K1339" s="230">
        <v>1</v>
      </c>
      <c r="L1339" s="229" t="s">
        <v>1865</v>
      </c>
      <c r="M1339" s="229">
        <v>6.1099999999999994E-5</v>
      </c>
      <c r="N1339" s="229" t="s">
        <v>260</v>
      </c>
      <c r="O1339" s="229" t="s">
        <v>261</v>
      </c>
      <c r="P1339" s="231"/>
    </row>
    <row r="1340" spans="1:16" ht="26.4" x14ac:dyDescent="0.25">
      <c r="A1340" s="227" t="s">
        <v>3179</v>
      </c>
      <c r="B1340" s="228" t="s">
        <v>3180</v>
      </c>
      <c r="C1340" s="228" t="s">
        <v>1596</v>
      </c>
      <c r="D1340" s="228" t="s">
        <v>217</v>
      </c>
      <c r="E1340" s="229"/>
      <c r="F1340" s="229" t="s">
        <v>141</v>
      </c>
      <c r="G1340" s="229" t="s">
        <v>82</v>
      </c>
      <c r="H1340" s="229" t="s">
        <v>3178</v>
      </c>
      <c r="I1340" s="229">
        <v>0</v>
      </c>
      <c r="J1340" s="229">
        <v>0</v>
      </c>
      <c r="K1340" s="230">
        <v>1</v>
      </c>
      <c r="L1340" s="229" t="s">
        <v>1865</v>
      </c>
      <c r="M1340" s="229">
        <v>6.1099999999999994E-5</v>
      </c>
      <c r="N1340" s="229" t="s">
        <v>260</v>
      </c>
      <c r="O1340" s="229" t="s">
        <v>261</v>
      </c>
      <c r="P1340" s="231"/>
    </row>
    <row r="1341" spans="1:16" x14ac:dyDescent="0.25">
      <c r="A1341" s="227" t="s">
        <v>3181</v>
      </c>
      <c r="B1341" s="228" t="s">
        <v>3182</v>
      </c>
      <c r="C1341" s="228" t="s">
        <v>1596</v>
      </c>
      <c r="D1341" s="228" t="s">
        <v>217</v>
      </c>
      <c r="E1341" s="229"/>
      <c r="F1341" s="229" t="s">
        <v>141</v>
      </c>
      <c r="G1341" s="229" t="s">
        <v>82</v>
      </c>
      <c r="H1341" s="229"/>
      <c r="I1341" s="229">
        <v>0</v>
      </c>
      <c r="J1341" s="229">
        <v>-2312</v>
      </c>
      <c r="K1341" s="230">
        <v>2312</v>
      </c>
      <c r="L1341" s="229" t="s">
        <v>1865</v>
      </c>
      <c r="M1341" s="229">
        <v>4.8899999999999996E-4</v>
      </c>
      <c r="N1341" s="229" t="s">
        <v>256</v>
      </c>
      <c r="O1341" s="229" t="s">
        <v>261</v>
      </c>
      <c r="P1341" s="231"/>
    </row>
    <row r="1342" spans="1:16" x14ac:dyDescent="0.25">
      <c r="A1342" s="227" t="s">
        <v>3183</v>
      </c>
      <c r="B1342" s="228" t="s">
        <v>3184</v>
      </c>
      <c r="C1342" s="228" t="s">
        <v>1596</v>
      </c>
      <c r="D1342" s="228" t="s">
        <v>217</v>
      </c>
      <c r="E1342" s="229"/>
      <c r="F1342" s="229" t="s">
        <v>141</v>
      </c>
      <c r="G1342" s="229" t="s">
        <v>82</v>
      </c>
      <c r="H1342" s="229"/>
      <c r="I1342" s="229">
        <v>0</v>
      </c>
      <c r="J1342" s="229">
        <v>-2312</v>
      </c>
      <c r="K1342" s="230">
        <v>2312</v>
      </c>
      <c r="L1342" s="229" t="s">
        <v>1865</v>
      </c>
      <c r="M1342" s="229">
        <v>4.8899999999999996E-4</v>
      </c>
      <c r="N1342" s="229" t="s">
        <v>256</v>
      </c>
      <c r="O1342" s="229" t="s">
        <v>261</v>
      </c>
      <c r="P1342" s="231"/>
    </row>
    <row r="1343" spans="1:16" x14ac:dyDescent="0.25">
      <c r="A1343" s="227" t="s">
        <v>3185</v>
      </c>
      <c r="B1343" s="228" t="s">
        <v>3186</v>
      </c>
      <c r="C1343" s="228" t="s">
        <v>1596</v>
      </c>
      <c r="D1343" s="228" t="s">
        <v>217</v>
      </c>
      <c r="E1343" s="229"/>
      <c r="F1343" s="229" t="s">
        <v>141</v>
      </c>
      <c r="G1343" s="229" t="s">
        <v>82</v>
      </c>
      <c r="H1343" s="229"/>
      <c r="I1343" s="229">
        <v>0</v>
      </c>
      <c r="J1343" s="229">
        <v>-2312</v>
      </c>
      <c r="K1343" s="230">
        <v>2312</v>
      </c>
      <c r="L1343" s="229" t="s">
        <v>1865</v>
      </c>
      <c r="M1343" s="229">
        <v>4.8899999999999996E-4</v>
      </c>
      <c r="N1343" s="229" t="s">
        <v>256</v>
      </c>
      <c r="O1343" s="229" t="s">
        <v>261</v>
      </c>
      <c r="P1343" s="231"/>
    </row>
    <row r="1344" spans="1:16" x14ac:dyDescent="0.25">
      <c r="A1344" s="227" t="s">
        <v>3187</v>
      </c>
      <c r="B1344" s="228" t="s">
        <v>3188</v>
      </c>
      <c r="C1344" s="228" t="s">
        <v>1596</v>
      </c>
      <c r="D1344" s="228" t="s">
        <v>217</v>
      </c>
      <c r="E1344" s="229"/>
      <c r="F1344" s="229" t="s">
        <v>141</v>
      </c>
      <c r="G1344" s="229" t="s">
        <v>82</v>
      </c>
      <c r="H1344" s="229"/>
      <c r="I1344" s="229">
        <v>0</v>
      </c>
      <c r="J1344" s="229">
        <v>-2312</v>
      </c>
      <c r="K1344" s="230">
        <v>2312</v>
      </c>
      <c r="L1344" s="229" t="s">
        <v>1865</v>
      </c>
      <c r="M1344" s="229">
        <v>4.8899999999999996E-4</v>
      </c>
      <c r="N1344" s="229" t="s">
        <v>256</v>
      </c>
      <c r="O1344" s="229" t="s">
        <v>261</v>
      </c>
      <c r="P1344" s="231"/>
    </row>
    <row r="1345" spans="1:16" ht="39.6" x14ac:dyDescent="0.25">
      <c r="A1345" s="227" t="s">
        <v>3189</v>
      </c>
      <c r="B1345" s="228"/>
      <c r="C1345" s="228" t="s">
        <v>1596</v>
      </c>
      <c r="D1345" s="228" t="s">
        <v>217</v>
      </c>
      <c r="E1345" s="229" t="s">
        <v>3090</v>
      </c>
      <c r="F1345" s="229" t="s">
        <v>139</v>
      </c>
      <c r="G1345" s="229" t="s">
        <v>82</v>
      </c>
      <c r="H1345" s="229"/>
      <c r="I1345" s="229">
        <v>0</v>
      </c>
      <c r="J1345" s="229">
        <v>-8.8000000000000007</v>
      </c>
      <c r="K1345" s="230">
        <v>8.8000000000000007</v>
      </c>
      <c r="L1345" s="229" t="s">
        <v>1865</v>
      </c>
      <c r="M1345" s="229">
        <v>4.8899999999999996E-4</v>
      </c>
      <c r="N1345" s="229" t="s">
        <v>256</v>
      </c>
      <c r="O1345" s="229" t="s">
        <v>261</v>
      </c>
      <c r="P1345" s="231"/>
    </row>
    <row r="1346" spans="1:16" x14ac:dyDescent="0.25">
      <c r="A1346" s="227" t="s">
        <v>3190</v>
      </c>
      <c r="B1346" s="228" t="s">
        <v>3191</v>
      </c>
      <c r="C1346" s="228" t="s">
        <v>1596</v>
      </c>
      <c r="D1346" s="228" t="s">
        <v>217</v>
      </c>
      <c r="E1346" s="229"/>
      <c r="F1346" s="229" t="s">
        <v>141</v>
      </c>
      <c r="G1346" s="229" t="s">
        <v>82</v>
      </c>
      <c r="H1346" s="229"/>
      <c r="I1346" s="229">
        <v>0</v>
      </c>
      <c r="J1346" s="229">
        <v>-2312</v>
      </c>
      <c r="K1346" s="230">
        <v>2312</v>
      </c>
      <c r="L1346" s="229" t="s">
        <v>1865</v>
      </c>
      <c r="M1346" s="229">
        <v>4.8899999999999996E-4</v>
      </c>
      <c r="N1346" s="229" t="s">
        <v>256</v>
      </c>
      <c r="O1346" s="229" t="s">
        <v>261</v>
      </c>
      <c r="P1346" s="231"/>
    </row>
    <row r="1347" spans="1:16" x14ac:dyDescent="0.25">
      <c r="A1347" s="227" t="s">
        <v>3192</v>
      </c>
      <c r="B1347" s="228" t="s">
        <v>3193</v>
      </c>
      <c r="C1347" s="228" t="s">
        <v>1596</v>
      </c>
      <c r="D1347" s="228" t="s">
        <v>217</v>
      </c>
      <c r="E1347" s="229"/>
      <c r="F1347" s="229" t="s">
        <v>141</v>
      </c>
      <c r="G1347" s="229" t="s">
        <v>82</v>
      </c>
      <c r="H1347" s="229"/>
      <c r="I1347" s="229">
        <v>0</v>
      </c>
      <c r="J1347" s="229">
        <v>-2312</v>
      </c>
      <c r="K1347" s="230">
        <v>2312</v>
      </c>
      <c r="L1347" s="229" t="s">
        <v>1865</v>
      </c>
      <c r="M1347" s="229">
        <v>4.8899999999999996E-4</v>
      </c>
      <c r="N1347" s="229" t="s">
        <v>256</v>
      </c>
      <c r="O1347" s="229" t="s">
        <v>261</v>
      </c>
      <c r="P1347" s="231"/>
    </row>
    <row r="1348" spans="1:16" x14ac:dyDescent="0.25">
      <c r="A1348" s="227" t="s">
        <v>3194</v>
      </c>
      <c r="B1348" s="228" t="s">
        <v>3195</v>
      </c>
      <c r="C1348" s="228" t="s">
        <v>1596</v>
      </c>
      <c r="D1348" s="228" t="s">
        <v>217</v>
      </c>
      <c r="E1348" s="229"/>
      <c r="F1348" s="229" t="s">
        <v>141</v>
      </c>
      <c r="G1348" s="229" t="s">
        <v>82</v>
      </c>
      <c r="H1348" s="229"/>
      <c r="I1348" s="229">
        <v>0</v>
      </c>
      <c r="J1348" s="229">
        <v>-2312</v>
      </c>
      <c r="K1348" s="230">
        <v>2312</v>
      </c>
      <c r="L1348" s="229" t="s">
        <v>1865</v>
      </c>
      <c r="M1348" s="229">
        <v>4.8899999999999996E-4</v>
      </c>
      <c r="N1348" s="229" t="s">
        <v>256</v>
      </c>
      <c r="O1348" s="229" t="s">
        <v>261</v>
      </c>
      <c r="P1348" s="231"/>
    </row>
    <row r="1349" spans="1:16" x14ac:dyDescent="0.25">
      <c r="A1349" s="227" t="s">
        <v>3196</v>
      </c>
      <c r="B1349" s="228" t="s">
        <v>3197</v>
      </c>
      <c r="C1349" s="228" t="s">
        <v>1596</v>
      </c>
      <c r="D1349" s="228" t="s">
        <v>217</v>
      </c>
      <c r="E1349" s="229"/>
      <c r="F1349" s="229" t="s">
        <v>141</v>
      </c>
      <c r="G1349" s="229" t="s">
        <v>82</v>
      </c>
      <c r="H1349" s="229"/>
      <c r="I1349" s="229">
        <v>0</v>
      </c>
      <c r="J1349" s="229">
        <v>-2312</v>
      </c>
      <c r="K1349" s="230">
        <v>2312</v>
      </c>
      <c r="L1349" s="229" t="s">
        <v>1865</v>
      </c>
      <c r="M1349" s="229">
        <v>4.8899999999999996E-4</v>
      </c>
      <c r="N1349" s="229" t="s">
        <v>256</v>
      </c>
      <c r="O1349" s="229" t="s">
        <v>261</v>
      </c>
      <c r="P1349" s="231"/>
    </row>
    <row r="1350" spans="1:16" ht="52.8" x14ac:dyDescent="0.25">
      <c r="A1350" s="227" t="s">
        <v>3198</v>
      </c>
      <c r="B1350" s="228"/>
      <c r="C1350" s="228" t="s">
        <v>1596</v>
      </c>
      <c r="D1350" s="228" t="s">
        <v>217</v>
      </c>
      <c r="E1350" s="229" t="s">
        <v>1973</v>
      </c>
      <c r="F1350" s="229" t="s">
        <v>139</v>
      </c>
      <c r="G1350" s="229" t="s">
        <v>82</v>
      </c>
      <c r="H1350" s="229" t="s">
        <v>3087</v>
      </c>
      <c r="I1350" s="229">
        <v>0</v>
      </c>
      <c r="J1350" s="229">
        <v>-10</v>
      </c>
      <c r="K1350" s="230">
        <v>10</v>
      </c>
      <c r="L1350" s="229" t="s">
        <v>1865</v>
      </c>
      <c r="M1350" s="229">
        <v>3.9100000000000003E-3</v>
      </c>
      <c r="N1350" s="229" t="s">
        <v>265</v>
      </c>
      <c r="O1350" s="229" t="s">
        <v>261</v>
      </c>
      <c r="P1350" s="231"/>
    </row>
    <row r="1351" spans="1:16" ht="52.8" x14ac:dyDescent="0.25">
      <c r="A1351" s="227" t="s">
        <v>3199</v>
      </c>
      <c r="B1351" s="228"/>
      <c r="C1351" s="228" t="s">
        <v>1596</v>
      </c>
      <c r="D1351" s="228" t="s">
        <v>217</v>
      </c>
      <c r="E1351" s="229" t="s">
        <v>1981</v>
      </c>
      <c r="F1351" s="229" t="s">
        <v>139</v>
      </c>
      <c r="G1351" s="229" t="s">
        <v>82</v>
      </c>
      <c r="H1351" s="229" t="s">
        <v>3089</v>
      </c>
      <c r="I1351" s="229">
        <v>0</v>
      </c>
      <c r="J1351" s="229">
        <v>0</v>
      </c>
      <c r="K1351" s="230">
        <v>511.9921875</v>
      </c>
      <c r="L1351" s="229" t="s">
        <v>1865</v>
      </c>
      <c r="M1351" s="229">
        <v>7.8200000000000006E-3</v>
      </c>
      <c r="N1351" s="229" t="s">
        <v>311</v>
      </c>
      <c r="O1351" s="229" t="s">
        <v>261</v>
      </c>
      <c r="P1351" s="231"/>
    </row>
    <row r="1352" spans="1:16" ht="66" x14ac:dyDescent="0.25">
      <c r="A1352" s="227" t="s">
        <v>3200</v>
      </c>
      <c r="B1352" s="228"/>
      <c r="C1352" s="228" t="s">
        <v>1596</v>
      </c>
      <c r="D1352" s="228" t="s">
        <v>217</v>
      </c>
      <c r="E1352" s="229" t="s">
        <v>1985</v>
      </c>
      <c r="F1352" s="229" t="s">
        <v>139</v>
      </c>
      <c r="G1352" s="229" t="s">
        <v>82</v>
      </c>
      <c r="H1352" s="229" t="s">
        <v>3084</v>
      </c>
      <c r="I1352" s="229">
        <v>1</v>
      </c>
      <c r="J1352" s="229">
        <v>1</v>
      </c>
      <c r="K1352" s="230">
        <v>2</v>
      </c>
      <c r="L1352" s="229" t="s">
        <v>1865</v>
      </c>
      <c r="M1352" s="229">
        <v>3.9100000000000003E-3</v>
      </c>
      <c r="N1352" s="229" t="s">
        <v>260</v>
      </c>
      <c r="O1352" s="229" t="s">
        <v>261</v>
      </c>
      <c r="P1352" s="231"/>
    </row>
    <row r="1353" spans="1:16" x14ac:dyDescent="0.25">
      <c r="A1353" s="227" t="s">
        <v>3201</v>
      </c>
      <c r="B1353" s="228" t="s">
        <v>3202</v>
      </c>
      <c r="C1353" s="228" t="s">
        <v>1596</v>
      </c>
      <c r="D1353" s="228" t="s">
        <v>217</v>
      </c>
      <c r="E1353" s="229"/>
      <c r="F1353" s="229" t="s">
        <v>141</v>
      </c>
      <c r="G1353" s="229" t="s">
        <v>82</v>
      </c>
      <c r="H1353" s="229"/>
      <c r="I1353" s="229" t="b">
        <v>0</v>
      </c>
      <c r="J1353" s="229" t="b">
        <v>0</v>
      </c>
      <c r="K1353" s="230" t="b">
        <v>1</v>
      </c>
      <c r="L1353" s="229" t="s">
        <v>1871</v>
      </c>
      <c r="M1353" s="229">
        <v>0</v>
      </c>
      <c r="N1353" s="229" t="s">
        <v>1211</v>
      </c>
      <c r="O1353" s="229" t="s">
        <v>501</v>
      </c>
      <c r="P1353" s="231"/>
    </row>
    <row r="1354" spans="1:16" x14ac:dyDescent="0.25">
      <c r="A1354" s="227" t="s">
        <v>3203</v>
      </c>
      <c r="B1354" s="228"/>
      <c r="C1354" s="228" t="s">
        <v>1596</v>
      </c>
      <c r="D1354" s="228" t="s">
        <v>217</v>
      </c>
      <c r="E1354" s="229"/>
      <c r="F1354" s="229" t="s">
        <v>139</v>
      </c>
      <c r="G1354" s="229" t="s">
        <v>82</v>
      </c>
      <c r="H1354" s="229"/>
      <c r="I1354" s="229" t="b">
        <v>0</v>
      </c>
      <c r="J1354" s="229" t="b">
        <v>0</v>
      </c>
      <c r="K1354" s="230" t="b">
        <v>1</v>
      </c>
      <c r="L1354" s="229" t="s">
        <v>1871</v>
      </c>
      <c r="M1354" s="229">
        <v>0</v>
      </c>
      <c r="N1354" s="229" t="s">
        <v>1211</v>
      </c>
      <c r="O1354" s="229" t="s">
        <v>501</v>
      </c>
      <c r="P1354" s="231"/>
    </row>
    <row r="1355" spans="1:16" ht="132" x14ac:dyDescent="0.25">
      <c r="A1355" s="227" t="s">
        <v>3204</v>
      </c>
      <c r="B1355" s="228" t="s">
        <v>3206</v>
      </c>
      <c r="C1355" s="228" t="s">
        <v>3205</v>
      </c>
      <c r="D1355" s="228" t="s">
        <v>177</v>
      </c>
      <c r="E1355" s="229" t="s">
        <v>3207</v>
      </c>
      <c r="F1355" s="229" t="s">
        <v>136</v>
      </c>
      <c r="G1355" s="229" t="s">
        <v>82</v>
      </c>
      <c r="H1355" s="229"/>
      <c r="I1355" s="229" t="b">
        <v>0</v>
      </c>
      <c r="J1355" s="229" t="s">
        <v>696</v>
      </c>
      <c r="K1355" s="230" t="s">
        <v>696</v>
      </c>
      <c r="L1355" s="229" t="s">
        <v>696</v>
      </c>
      <c r="M1355" s="229"/>
      <c r="N1355" s="229" t="s">
        <v>271</v>
      </c>
      <c r="O1355" s="229" t="s">
        <v>501</v>
      </c>
      <c r="P1355" s="231"/>
    </row>
    <row r="1356" spans="1:16" ht="105.6" x14ac:dyDescent="0.25">
      <c r="A1356" s="227" t="s">
        <v>3208</v>
      </c>
      <c r="B1356" s="228" t="s">
        <v>3209</v>
      </c>
      <c r="C1356" s="228" t="s">
        <v>3205</v>
      </c>
      <c r="D1356" s="228" t="s">
        <v>177</v>
      </c>
      <c r="E1356" s="229" t="s">
        <v>3210</v>
      </c>
      <c r="F1356" s="229" t="s">
        <v>136</v>
      </c>
      <c r="G1356" s="229" t="s">
        <v>82</v>
      </c>
      <c r="H1356" s="229"/>
      <c r="I1356" s="229" t="b">
        <v>0</v>
      </c>
      <c r="J1356" s="229" t="s">
        <v>696</v>
      </c>
      <c r="K1356" s="230" t="s">
        <v>696</v>
      </c>
      <c r="L1356" s="229" t="s">
        <v>696</v>
      </c>
      <c r="M1356" s="229"/>
      <c r="N1356" s="229" t="s">
        <v>271</v>
      </c>
      <c r="O1356" s="229" t="s">
        <v>501</v>
      </c>
      <c r="P1356" s="231"/>
    </row>
    <row r="1357" spans="1:16" ht="79.2" x14ac:dyDescent="0.25">
      <c r="A1357" s="227" t="s">
        <v>3211</v>
      </c>
      <c r="B1357" s="228" t="s">
        <v>3212</v>
      </c>
      <c r="C1357" s="228" t="s">
        <v>3205</v>
      </c>
      <c r="D1357" s="228" t="s">
        <v>177</v>
      </c>
      <c r="E1357" s="229" t="s">
        <v>3213</v>
      </c>
      <c r="F1357" s="229" t="s">
        <v>136</v>
      </c>
      <c r="G1357" s="229" t="s">
        <v>82</v>
      </c>
      <c r="H1357" s="229"/>
      <c r="I1357" s="229" t="b">
        <v>0</v>
      </c>
      <c r="J1357" s="229" t="s">
        <v>696</v>
      </c>
      <c r="K1357" s="230" t="s">
        <v>696</v>
      </c>
      <c r="L1357" s="229" t="s">
        <v>696</v>
      </c>
      <c r="M1357" s="229"/>
      <c r="N1357" s="229" t="s">
        <v>271</v>
      </c>
      <c r="O1357" s="229" t="s">
        <v>501</v>
      </c>
      <c r="P1357" s="231"/>
    </row>
    <row r="1358" spans="1:16" ht="52.8" x14ac:dyDescent="0.25">
      <c r="A1358" s="227" t="s">
        <v>3214</v>
      </c>
      <c r="B1358" s="228" t="s">
        <v>3215</v>
      </c>
      <c r="C1358" s="228" t="s">
        <v>3205</v>
      </c>
      <c r="D1358" s="228" t="s">
        <v>177</v>
      </c>
      <c r="E1358" s="229" t="s">
        <v>3216</v>
      </c>
      <c r="F1358" s="229" t="s">
        <v>136</v>
      </c>
      <c r="G1358" s="229" t="s">
        <v>82</v>
      </c>
      <c r="H1358" s="229"/>
      <c r="I1358" s="229" t="b">
        <v>0</v>
      </c>
      <c r="J1358" s="229" t="s">
        <v>696</v>
      </c>
      <c r="K1358" s="230" t="s">
        <v>696</v>
      </c>
      <c r="L1358" s="229" t="s">
        <v>696</v>
      </c>
      <c r="M1358" s="229"/>
      <c r="N1358" s="229" t="s">
        <v>271</v>
      </c>
      <c r="O1358" s="229" t="s">
        <v>501</v>
      </c>
      <c r="P1358" s="231"/>
    </row>
    <row r="1359" spans="1:16" ht="52.8" x14ac:dyDescent="0.25">
      <c r="A1359" s="227" t="s">
        <v>3217</v>
      </c>
      <c r="B1359" s="228" t="s">
        <v>2270</v>
      </c>
      <c r="C1359" s="228" t="s">
        <v>3205</v>
      </c>
      <c r="D1359" s="228" t="s">
        <v>177</v>
      </c>
      <c r="E1359" s="229" t="s">
        <v>3218</v>
      </c>
      <c r="F1359" s="229" t="s">
        <v>136</v>
      </c>
      <c r="G1359" s="229" t="s">
        <v>82</v>
      </c>
      <c r="H1359" s="229"/>
      <c r="I1359" s="229" t="b">
        <v>0</v>
      </c>
      <c r="J1359" s="229" t="s">
        <v>696</v>
      </c>
      <c r="K1359" s="230" t="s">
        <v>696</v>
      </c>
      <c r="L1359" s="229" t="s">
        <v>696</v>
      </c>
      <c r="M1359" s="229"/>
      <c r="N1359" s="229" t="s">
        <v>271</v>
      </c>
      <c r="O1359" s="229" t="s">
        <v>501</v>
      </c>
      <c r="P1359" s="231"/>
    </row>
    <row r="1360" spans="1:16" x14ac:dyDescent="0.25">
      <c r="A1360" s="227" t="s">
        <v>2597</v>
      </c>
      <c r="B1360" s="228"/>
      <c r="C1360" s="228" t="s">
        <v>3205</v>
      </c>
      <c r="D1360" s="228" t="s">
        <v>177</v>
      </c>
      <c r="E1360" s="229"/>
      <c r="F1360" s="229" t="s">
        <v>136</v>
      </c>
      <c r="G1360" s="229" t="s">
        <v>82</v>
      </c>
      <c r="H1360" s="229"/>
      <c r="I1360" s="229" t="b">
        <v>0</v>
      </c>
      <c r="J1360" s="229" t="s">
        <v>696</v>
      </c>
      <c r="K1360" s="230" t="s">
        <v>696</v>
      </c>
      <c r="L1360" s="229" t="s">
        <v>696</v>
      </c>
      <c r="M1360" s="229"/>
      <c r="N1360" s="229" t="s">
        <v>271</v>
      </c>
      <c r="O1360" s="229" t="s">
        <v>501</v>
      </c>
      <c r="P1360" s="231"/>
    </row>
    <row r="1361" spans="1:16" x14ac:dyDescent="0.25">
      <c r="A1361" s="227" t="s">
        <v>3219</v>
      </c>
      <c r="B1361" s="228"/>
      <c r="C1361" s="228" t="s">
        <v>3205</v>
      </c>
      <c r="D1361" s="228"/>
      <c r="E1361" s="229"/>
      <c r="F1361" s="229" t="s">
        <v>82</v>
      </c>
      <c r="G1361" s="229" t="s">
        <v>82</v>
      </c>
      <c r="H1361" s="229"/>
      <c r="I1361" s="229">
        <v>0</v>
      </c>
      <c r="J1361" s="229">
        <v>0</v>
      </c>
      <c r="K1361" s="230" t="s">
        <v>909</v>
      </c>
      <c r="L1361" s="229">
        <v>1</v>
      </c>
      <c r="M1361" s="229">
        <v>0</v>
      </c>
      <c r="N1361" s="229" t="s">
        <v>271</v>
      </c>
      <c r="O1361" s="229" t="s">
        <v>321</v>
      </c>
      <c r="P1361" s="231"/>
    </row>
    <row r="1362" spans="1:16" ht="20.399999999999999" x14ac:dyDescent="0.25">
      <c r="A1362" s="227" t="s">
        <v>3220</v>
      </c>
      <c r="B1362" s="228"/>
      <c r="C1362" s="228" t="s">
        <v>3205</v>
      </c>
      <c r="D1362" s="228"/>
      <c r="E1362" s="229"/>
      <c r="F1362" s="229" t="s">
        <v>82</v>
      </c>
      <c r="G1362" s="229" t="s">
        <v>82</v>
      </c>
      <c r="H1362" s="229"/>
      <c r="I1362" s="229">
        <v>0</v>
      </c>
      <c r="J1362" s="229">
        <v>0</v>
      </c>
      <c r="K1362" s="230" t="s">
        <v>909</v>
      </c>
      <c r="L1362" s="229">
        <v>1</v>
      </c>
      <c r="M1362" s="229">
        <v>0</v>
      </c>
      <c r="N1362" s="229" t="s">
        <v>271</v>
      </c>
      <c r="O1362" s="229" t="s">
        <v>1003</v>
      </c>
      <c r="P1362" s="231"/>
    </row>
    <row r="1363" spans="1:16" ht="105.6" x14ac:dyDescent="0.25">
      <c r="A1363" s="227" t="s">
        <v>4787</v>
      </c>
      <c r="B1363" s="228" t="s">
        <v>4788</v>
      </c>
      <c r="C1363" s="228" t="s">
        <v>3205</v>
      </c>
      <c r="D1363" s="228" t="s">
        <v>177</v>
      </c>
      <c r="E1363" s="229" t="s">
        <v>4789</v>
      </c>
      <c r="F1363" s="229" t="s">
        <v>138</v>
      </c>
      <c r="G1363" s="229" t="s">
        <v>82</v>
      </c>
      <c r="H1363" s="229"/>
      <c r="I1363" s="229" t="b">
        <v>0</v>
      </c>
      <c r="J1363" s="229" t="s">
        <v>696</v>
      </c>
      <c r="K1363" s="230" t="s">
        <v>696</v>
      </c>
      <c r="L1363" s="229" t="s">
        <v>696</v>
      </c>
      <c r="M1363" s="229"/>
      <c r="N1363" s="229" t="s">
        <v>271</v>
      </c>
      <c r="O1363" s="229" t="s">
        <v>501</v>
      </c>
      <c r="P1363" s="231"/>
    </row>
    <row r="1364" spans="1:16" ht="92.4" x14ac:dyDescent="0.25">
      <c r="A1364" s="227" t="s">
        <v>4995</v>
      </c>
      <c r="B1364" s="228" t="s">
        <v>4996</v>
      </c>
      <c r="C1364" s="228" t="s">
        <v>3205</v>
      </c>
      <c r="D1364" s="228" t="s">
        <v>177</v>
      </c>
      <c r="E1364" s="229" t="s">
        <v>4997</v>
      </c>
      <c r="F1364" s="229" t="s">
        <v>138</v>
      </c>
      <c r="G1364" s="229" t="s">
        <v>82</v>
      </c>
      <c r="H1364" s="229"/>
      <c r="I1364" s="229" t="b">
        <v>0</v>
      </c>
      <c r="J1364" s="229" t="s">
        <v>696</v>
      </c>
      <c r="K1364" s="230" t="s">
        <v>696</v>
      </c>
      <c r="L1364" s="229" t="s">
        <v>696</v>
      </c>
      <c r="M1364" s="229"/>
      <c r="N1364" s="229" t="s">
        <v>271</v>
      </c>
      <c r="O1364" s="229" t="s">
        <v>501</v>
      </c>
      <c r="P1364" s="231"/>
    </row>
    <row r="1365" spans="1:16" ht="52.8" x14ac:dyDescent="0.25">
      <c r="A1365" s="227" t="s">
        <v>4998</v>
      </c>
      <c r="B1365" s="228" t="s">
        <v>4999</v>
      </c>
      <c r="C1365" s="228" t="s">
        <v>3205</v>
      </c>
      <c r="D1365" s="228" t="s">
        <v>177</v>
      </c>
      <c r="E1365" s="229" t="s">
        <v>5000</v>
      </c>
      <c r="F1365" s="229" t="s">
        <v>138</v>
      </c>
      <c r="G1365" s="229" t="s">
        <v>82</v>
      </c>
      <c r="H1365" s="229"/>
      <c r="I1365" s="229" t="b">
        <v>0</v>
      </c>
      <c r="J1365" s="229" t="s">
        <v>696</v>
      </c>
      <c r="K1365" s="230" t="s">
        <v>696</v>
      </c>
      <c r="L1365" s="229" t="s">
        <v>696</v>
      </c>
      <c r="M1365" s="229"/>
      <c r="N1365" s="229" t="s">
        <v>271</v>
      </c>
      <c r="O1365" s="229" t="s">
        <v>501</v>
      </c>
      <c r="P1365" s="231"/>
    </row>
    <row r="1366" spans="1:16" ht="79.2" x14ac:dyDescent="0.25">
      <c r="A1366" s="227" t="s">
        <v>5001</v>
      </c>
      <c r="B1366" s="228" t="s">
        <v>5002</v>
      </c>
      <c r="C1366" s="228" t="s">
        <v>3205</v>
      </c>
      <c r="D1366" s="228" t="s">
        <v>177</v>
      </c>
      <c r="E1366" s="229" t="s">
        <v>5003</v>
      </c>
      <c r="F1366" s="229" t="s">
        <v>139</v>
      </c>
      <c r="G1366" s="229" t="s">
        <v>82</v>
      </c>
      <c r="H1366" s="229"/>
      <c r="I1366" s="229" t="b">
        <v>0</v>
      </c>
      <c r="J1366" s="229" t="s">
        <v>696</v>
      </c>
      <c r="K1366" s="230" t="s">
        <v>696</v>
      </c>
      <c r="L1366" s="229" t="s">
        <v>696</v>
      </c>
      <c r="M1366" s="229"/>
      <c r="N1366" s="229" t="s">
        <v>271</v>
      </c>
      <c r="O1366" s="229" t="s">
        <v>501</v>
      </c>
      <c r="P1366" s="231"/>
    </row>
    <row r="1367" spans="1:16" x14ac:dyDescent="0.25">
      <c r="A1367" s="227" t="s">
        <v>3221</v>
      </c>
      <c r="B1367" s="228" t="s">
        <v>2263</v>
      </c>
      <c r="C1367" s="228" t="s">
        <v>3222</v>
      </c>
      <c r="D1367" s="228"/>
      <c r="E1367" s="229"/>
      <c r="F1367" s="229" t="s">
        <v>136</v>
      </c>
      <c r="G1367" s="229"/>
      <c r="H1367" s="229"/>
      <c r="I1367" s="229">
        <v>0</v>
      </c>
      <c r="J1367" s="229" t="b">
        <v>0</v>
      </c>
      <c r="K1367" s="230" t="b">
        <v>1</v>
      </c>
      <c r="L1367" s="229" t="s">
        <v>501</v>
      </c>
      <c r="M1367" s="229"/>
      <c r="N1367" s="229" t="s">
        <v>3025</v>
      </c>
      <c r="O1367" s="229" t="s">
        <v>501</v>
      </c>
      <c r="P1367" s="231"/>
    </row>
    <row r="1368" spans="1:16" ht="52.8" x14ac:dyDescent="0.25">
      <c r="A1368" s="227" t="s">
        <v>3223</v>
      </c>
      <c r="B1368" s="228" t="s">
        <v>3224</v>
      </c>
      <c r="C1368" s="228" t="s">
        <v>3222</v>
      </c>
      <c r="D1368" s="228"/>
      <c r="E1368" s="229" t="s">
        <v>3225</v>
      </c>
      <c r="F1368" s="229" t="s">
        <v>136</v>
      </c>
      <c r="G1368" s="229"/>
      <c r="H1368" s="229"/>
      <c r="I1368" s="229">
        <v>0</v>
      </c>
      <c r="J1368" s="229">
        <v>1E-4</v>
      </c>
      <c r="K1368" s="230">
        <v>0.5</v>
      </c>
      <c r="L1368" s="229" t="s">
        <v>1865</v>
      </c>
      <c r="M1368" s="229">
        <v>3.90625E-3</v>
      </c>
      <c r="N1368" s="229" t="s">
        <v>2557</v>
      </c>
      <c r="O1368" s="229" t="s">
        <v>261</v>
      </c>
      <c r="P1368" s="231"/>
    </row>
    <row r="1369" spans="1:16" ht="39.6" x14ac:dyDescent="0.25">
      <c r="A1369" s="227" t="s">
        <v>3226</v>
      </c>
      <c r="B1369" s="228" t="s">
        <v>3227</v>
      </c>
      <c r="C1369" s="228" t="s">
        <v>3222</v>
      </c>
      <c r="D1369" s="228"/>
      <c r="E1369" s="229" t="s">
        <v>3228</v>
      </c>
      <c r="F1369" s="229" t="s">
        <v>136</v>
      </c>
      <c r="G1369" s="229"/>
      <c r="H1369" s="229"/>
      <c r="I1369" s="229">
        <v>0</v>
      </c>
      <c r="J1369" s="229">
        <v>0</v>
      </c>
      <c r="K1369" s="230">
        <v>1</v>
      </c>
      <c r="L1369" s="229" t="s">
        <v>1865</v>
      </c>
      <c r="M1369" s="229">
        <v>3.90625E-3</v>
      </c>
      <c r="N1369" s="229" t="s">
        <v>260</v>
      </c>
      <c r="O1369" s="229" t="s">
        <v>261</v>
      </c>
      <c r="P1369" s="231"/>
    </row>
    <row r="1370" spans="1:16" ht="105.6" x14ac:dyDescent="0.25">
      <c r="A1370" s="227" t="s">
        <v>2556</v>
      </c>
      <c r="B1370" s="228" t="s">
        <v>3229</v>
      </c>
      <c r="C1370" s="228" t="s">
        <v>3222</v>
      </c>
      <c r="D1370" s="228"/>
      <c r="E1370" s="229" t="s">
        <v>3230</v>
      </c>
      <c r="F1370" s="229" t="s">
        <v>136</v>
      </c>
      <c r="G1370" s="229"/>
      <c r="H1370" s="229"/>
      <c r="I1370" s="229">
        <v>0</v>
      </c>
      <c r="J1370" s="229">
        <v>1E-4</v>
      </c>
      <c r="K1370" s="230">
        <v>5.0000000000000001E-3</v>
      </c>
      <c r="L1370" s="229" t="s">
        <v>1865</v>
      </c>
      <c r="M1370" s="229">
        <v>3.90625E-3</v>
      </c>
      <c r="N1370" s="229" t="s">
        <v>2557</v>
      </c>
      <c r="O1370" s="229" t="s">
        <v>261</v>
      </c>
      <c r="P1370" s="231"/>
    </row>
    <row r="1371" spans="1:16" ht="39.6" x14ac:dyDescent="0.25">
      <c r="A1371" s="227" t="s">
        <v>2558</v>
      </c>
      <c r="B1371" s="228" t="s">
        <v>3231</v>
      </c>
      <c r="C1371" s="228" t="s">
        <v>3222</v>
      </c>
      <c r="D1371" s="228"/>
      <c r="E1371" s="229" t="s">
        <v>3232</v>
      </c>
      <c r="F1371" s="229" t="s">
        <v>136</v>
      </c>
      <c r="G1371" s="229"/>
      <c r="H1371" s="229"/>
      <c r="I1371" s="229">
        <v>0</v>
      </c>
      <c r="J1371" s="229">
        <v>0</v>
      </c>
      <c r="K1371" s="230">
        <v>1</v>
      </c>
      <c r="L1371" s="229" t="s">
        <v>1865</v>
      </c>
      <c r="M1371" s="229">
        <v>3.90625E-3</v>
      </c>
      <c r="N1371" s="229" t="s">
        <v>260</v>
      </c>
      <c r="O1371" s="229" t="s">
        <v>261</v>
      </c>
      <c r="P1371" s="231"/>
    </row>
    <row r="1372" spans="1:16" ht="79.2" x14ac:dyDescent="0.25">
      <c r="A1372" s="227" t="s">
        <v>3233</v>
      </c>
      <c r="B1372" s="228" t="s">
        <v>3234</v>
      </c>
      <c r="C1372" s="228" t="s">
        <v>3222</v>
      </c>
      <c r="D1372" s="228" t="s">
        <v>197</v>
      </c>
      <c r="E1372" s="229" t="s">
        <v>3235</v>
      </c>
      <c r="F1372" s="229" t="s">
        <v>138</v>
      </c>
      <c r="G1372" s="229"/>
      <c r="H1372" s="229"/>
      <c r="I1372" s="229">
        <v>0</v>
      </c>
      <c r="J1372" s="229" t="b">
        <v>0</v>
      </c>
      <c r="K1372" s="230" t="b">
        <v>1</v>
      </c>
      <c r="L1372" s="229" t="s">
        <v>501</v>
      </c>
      <c r="M1372" s="229"/>
      <c r="N1372" s="229" t="s">
        <v>271</v>
      </c>
      <c r="O1372" s="229" t="s">
        <v>501</v>
      </c>
      <c r="P1372" s="231"/>
    </row>
    <row r="1373" spans="1:16" ht="39.6" x14ac:dyDescent="0.25">
      <c r="A1373" s="227" t="s">
        <v>2111</v>
      </c>
      <c r="B1373" s="228" t="s">
        <v>2112</v>
      </c>
      <c r="C1373" s="228" t="s">
        <v>3222</v>
      </c>
      <c r="D1373" s="228" t="s">
        <v>197</v>
      </c>
      <c r="E1373" s="229" t="s">
        <v>3236</v>
      </c>
      <c r="F1373" s="229" t="s">
        <v>138</v>
      </c>
      <c r="G1373" s="229"/>
      <c r="H1373" s="229"/>
      <c r="I1373" s="229">
        <v>0</v>
      </c>
      <c r="J1373" s="229">
        <v>0</v>
      </c>
      <c r="K1373" s="230">
        <v>1</v>
      </c>
      <c r="L1373" s="229" t="s">
        <v>1865</v>
      </c>
      <c r="M1373" s="229">
        <v>3.90625E-3</v>
      </c>
      <c r="N1373" s="229" t="s">
        <v>260</v>
      </c>
      <c r="O1373" s="229" t="s">
        <v>261</v>
      </c>
      <c r="P1373" s="231"/>
    </row>
    <row r="1374" spans="1:16" ht="39.6" x14ac:dyDescent="0.25">
      <c r="A1374" s="227" t="s">
        <v>3237</v>
      </c>
      <c r="B1374" s="228" t="s">
        <v>3238</v>
      </c>
      <c r="C1374" s="228" t="s">
        <v>3222</v>
      </c>
      <c r="D1374" s="228"/>
      <c r="E1374" s="229" t="s">
        <v>3239</v>
      </c>
      <c r="F1374" s="229" t="s">
        <v>136</v>
      </c>
      <c r="G1374" s="229"/>
      <c r="H1374" s="229"/>
      <c r="I1374" s="229">
        <v>0</v>
      </c>
      <c r="J1374" s="229" t="b">
        <v>0</v>
      </c>
      <c r="K1374" s="230" t="b">
        <v>1</v>
      </c>
      <c r="L1374" s="229" t="s">
        <v>501</v>
      </c>
      <c r="M1374" s="229"/>
      <c r="N1374" s="229" t="s">
        <v>271</v>
      </c>
      <c r="O1374" s="229" t="s">
        <v>501</v>
      </c>
      <c r="P1374" s="231"/>
    </row>
    <row r="1375" spans="1:16" x14ac:dyDescent="0.25">
      <c r="A1375" s="227" t="s">
        <v>3240</v>
      </c>
      <c r="B1375" s="228" t="s">
        <v>3241</v>
      </c>
      <c r="C1375" s="228" t="s">
        <v>3222</v>
      </c>
      <c r="D1375" s="228" t="s">
        <v>197</v>
      </c>
      <c r="E1375" s="229"/>
      <c r="F1375" s="229" t="s">
        <v>139</v>
      </c>
      <c r="G1375" s="229"/>
      <c r="H1375" s="229"/>
      <c r="I1375" s="229">
        <v>1</v>
      </c>
      <c r="J1375" s="229">
        <v>0</v>
      </c>
      <c r="K1375" s="230">
        <v>1</v>
      </c>
      <c r="L1375" s="229" t="s">
        <v>1865</v>
      </c>
      <c r="M1375" s="229">
        <v>3.90625E-3</v>
      </c>
      <c r="N1375" s="229" t="s">
        <v>260</v>
      </c>
      <c r="O1375" s="229" t="s">
        <v>261</v>
      </c>
      <c r="P1375" s="231"/>
    </row>
    <row r="1376" spans="1:16" x14ac:dyDescent="0.25">
      <c r="A1376" s="227" t="s">
        <v>3242</v>
      </c>
      <c r="B1376" s="228"/>
      <c r="C1376" s="228" t="s">
        <v>3222</v>
      </c>
      <c r="D1376" s="228"/>
      <c r="E1376" s="229"/>
      <c r="F1376" s="229" t="s">
        <v>141</v>
      </c>
      <c r="G1376" s="229"/>
      <c r="H1376" s="229"/>
      <c r="I1376" s="229">
        <v>1</v>
      </c>
      <c r="J1376" s="229">
        <v>0</v>
      </c>
      <c r="K1376" s="230">
        <v>1</v>
      </c>
      <c r="L1376" s="229" t="s">
        <v>1865</v>
      </c>
      <c r="M1376" s="229">
        <v>3.90625E-3</v>
      </c>
      <c r="N1376" s="229" t="s">
        <v>260</v>
      </c>
      <c r="O1376" s="229" t="s">
        <v>261</v>
      </c>
      <c r="P1376" s="231"/>
    </row>
    <row r="1377" spans="1:16" x14ac:dyDescent="0.25">
      <c r="A1377" s="227" t="s">
        <v>3243</v>
      </c>
      <c r="B1377" s="228" t="s">
        <v>3244</v>
      </c>
      <c r="C1377" s="228" t="s">
        <v>3222</v>
      </c>
      <c r="D1377" s="228" t="s">
        <v>197</v>
      </c>
      <c r="E1377" s="229"/>
      <c r="F1377" s="229" t="s">
        <v>139</v>
      </c>
      <c r="G1377" s="229"/>
      <c r="H1377" s="229"/>
      <c r="I1377" s="229">
        <v>1</v>
      </c>
      <c r="J1377" s="229">
        <v>1E-4</v>
      </c>
      <c r="K1377" s="230">
        <v>0.5</v>
      </c>
      <c r="L1377" s="229" t="s">
        <v>1865</v>
      </c>
      <c r="M1377" s="229">
        <v>3.90625E-3</v>
      </c>
      <c r="N1377" s="229" t="s">
        <v>2557</v>
      </c>
      <c r="O1377" s="229" t="s">
        <v>261</v>
      </c>
      <c r="P1377" s="231"/>
    </row>
    <row r="1378" spans="1:16" x14ac:dyDescent="0.25">
      <c r="A1378" s="227" t="s">
        <v>3245</v>
      </c>
      <c r="B1378" s="228"/>
      <c r="C1378" s="228" t="s">
        <v>3222</v>
      </c>
      <c r="D1378" s="228"/>
      <c r="E1378" s="229"/>
      <c r="F1378" s="229" t="s">
        <v>139</v>
      </c>
      <c r="G1378" s="229"/>
      <c r="H1378" s="229"/>
      <c r="I1378" s="229"/>
      <c r="J1378" s="229"/>
      <c r="K1378" s="230"/>
      <c r="L1378" s="229"/>
      <c r="M1378" s="229"/>
      <c r="N1378" s="229"/>
      <c r="O1378" s="229" t="s">
        <v>3246</v>
      </c>
      <c r="P1378" s="231"/>
    </row>
    <row r="1379" spans="1:16" x14ac:dyDescent="0.25">
      <c r="A1379" s="227" t="s">
        <v>3247</v>
      </c>
      <c r="B1379" s="228"/>
      <c r="C1379" s="228" t="s">
        <v>3222</v>
      </c>
      <c r="D1379" s="228"/>
      <c r="E1379" s="229"/>
      <c r="F1379" s="229"/>
      <c r="G1379" s="229"/>
      <c r="H1379" s="229"/>
      <c r="I1379" s="229"/>
      <c r="J1379" s="229" t="s">
        <v>909</v>
      </c>
      <c r="K1379" s="230" t="s">
        <v>909</v>
      </c>
      <c r="L1379" s="229">
        <v>1</v>
      </c>
      <c r="M1379" s="229">
        <v>1</v>
      </c>
      <c r="N1379" s="229" t="s">
        <v>266</v>
      </c>
      <c r="O1379" s="229" t="s">
        <v>321</v>
      </c>
      <c r="P1379" s="231"/>
    </row>
    <row r="1380" spans="1:16" x14ac:dyDescent="0.25">
      <c r="A1380" s="227" t="s">
        <v>3248</v>
      </c>
      <c r="B1380" s="228"/>
      <c r="C1380" s="228" t="s">
        <v>3222</v>
      </c>
      <c r="D1380" s="228"/>
      <c r="E1380" s="229"/>
      <c r="F1380" s="229"/>
      <c r="G1380" s="229"/>
      <c r="H1380" s="229"/>
      <c r="I1380" s="229"/>
      <c r="J1380" s="229" t="s">
        <v>909</v>
      </c>
      <c r="K1380" s="230" t="s">
        <v>909</v>
      </c>
      <c r="L1380" s="229">
        <v>1</v>
      </c>
      <c r="M1380" s="229">
        <v>1</v>
      </c>
      <c r="N1380" s="229" t="s">
        <v>266</v>
      </c>
      <c r="O1380" s="229" t="s">
        <v>321</v>
      </c>
      <c r="P1380" s="231"/>
    </row>
    <row r="1381" spans="1:16" x14ac:dyDescent="0.25">
      <c r="A1381" s="227" t="s">
        <v>3249</v>
      </c>
      <c r="B1381" s="228"/>
      <c r="C1381" s="228" t="s">
        <v>3222</v>
      </c>
      <c r="D1381" s="228"/>
      <c r="E1381" s="229"/>
      <c r="F1381" s="229"/>
      <c r="G1381" s="229"/>
      <c r="H1381" s="229"/>
      <c r="I1381" s="229"/>
      <c r="J1381" s="229">
        <v>0</v>
      </c>
      <c r="K1381" s="230">
        <v>1</v>
      </c>
      <c r="L1381" s="229" t="s">
        <v>1865</v>
      </c>
      <c r="M1381" s="229">
        <v>3.90625E-3</v>
      </c>
      <c r="N1381" s="229" t="s">
        <v>260</v>
      </c>
      <c r="O1381" s="229" t="s">
        <v>261</v>
      </c>
      <c r="P1381" s="231"/>
    </row>
    <row r="1382" spans="1:16" x14ac:dyDescent="0.25">
      <c r="A1382" s="227" t="s">
        <v>3250</v>
      </c>
      <c r="B1382" s="228"/>
      <c r="C1382" s="228" t="s">
        <v>3222</v>
      </c>
      <c r="D1382" s="228"/>
      <c r="E1382" s="229"/>
      <c r="F1382" s="229"/>
      <c r="G1382" s="229"/>
      <c r="H1382" s="229"/>
      <c r="I1382" s="229"/>
      <c r="J1382" s="229">
        <v>0</v>
      </c>
      <c r="K1382" s="230">
        <v>1</v>
      </c>
      <c r="L1382" s="229" t="s">
        <v>1865</v>
      </c>
      <c r="M1382" s="229">
        <v>3.90625E-3</v>
      </c>
      <c r="N1382" s="229" t="s">
        <v>260</v>
      </c>
      <c r="O1382" s="229" t="s">
        <v>261</v>
      </c>
      <c r="P1382" s="231"/>
    </row>
    <row r="1383" spans="1:16" x14ac:dyDescent="0.25">
      <c r="A1383" s="227" t="s">
        <v>2610</v>
      </c>
      <c r="B1383" s="228"/>
      <c r="C1383" s="228" t="s">
        <v>1674</v>
      </c>
      <c r="D1383" s="228" t="s">
        <v>239</v>
      </c>
      <c r="E1383" s="229"/>
      <c r="F1383" s="229" t="s">
        <v>136</v>
      </c>
      <c r="G1383" s="229"/>
      <c r="H1383" s="229"/>
      <c r="I1383" s="229" t="b">
        <v>0</v>
      </c>
      <c r="J1383" s="229" t="b">
        <v>0</v>
      </c>
      <c r="K1383" s="230" t="b">
        <v>1</v>
      </c>
      <c r="L1383" s="229" t="s">
        <v>1883</v>
      </c>
      <c r="M1383" s="229"/>
      <c r="N1383" s="229" t="s">
        <v>424</v>
      </c>
      <c r="O1383" s="229" t="s">
        <v>501</v>
      </c>
      <c r="P1383" s="231"/>
    </row>
    <row r="1384" spans="1:16" x14ac:dyDescent="0.25">
      <c r="A1384" s="227" t="s">
        <v>5004</v>
      </c>
      <c r="B1384" s="228"/>
      <c r="C1384" s="228" t="s">
        <v>1674</v>
      </c>
      <c r="D1384" s="228" t="s">
        <v>239</v>
      </c>
      <c r="E1384" s="229"/>
      <c r="F1384" s="229" t="s">
        <v>138</v>
      </c>
      <c r="G1384" s="229"/>
      <c r="H1384" s="229"/>
      <c r="I1384" s="229" t="b">
        <v>0</v>
      </c>
      <c r="J1384" s="229" t="b">
        <v>0</v>
      </c>
      <c r="K1384" s="230" t="b">
        <v>1</v>
      </c>
      <c r="L1384" s="229" t="s">
        <v>1883</v>
      </c>
      <c r="M1384" s="229"/>
      <c r="N1384" s="229" t="s">
        <v>424</v>
      </c>
      <c r="O1384" s="229" t="s">
        <v>501</v>
      </c>
      <c r="P1384" s="231"/>
    </row>
    <row r="1385" spans="1:16" x14ac:dyDescent="0.25">
      <c r="A1385" s="227" t="s">
        <v>3251</v>
      </c>
      <c r="B1385" s="228"/>
      <c r="C1385" s="228" t="s">
        <v>1674</v>
      </c>
      <c r="D1385" s="228" t="s">
        <v>239</v>
      </c>
      <c r="E1385" s="229"/>
      <c r="F1385" s="229" t="s">
        <v>138</v>
      </c>
      <c r="G1385" s="229"/>
      <c r="H1385" s="229"/>
      <c r="I1385" s="229">
        <v>0</v>
      </c>
      <c r="J1385" s="229">
        <v>0</v>
      </c>
      <c r="K1385" s="230">
        <v>3</v>
      </c>
      <c r="L1385" s="229">
        <v>1</v>
      </c>
      <c r="M1385" s="229">
        <v>0</v>
      </c>
      <c r="N1385" s="229" t="s">
        <v>424</v>
      </c>
      <c r="O1385" s="229" t="s">
        <v>1003</v>
      </c>
      <c r="P1385" s="231"/>
    </row>
    <row r="1386" spans="1:16" x14ac:dyDescent="0.25">
      <c r="A1386" s="227" t="s">
        <v>3252</v>
      </c>
      <c r="B1386" s="228"/>
      <c r="C1386" s="228" t="s">
        <v>1674</v>
      </c>
      <c r="D1386" s="228" t="s">
        <v>239</v>
      </c>
      <c r="E1386" s="229"/>
      <c r="F1386" s="229" t="s">
        <v>138</v>
      </c>
      <c r="G1386" s="229"/>
      <c r="H1386" s="229"/>
      <c r="I1386" s="229">
        <v>0</v>
      </c>
      <c r="J1386" s="229">
        <v>0</v>
      </c>
      <c r="K1386" s="230">
        <v>2</v>
      </c>
      <c r="L1386" s="229">
        <v>1</v>
      </c>
      <c r="M1386" s="229">
        <v>0</v>
      </c>
      <c r="N1386" s="229" t="s">
        <v>424</v>
      </c>
      <c r="O1386" s="229" t="s">
        <v>1003</v>
      </c>
      <c r="P1386" s="231"/>
    </row>
    <row r="1387" spans="1:16" x14ac:dyDescent="0.25">
      <c r="A1387" s="227" t="s">
        <v>2603</v>
      </c>
      <c r="B1387" s="228" t="s">
        <v>3253</v>
      </c>
      <c r="C1387" s="228" t="s">
        <v>1674</v>
      </c>
      <c r="D1387" s="228" t="s">
        <v>239</v>
      </c>
      <c r="E1387" s="229"/>
      <c r="F1387" s="229" t="s">
        <v>138</v>
      </c>
      <c r="G1387" s="229"/>
      <c r="H1387" s="229"/>
      <c r="I1387" s="229" t="b">
        <v>0</v>
      </c>
      <c r="J1387" s="229" t="b">
        <v>0</v>
      </c>
      <c r="K1387" s="230" t="b">
        <v>1</v>
      </c>
      <c r="L1387" s="229" t="s">
        <v>1883</v>
      </c>
      <c r="M1387" s="229" t="s">
        <v>1883</v>
      </c>
      <c r="N1387" s="229" t="s">
        <v>424</v>
      </c>
      <c r="O1387" s="229" t="s">
        <v>501</v>
      </c>
      <c r="P1387" s="231"/>
    </row>
    <row r="1388" spans="1:16" ht="20.399999999999999" x14ac:dyDescent="0.25">
      <c r="A1388" s="227" t="s">
        <v>4305</v>
      </c>
      <c r="B1388" s="228"/>
      <c r="C1388" s="228" t="s">
        <v>1674</v>
      </c>
      <c r="D1388" s="228" t="s">
        <v>239</v>
      </c>
      <c r="E1388" s="229"/>
      <c r="F1388" s="229" t="s">
        <v>139</v>
      </c>
      <c r="G1388" s="229"/>
      <c r="H1388" s="229"/>
      <c r="I1388" s="229">
        <v>0</v>
      </c>
      <c r="J1388" s="229">
        <v>0</v>
      </c>
      <c r="K1388" s="230">
        <v>4294967295</v>
      </c>
      <c r="L1388" s="229">
        <v>1</v>
      </c>
      <c r="M1388" s="229">
        <v>1</v>
      </c>
      <c r="N1388" s="229" t="s">
        <v>273</v>
      </c>
      <c r="O1388" s="229" t="s">
        <v>321</v>
      </c>
      <c r="P1388" s="231"/>
    </row>
    <row r="1389" spans="1:16" x14ac:dyDescent="0.25">
      <c r="A1389" s="227" t="s">
        <v>4306</v>
      </c>
      <c r="B1389" s="228"/>
      <c r="C1389" s="228" t="s">
        <v>1674</v>
      </c>
      <c r="D1389" s="228" t="s">
        <v>239</v>
      </c>
      <c r="E1389" s="229"/>
      <c r="F1389" s="229" t="s">
        <v>139</v>
      </c>
      <c r="G1389" s="229"/>
      <c r="H1389" s="229"/>
      <c r="I1389" s="229" t="b">
        <v>0</v>
      </c>
      <c r="J1389" s="229" t="b">
        <v>0</v>
      </c>
      <c r="K1389" s="230" t="b">
        <v>1</v>
      </c>
      <c r="L1389" s="229" t="s">
        <v>1883</v>
      </c>
      <c r="M1389" s="229" t="s">
        <v>1883</v>
      </c>
      <c r="N1389" s="229" t="s">
        <v>424</v>
      </c>
      <c r="O1389" s="229" t="s">
        <v>501</v>
      </c>
      <c r="P1389" s="231"/>
    </row>
    <row r="1390" spans="1:16" x14ac:dyDescent="0.25">
      <c r="A1390" s="227" t="s">
        <v>4307</v>
      </c>
      <c r="B1390" s="228"/>
      <c r="C1390" s="228" t="s">
        <v>1674</v>
      </c>
      <c r="D1390" s="228" t="s">
        <v>239</v>
      </c>
      <c r="E1390" s="229"/>
      <c r="F1390" s="229" t="s">
        <v>139</v>
      </c>
      <c r="G1390" s="229"/>
      <c r="H1390" s="229"/>
      <c r="I1390" s="229" t="b">
        <v>0</v>
      </c>
      <c r="J1390" s="229" t="b">
        <v>0</v>
      </c>
      <c r="K1390" s="230" t="b">
        <v>1</v>
      </c>
      <c r="L1390" s="229" t="s">
        <v>1883</v>
      </c>
      <c r="M1390" s="229" t="s">
        <v>1883</v>
      </c>
      <c r="N1390" s="229" t="s">
        <v>424</v>
      </c>
      <c r="O1390" s="229" t="s">
        <v>501</v>
      </c>
      <c r="P1390" s="231"/>
    </row>
    <row r="1391" spans="1:16" x14ac:dyDescent="0.25">
      <c r="A1391" s="227" t="s">
        <v>4308</v>
      </c>
      <c r="B1391" s="228"/>
      <c r="C1391" s="228" t="s">
        <v>1674</v>
      </c>
      <c r="D1391" s="228" t="s">
        <v>239</v>
      </c>
      <c r="E1391" s="229"/>
      <c r="F1391" s="229" t="s">
        <v>139</v>
      </c>
      <c r="G1391" s="229"/>
      <c r="H1391" s="229"/>
      <c r="I1391" s="229" t="b">
        <v>0</v>
      </c>
      <c r="J1391" s="229" t="b">
        <v>0</v>
      </c>
      <c r="K1391" s="230" t="b">
        <v>1</v>
      </c>
      <c r="L1391" s="229" t="s">
        <v>1883</v>
      </c>
      <c r="M1391" s="229" t="s">
        <v>1883</v>
      </c>
      <c r="N1391" s="229" t="s">
        <v>424</v>
      </c>
      <c r="O1391" s="229" t="s">
        <v>501</v>
      </c>
      <c r="P1391" s="231"/>
    </row>
    <row r="1392" spans="1:16" x14ac:dyDescent="0.25">
      <c r="A1392" s="227" t="s">
        <v>4309</v>
      </c>
      <c r="B1392" s="228"/>
      <c r="C1392" s="228" t="s">
        <v>1674</v>
      </c>
      <c r="D1392" s="228" t="s">
        <v>239</v>
      </c>
      <c r="E1392" s="229"/>
      <c r="F1392" s="229" t="s">
        <v>139</v>
      </c>
      <c r="G1392" s="229"/>
      <c r="H1392" s="229"/>
      <c r="I1392" s="229">
        <v>0</v>
      </c>
      <c r="J1392" s="229">
        <v>0</v>
      </c>
      <c r="K1392" s="230">
        <v>65535</v>
      </c>
      <c r="L1392" s="229">
        <v>1</v>
      </c>
      <c r="M1392" s="229">
        <v>1</v>
      </c>
      <c r="N1392" s="229" t="s">
        <v>424</v>
      </c>
      <c r="O1392" s="229" t="s">
        <v>267</v>
      </c>
      <c r="P1392" s="231"/>
    </row>
    <row r="1393" spans="1:16" x14ac:dyDescent="0.25">
      <c r="A1393" s="227" t="s">
        <v>4310</v>
      </c>
      <c r="B1393" s="228"/>
      <c r="C1393" s="228" t="s">
        <v>1674</v>
      </c>
      <c r="D1393" s="228" t="s">
        <v>239</v>
      </c>
      <c r="E1393" s="229"/>
      <c r="F1393" s="229" t="s">
        <v>139</v>
      </c>
      <c r="G1393" s="229"/>
      <c r="H1393" s="229"/>
      <c r="I1393" s="229">
        <v>0</v>
      </c>
      <c r="J1393" s="229">
        <v>0</v>
      </c>
      <c r="K1393" s="230">
        <v>200</v>
      </c>
      <c r="L1393" s="229">
        <v>1</v>
      </c>
      <c r="M1393" s="229">
        <v>1</v>
      </c>
      <c r="N1393" s="229" t="s">
        <v>424</v>
      </c>
      <c r="O1393" s="229" t="s">
        <v>267</v>
      </c>
      <c r="P1393" s="231"/>
    </row>
    <row r="1394" spans="1:16" x14ac:dyDescent="0.25">
      <c r="A1394" s="227" t="s">
        <v>4311</v>
      </c>
      <c r="B1394" s="228"/>
      <c r="C1394" s="228" t="s">
        <v>1674</v>
      </c>
      <c r="D1394" s="228" t="s">
        <v>239</v>
      </c>
      <c r="E1394" s="229"/>
      <c r="F1394" s="229" t="s">
        <v>139</v>
      </c>
      <c r="G1394" s="229"/>
      <c r="H1394" s="229"/>
      <c r="I1394" s="229">
        <v>0</v>
      </c>
      <c r="J1394" s="229">
        <v>0</v>
      </c>
      <c r="K1394" s="230">
        <v>65535</v>
      </c>
      <c r="L1394" s="229">
        <v>1</v>
      </c>
      <c r="M1394" s="229">
        <v>1</v>
      </c>
      <c r="N1394" s="229" t="s">
        <v>424</v>
      </c>
      <c r="O1394" s="229" t="s">
        <v>267</v>
      </c>
      <c r="P1394" s="231"/>
    </row>
    <row r="1395" spans="1:16" x14ac:dyDescent="0.25">
      <c r="A1395" s="227" t="s">
        <v>4312</v>
      </c>
      <c r="B1395" s="228"/>
      <c r="C1395" s="228" t="s">
        <v>1674</v>
      </c>
      <c r="D1395" s="228" t="s">
        <v>239</v>
      </c>
      <c r="E1395" s="229"/>
      <c r="F1395" s="229" t="s">
        <v>139</v>
      </c>
      <c r="G1395" s="229"/>
      <c r="H1395" s="229"/>
      <c r="I1395" s="229">
        <v>0</v>
      </c>
      <c r="J1395" s="229">
        <v>0</v>
      </c>
      <c r="K1395" s="230">
        <v>2</v>
      </c>
      <c r="L1395" s="229">
        <v>1</v>
      </c>
      <c r="M1395" s="229">
        <v>0</v>
      </c>
      <c r="N1395" s="229" t="s">
        <v>424</v>
      </c>
      <c r="O1395" s="229" t="s">
        <v>1003</v>
      </c>
      <c r="P1395" s="231"/>
    </row>
    <row r="1396" spans="1:16" x14ac:dyDescent="0.25">
      <c r="A1396" s="227" t="s">
        <v>4313</v>
      </c>
      <c r="B1396" s="228"/>
      <c r="C1396" s="228" t="s">
        <v>1674</v>
      </c>
      <c r="D1396" s="228" t="s">
        <v>239</v>
      </c>
      <c r="E1396" s="229"/>
      <c r="F1396" s="229" t="s">
        <v>139</v>
      </c>
      <c r="G1396" s="229"/>
      <c r="H1396" s="229"/>
      <c r="I1396" s="229">
        <v>0</v>
      </c>
      <c r="J1396" s="229">
        <v>0</v>
      </c>
      <c r="K1396" s="230">
        <v>3</v>
      </c>
      <c r="L1396" s="229">
        <v>1</v>
      </c>
      <c r="M1396" s="229">
        <v>0</v>
      </c>
      <c r="N1396" s="229" t="s">
        <v>424</v>
      </c>
      <c r="O1396" s="229" t="s">
        <v>1003</v>
      </c>
      <c r="P1396" s="231"/>
    </row>
    <row r="1397" spans="1:16" x14ac:dyDescent="0.25">
      <c r="A1397" s="227" t="s">
        <v>4314</v>
      </c>
      <c r="B1397" s="228" t="s">
        <v>3254</v>
      </c>
      <c r="C1397" s="228" t="s">
        <v>1674</v>
      </c>
      <c r="D1397" s="228" t="s">
        <v>239</v>
      </c>
      <c r="E1397" s="229"/>
      <c r="F1397" s="229" t="s">
        <v>141</v>
      </c>
      <c r="G1397" s="229"/>
      <c r="H1397" s="229"/>
      <c r="I1397" s="229">
        <v>0</v>
      </c>
      <c r="J1397" s="229">
        <v>0</v>
      </c>
      <c r="K1397" s="230">
        <v>65535</v>
      </c>
      <c r="L1397" s="229">
        <v>1</v>
      </c>
      <c r="M1397" s="229">
        <v>0</v>
      </c>
      <c r="N1397" s="229" t="s">
        <v>424</v>
      </c>
      <c r="O1397" s="229" t="s">
        <v>267</v>
      </c>
      <c r="P1397" s="231"/>
    </row>
    <row r="1398" spans="1:16" x14ac:dyDescent="0.25">
      <c r="A1398" s="227" t="s">
        <v>3255</v>
      </c>
      <c r="B1398" s="228" t="s">
        <v>3256</v>
      </c>
      <c r="C1398" s="228" t="s">
        <v>1674</v>
      </c>
      <c r="D1398" s="228" t="s">
        <v>239</v>
      </c>
      <c r="E1398" s="229" t="s">
        <v>3257</v>
      </c>
      <c r="F1398" s="229" t="s">
        <v>136</v>
      </c>
      <c r="G1398" s="229" t="s">
        <v>82</v>
      </c>
      <c r="H1398" s="229"/>
      <c r="I1398" s="229">
        <v>0</v>
      </c>
      <c r="J1398" s="229">
        <v>0</v>
      </c>
      <c r="K1398" s="230">
        <v>200000</v>
      </c>
      <c r="L1398" s="229">
        <v>1</v>
      </c>
      <c r="M1398" s="229" t="s">
        <v>424</v>
      </c>
      <c r="N1398" s="229" t="s">
        <v>321</v>
      </c>
      <c r="O1398" s="229" t="s">
        <v>321</v>
      </c>
      <c r="P1398" s="231"/>
    </row>
    <row r="1399" spans="1:16" x14ac:dyDescent="0.25">
      <c r="A1399" s="227" t="s">
        <v>3258</v>
      </c>
      <c r="B1399" s="228" t="s">
        <v>3259</v>
      </c>
      <c r="C1399" s="228" t="s">
        <v>1674</v>
      </c>
      <c r="D1399" s="228" t="s">
        <v>239</v>
      </c>
      <c r="E1399" s="229" t="s">
        <v>3257</v>
      </c>
      <c r="F1399" s="229" t="s">
        <v>136</v>
      </c>
      <c r="G1399" s="229" t="s">
        <v>82</v>
      </c>
      <c r="H1399" s="229"/>
      <c r="I1399" s="229">
        <v>0</v>
      </c>
      <c r="J1399" s="229">
        <v>0</v>
      </c>
      <c r="K1399" s="230">
        <v>200000</v>
      </c>
      <c r="L1399" s="229">
        <v>1</v>
      </c>
      <c r="M1399" s="229" t="s">
        <v>424</v>
      </c>
      <c r="N1399" s="229" t="s">
        <v>321</v>
      </c>
      <c r="O1399" s="229" t="s">
        <v>321</v>
      </c>
      <c r="P1399" s="231"/>
    </row>
    <row r="1400" spans="1:16" x14ac:dyDescent="0.25">
      <c r="A1400" s="227" t="s">
        <v>3260</v>
      </c>
      <c r="B1400" s="228" t="s">
        <v>3261</v>
      </c>
      <c r="C1400" s="228" t="s">
        <v>1674</v>
      </c>
      <c r="D1400" s="228" t="s">
        <v>239</v>
      </c>
      <c r="E1400" s="229" t="s">
        <v>3257</v>
      </c>
      <c r="F1400" s="229" t="s">
        <v>136</v>
      </c>
      <c r="G1400" s="229" t="s">
        <v>82</v>
      </c>
      <c r="H1400" s="229"/>
      <c r="I1400" s="229">
        <v>0</v>
      </c>
      <c r="J1400" s="229">
        <v>0</v>
      </c>
      <c r="K1400" s="230">
        <v>200000</v>
      </c>
      <c r="L1400" s="229">
        <v>1</v>
      </c>
      <c r="M1400" s="229" t="s">
        <v>424</v>
      </c>
      <c r="N1400" s="229" t="s">
        <v>321</v>
      </c>
      <c r="O1400" s="229" t="s">
        <v>321</v>
      </c>
      <c r="P1400" s="231"/>
    </row>
    <row r="1401" spans="1:16" x14ac:dyDescent="0.25">
      <c r="A1401" s="227" t="s">
        <v>3262</v>
      </c>
      <c r="B1401" s="228" t="s">
        <v>3263</v>
      </c>
      <c r="C1401" s="228" t="s">
        <v>1674</v>
      </c>
      <c r="D1401" s="228" t="s">
        <v>239</v>
      </c>
      <c r="E1401" s="229" t="s">
        <v>3264</v>
      </c>
      <c r="F1401" s="229" t="s">
        <v>136</v>
      </c>
      <c r="G1401" s="229" t="s">
        <v>82</v>
      </c>
      <c r="H1401" s="229"/>
      <c r="I1401" s="229">
        <v>0</v>
      </c>
      <c r="J1401" s="229">
        <v>0</v>
      </c>
      <c r="K1401" s="230">
        <v>200000</v>
      </c>
      <c r="L1401" s="229">
        <v>1</v>
      </c>
      <c r="M1401" s="229" t="s">
        <v>424</v>
      </c>
      <c r="N1401" s="229" t="s">
        <v>321</v>
      </c>
      <c r="O1401" s="229" t="s">
        <v>321</v>
      </c>
      <c r="P1401" s="231"/>
    </row>
    <row r="1402" spans="1:16" x14ac:dyDescent="0.25">
      <c r="A1402" s="227" t="s">
        <v>3265</v>
      </c>
      <c r="B1402" s="228" t="s">
        <v>3266</v>
      </c>
      <c r="C1402" s="228" t="s">
        <v>1674</v>
      </c>
      <c r="D1402" s="228" t="s">
        <v>239</v>
      </c>
      <c r="E1402" s="229" t="s">
        <v>3264</v>
      </c>
      <c r="F1402" s="229" t="s">
        <v>136</v>
      </c>
      <c r="G1402" s="229" t="s">
        <v>82</v>
      </c>
      <c r="H1402" s="229"/>
      <c r="I1402" s="229">
        <v>0</v>
      </c>
      <c r="J1402" s="229">
        <v>0</v>
      </c>
      <c r="K1402" s="230">
        <v>200000</v>
      </c>
      <c r="L1402" s="229">
        <v>1</v>
      </c>
      <c r="M1402" s="229" t="s">
        <v>424</v>
      </c>
      <c r="N1402" s="229" t="s">
        <v>321</v>
      </c>
      <c r="O1402" s="229" t="s">
        <v>321</v>
      </c>
      <c r="P1402" s="231"/>
    </row>
    <row r="1403" spans="1:16" x14ac:dyDescent="0.25">
      <c r="A1403" s="227" t="s">
        <v>3267</v>
      </c>
      <c r="B1403" s="228" t="s">
        <v>3268</v>
      </c>
      <c r="C1403" s="228" t="s">
        <v>1674</v>
      </c>
      <c r="D1403" s="228" t="s">
        <v>239</v>
      </c>
      <c r="E1403" s="229" t="s">
        <v>3264</v>
      </c>
      <c r="F1403" s="229" t="s">
        <v>136</v>
      </c>
      <c r="G1403" s="229" t="s">
        <v>82</v>
      </c>
      <c r="H1403" s="229"/>
      <c r="I1403" s="229">
        <v>0</v>
      </c>
      <c r="J1403" s="229">
        <v>0</v>
      </c>
      <c r="K1403" s="230">
        <v>200000</v>
      </c>
      <c r="L1403" s="229">
        <v>1</v>
      </c>
      <c r="M1403" s="229" t="s">
        <v>424</v>
      </c>
      <c r="N1403" s="229" t="s">
        <v>321</v>
      </c>
      <c r="O1403" s="229" t="s">
        <v>321</v>
      </c>
      <c r="P1403" s="231"/>
    </row>
    <row r="1404" spans="1:16" ht="26.4" x14ac:dyDescent="0.25">
      <c r="A1404" s="227" t="s">
        <v>4315</v>
      </c>
      <c r="B1404" s="228" t="s">
        <v>1883</v>
      </c>
      <c r="C1404" s="228" t="s">
        <v>1674</v>
      </c>
      <c r="D1404" s="228" t="s">
        <v>239</v>
      </c>
      <c r="E1404" s="229" t="s">
        <v>3269</v>
      </c>
      <c r="F1404" s="229" t="s">
        <v>139</v>
      </c>
      <c r="G1404" s="229" t="s">
        <v>82</v>
      </c>
      <c r="H1404" s="229"/>
      <c r="I1404" s="229">
        <v>-262136</v>
      </c>
      <c r="J1404" s="229">
        <v>262136</v>
      </c>
      <c r="K1404" s="230">
        <v>1.2210000000000001E-4</v>
      </c>
      <c r="L1404" s="229">
        <v>8</v>
      </c>
      <c r="M1404" s="229" t="s">
        <v>424</v>
      </c>
      <c r="N1404" s="229" t="s">
        <v>3270</v>
      </c>
      <c r="O1404" s="229" t="s">
        <v>3270</v>
      </c>
      <c r="P1404" s="231"/>
    </row>
    <row r="1405" spans="1:16" ht="39.6" x14ac:dyDescent="0.25">
      <c r="A1405" s="227" t="s">
        <v>4316</v>
      </c>
      <c r="B1405" s="228" t="s">
        <v>3271</v>
      </c>
      <c r="C1405" s="228" t="s">
        <v>1674</v>
      </c>
      <c r="D1405" s="228" t="s">
        <v>239</v>
      </c>
      <c r="E1405" s="229" t="s">
        <v>3272</v>
      </c>
      <c r="F1405" s="229" t="s">
        <v>139</v>
      </c>
      <c r="G1405" s="229" t="s">
        <v>82</v>
      </c>
      <c r="H1405" s="229"/>
      <c r="I1405" s="229">
        <v>0</v>
      </c>
      <c r="J1405" s="229">
        <v>0</v>
      </c>
      <c r="K1405" s="230">
        <v>100</v>
      </c>
      <c r="L1405" s="229">
        <v>1</v>
      </c>
      <c r="M1405" s="229">
        <v>1</v>
      </c>
      <c r="N1405" s="229" t="s">
        <v>424</v>
      </c>
      <c r="O1405" s="229" t="s">
        <v>1003</v>
      </c>
      <c r="P1405" s="231"/>
    </row>
    <row r="1406" spans="1:16" ht="39.6" x14ac:dyDescent="0.25">
      <c r="A1406" s="227" t="s">
        <v>4317</v>
      </c>
      <c r="B1406" s="228" t="s">
        <v>3273</v>
      </c>
      <c r="C1406" s="228" t="s">
        <v>1674</v>
      </c>
      <c r="D1406" s="228" t="s">
        <v>239</v>
      </c>
      <c r="E1406" s="229" t="s">
        <v>3274</v>
      </c>
      <c r="F1406" s="229" t="s">
        <v>139</v>
      </c>
      <c r="G1406" s="229" t="s">
        <v>82</v>
      </c>
      <c r="H1406" s="229"/>
      <c r="I1406" s="229">
        <v>0</v>
      </c>
      <c r="J1406" s="229">
        <v>0</v>
      </c>
      <c r="K1406" s="230">
        <v>100</v>
      </c>
      <c r="L1406" s="229">
        <v>1</v>
      </c>
      <c r="M1406" s="229">
        <v>1</v>
      </c>
      <c r="N1406" s="229" t="s">
        <v>424</v>
      </c>
      <c r="O1406" s="229" t="s">
        <v>1003</v>
      </c>
      <c r="P1406" s="231"/>
    </row>
    <row r="1407" spans="1:16" x14ac:dyDescent="0.25">
      <c r="A1407" s="227" t="s">
        <v>3275</v>
      </c>
      <c r="B1407" s="228" t="s">
        <v>3276</v>
      </c>
      <c r="C1407" s="228" t="s">
        <v>1674</v>
      </c>
      <c r="D1407" s="228" t="s">
        <v>239</v>
      </c>
      <c r="E1407" s="229"/>
      <c r="F1407" s="229" t="s">
        <v>136</v>
      </c>
      <c r="G1407" s="229" t="s">
        <v>82</v>
      </c>
      <c r="H1407" s="229"/>
      <c r="I1407" s="229" t="b">
        <v>0</v>
      </c>
      <c r="J1407" s="229" t="b">
        <v>0</v>
      </c>
      <c r="K1407" s="230" t="b">
        <v>1</v>
      </c>
      <c r="L1407" s="229" t="s">
        <v>1883</v>
      </c>
      <c r="M1407" s="229"/>
      <c r="N1407" s="229" t="s">
        <v>424</v>
      </c>
      <c r="O1407" s="229" t="s">
        <v>501</v>
      </c>
      <c r="P1407" s="231"/>
    </row>
    <row r="1408" spans="1:16" x14ac:dyDescent="0.25">
      <c r="A1408" s="227" t="s">
        <v>4318</v>
      </c>
      <c r="B1408" s="228" t="s">
        <v>3277</v>
      </c>
      <c r="C1408" s="228" t="s">
        <v>1674</v>
      </c>
      <c r="D1408" s="228" t="s">
        <v>239</v>
      </c>
      <c r="E1408" s="229"/>
      <c r="F1408" s="229" t="s">
        <v>141</v>
      </c>
      <c r="G1408" s="229" t="s">
        <v>82</v>
      </c>
      <c r="H1408" s="229"/>
      <c r="I1408" s="229">
        <v>0</v>
      </c>
      <c r="J1408" s="229">
        <v>0</v>
      </c>
      <c r="K1408" s="230">
        <v>160000</v>
      </c>
      <c r="L1408" s="229" t="s">
        <v>2244</v>
      </c>
      <c r="M1408" s="229">
        <v>1</v>
      </c>
      <c r="N1408" s="229" t="s">
        <v>424</v>
      </c>
      <c r="O1408" s="229" t="s">
        <v>261</v>
      </c>
      <c r="P1408" s="231"/>
    </row>
    <row r="1409" spans="1:16" x14ac:dyDescent="0.25">
      <c r="A1409" s="227" t="s">
        <v>4319</v>
      </c>
      <c r="B1409" s="228" t="s">
        <v>3278</v>
      </c>
      <c r="C1409" s="228" t="s">
        <v>1674</v>
      </c>
      <c r="D1409" s="228" t="s">
        <v>239</v>
      </c>
      <c r="E1409" s="229"/>
      <c r="F1409" s="229" t="s">
        <v>141</v>
      </c>
      <c r="G1409" s="229" t="s">
        <v>82</v>
      </c>
      <c r="H1409" s="229"/>
      <c r="I1409" s="229">
        <v>0</v>
      </c>
      <c r="J1409" s="229">
        <v>0</v>
      </c>
      <c r="K1409" s="230">
        <v>160000</v>
      </c>
      <c r="L1409" s="229" t="s">
        <v>2244</v>
      </c>
      <c r="M1409" s="229">
        <v>1</v>
      </c>
      <c r="N1409" s="229" t="s">
        <v>424</v>
      </c>
      <c r="O1409" s="229" t="s">
        <v>261</v>
      </c>
      <c r="P1409" s="231"/>
    </row>
    <row r="1410" spans="1:16" x14ac:dyDescent="0.25">
      <c r="A1410" s="227" t="s">
        <v>4320</v>
      </c>
      <c r="B1410" s="228"/>
      <c r="C1410" s="228" t="s">
        <v>1674</v>
      </c>
      <c r="D1410" s="228" t="s">
        <v>239</v>
      </c>
      <c r="E1410" s="229"/>
      <c r="F1410" s="229" t="s">
        <v>139</v>
      </c>
      <c r="G1410" s="229" t="s">
        <v>82</v>
      </c>
      <c r="H1410" s="229"/>
      <c r="I1410" s="229">
        <v>0</v>
      </c>
      <c r="J1410" s="229">
        <v>0</v>
      </c>
      <c r="K1410" s="230">
        <v>86400</v>
      </c>
      <c r="L1410" s="229" t="s">
        <v>2244</v>
      </c>
      <c r="M1410" s="229">
        <v>1</v>
      </c>
      <c r="N1410" s="229" t="s">
        <v>424</v>
      </c>
      <c r="O1410" s="229" t="s">
        <v>261</v>
      </c>
      <c r="P1410" s="231"/>
    </row>
    <row r="1411" spans="1:16" ht="20.399999999999999" x14ac:dyDescent="0.25">
      <c r="A1411" s="227" t="s">
        <v>4056</v>
      </c>
      <c r="B1411" s="228"/>
      <c r="C1411" s="228" t="s">
        <v>1674</v>
      </c>
      <c r="D1411" s="228" t="s">
        <v>239</v>
      </c>
      <c r="E1411" s="229"/>
      <c r="F1411" s="229" t="s">
        <v>136</v>
      </c>
      <c r="G1411" s="229" t="s">
        <v>82</v>
      </c>
      <c r="H1411" s="229"/>
      <c r="I1411" s="229">
        <v>0</v>
      </c>
      <c r="J1411" s="229">
        <v>0</v>
      </c>
      <c r="K1411" s="230">
        <v>0.9999847412109375</v>
      </c>
      <c r="L1411" s="229">
        <v>1.52587890625E-5</v>
      </c>
      <c r="M1411" s="229"/>
      <c r="N1411" s="229" t="s">
        <v>1353</v>
      </c>
      <c r="O1411" s="229" t="s">
        <v>977</v>
      </c>
      <c r="P1411" s="231"/>
    </row>
    <row r="1412" spans="1:16" x14ac:dyDescent="0.25">
      <c r="A1412" s="227" t="s">
        <v>4057</v>
      </c>
      <c r="B1412" s="228"/>
      <c r="C1412" s="228" t="s">
        <v>1674</v>
      </c>
      <c r="D1412" s="228" t="s">
        <v>239</v>
      </c>
      <c r="E1412" s="229"/>
      <c r="F1412" s="229" t="s">
        <v>136</v>
      </c>
      <c r="G1412" s="229" t="s">
        <v>82</v>
      </c>
      <c r="H1412" s="229"/>
      <c r="I1412" s="229">
        <v>0</v>
      </c>
      <c r="J1412" s="229">
        <v>-1536</v>
      </c>
      <c r="K1412" s="230">
        <v>1536</v>
      </c>
      <c r="L1412" s="229">
        <v>1</v>
      </c>
      <c r="M1412" s="229"/>
      <c r="N1412" s="229" t="s">
        <v>424</v>
      </c>
      <c r="O1412" s="229" t="s">
        <v>994</v>
      </c>
      <c r="P1412" s="231"/>
    </row>
    <row r="1413" spans="1:16" x14ac:dyDescent="0.25">
      <c r="A1413" s="227" t="s">
        <v>4058</v>
      </c>
      <c r="B1413" s="228"/>
      <c r="C1413" s="228" t="s">
        <v>1674</v>
      </c>
      <c r="D1413" s="228" t="s">
        <v>239</v>
      </c>
      <c r="E1413" s="229"/>
      <c r="F1413" s="229" t="s">
        <v>136</v>
      </c>
      <c r="G1413" s="229" t="s">
        <v>82</v>
      </c>
      <c r="H1413" s="229"/>
      <c r="I1413" s="229">
        <v>0</v>
      </c>
      <c r="J1413" s="229">
        <v>-1</v>
      </c>
      <c r="K1413" s="230">
        <v>1</v>
      </c>
      <c r="L1413" s="229">
        <v>1.52587890625E-5</v>
      </c>
      <c r="M1413" s="229"/>
      <c r="N1413" s="229" t="s">
        <v>260</v>
      </c>
      <c r="O1413" s="229" t="s">
        <v>261</v>
      </c>
      <c r="P1413" s="231"/>
    </row>
    <row r="1414" spans="1:16" x14ac:dyDescent="0.25">
      <c r="A1414" s="227" t="s">
        <v>3279</v>
      </c>
      <c r="B1414" s="228"/>
      <c r="C1414" s="228" t="s">
        <v>1703</v>
      </c>
      <c r="D1414" s="228" t="s">
        <v>179</v>
      </c>
      <c r="E1414" s="229"/>
      <c r="F1414" s="229" t="s">
        <v>139</v>
      </c>
      <c r="G1414" s="229" t="s">
        <v>82</v>
      </c>
      <c r="H1414" s="229"/>
      <c r="I1414" s="229">
        <v>0</v>
      </c>
      <c r="J1414" s="229" t="s">
        <v>4040</v>
      </c>
      <c r="K1414" s="230">
        <v>65535</v>
      </c>
      <c r="L1414" s="229">
        <v>1</v>
      </c>
      <c r="M1414" s="229"/>
      <c r="N1414" s="229" t="s">
        <v>607</v>
      </c>
      <c r="O1414" s="229" t="s">
        <v>267</v>
      </c>
      <c r="P1414" s="231"/>
    </row>
    <row r="1415" spans="1:16" x14ac:dyDescent="0.25">
      <c r="A1415" s="227" t="s">
        <v>3280</v>
      </c>
      <c r="B1415" s="228"/>
      <c r="C1415" s="228" t="s">
        <v>1703</v>
      </c>
      <c r="D1415" s="228" t="s">
        <v>179</v>
      </c>
      <c r="E1415" s="229"/>
      <c r="F1415" s="229" t="s">
        <v>139</v>
      </c>
      <c r="G1415" s="229" t="s">
        <v>82</v>
      </c>
      <c r="H1415" s="229"/>
      <c r="I1415" s="229">
        <v>0</v>
      </c>
      <c r="J1415" s="229" t="s">
        <v>4040</v>
      </c>
      <c r="K1415" s="230">
        <v>65535</v>
      </c>
      <c r="L1415" s="229">
        <v>1</v>
      </c>
      <c r="M1415" s="229"/>
      <c r="N1415" s="229" t="s">
        <v>607</v>
      </c>
      <c r="O1415" s="229" t="s">
        <v>267</v>
      </c>
      <c r="P1415" s="231"/>
    </row>
    <row r="1416" spans="1:16" x14ac:dyDescent="0.25">
      <c r="A1416" s="227" t="s">
        <v>3281</v>
      </c>
      <c r="B1416" s="228"/>
      <c r="C1416" s="228" t="s">
        <v>1703</v>
      </c>
      <c r="D1416" s="228" t="s">
        <v>179</v>
      </c>
      <c r="E1416" s="229"/>
      <c r="F1416" s="229" t="s">
        <v>139</v>
      </c>
      <c r="G1416" s="229" t="s">
        <v>82</v>
      </c>
      <c r="H1416" s="229"/>
      <c r="I1416" s="229">
        <v>0</v>
      </c>
      <c r="J1416" s="229" t="s">
        <v>4040</v>
      </c>
      <c r="K1416" s="230">
        <v>65535</v>
      </c>
      <c r="L1416" s="229">
        <v>1</v>
      </c>
      <c r="M1416" s="229"/>
      <c r="N1416" s="229" t="s">
        <v>607</v>
      </c>
      <c r="O1416" s="229" t="s">
        <v>267</v>
      </c>
      <c r="P1416" s="231"/>
    </row>
    <row r="1417" spans="1:16" x14ac:dyDescent="0.25">
      <c r="A1417" s="227" t="s">
        <v>3282</v>
      </c>
      <c r="B1417" s="228"/>
      <c r="C1417" s="228" t="s">
        <v>1703</v>
      </c>
      <c r="D1417" s="228" t="s">
        <v>179</v>
      </c>
      <c r="E1417" s="229"/>
      <c r="F1417" s="229" t="s">
        <v>139</v>
      </c>
      <c r="G1417" s="229" t="s">
        <v>82</v>
      </c>
      <c r="H1417" s="229"/>
      <c r="I1417" s="229" t="s">
        <v>3699</v>
      </c>
      <c r="J1417" s="229" t="s">
        <v>4321</v>
      </c>
      <c r="K1417" s="230" t="s">
        <v>4322</v>
      </c>
      <c r="L1417" s="229">
        <v>1.52587890625E-5</v>
      </c>
      <c r="M1417" s="229">
        <v>1.52587890625E-5</v>
      </c>
      <c r="N1417" s="229" t="s">
        <v>1353</v>
      </c>
      <c r="O1417" s="229" t="s">
        <v>267</v>
      </c>
      <c r="P1417" s="231"/>
    </row>
    <row r="1418" spans="1:16" ht="39.6" x14ac:dyDescent="0.25">
      <c r="A1418" s="227" t="s">
        <v>3283</v>
      </c>
      <c r="B1418" s="228"/>
      <c r="C1418" s="228" t="s">
        <v>1703</v>
      </c>
      <c r="D1418" s="228" t="s">
        <v>179</v>
      </c>
      <c r="E1418" s="229" t="s">
        <v>3284</v>
      </c>
      <c r="F1418" s="229" t="s">
        <v>139</v>
      </c>
      <c r="G1418" s="229" t="s">
        <v>82</v>
      </c>
      <c r="H1418" s="229"/>
      <c r="I1418" s="229">
        <v>0</v>
      </c>
      <c r="J1418" s="229">
        <v>0</v>
      </c>
      <c r="K1418" s="230">
        <v>7150</v>
      </c>
      <c r="L1418" s="229">
        <v>1</v>
      </c>
      <c r="M1418" s="229">
        <v>1</v>
      </c>
      <c r="N1418" s="229" t="s">
        <v>607</v>
      </c>
      <c r="O1418" s="229" t="s">
        <v>425</v>
      </c>
      <c r="P1418" s="231"/>
    </row>
    <row r="1419" spans="1:16" ht="39.6" x14ac:dyDescent="0.25">
      <c r="A1419" s="227" t="s">
        <v>3285</v>
      </c>
      <c r="B1419" s="228"/>
      <c r="C1419" s="228" t="s">
        <v>1703</v>
      </c>
      <c r="D1419" s="228" t="s">
        <v>179</v>
      </c>
      <c r="E1419" s="229" t="s">
        <v>3284</v>
      </c>
      <c r="F1419" s="229" t="s">
        <v>139</v>
      </c>
      <c r="G1419" s="229" t="s">
        <v>82</v>
      </c>
      <c r="H1419" s="229"/>
      <c r="I1419" s="229">
        <v>0</v>
      </c>
      <c r="J1419" s="229">
        <v>0</v>
      </c>
      <c r="K1419" s="230">
        <v>7150</v>
      </c>
      <c r="L1419" s="229">
        <v>1</v>
      </c>
      <c r="M1419" s="229">
        <v>1</v>
      </c>
      <c r="N1419" s="229" t="s">
        <v>607</v>
      </c>
      <c r="O1419" s="229" t="s">
        <v>425</v>
      </c>
      <c r="P1419" s="231"/>
    </row>
    <row r="1420" spans="1:16" ht="39.6" x14ac:dyDescent="0.25">
      <c r="A1420" s="227" t="s">
        <v>3286</v>
      </c>
      <c r="B1420" s="228"/>
      <c r="C1420" s="228" t="s">
        <v>1703</v>
      </c>
      <c r="D1420" s="228" t="s">
        <v>179</v>
      </c>
      <c r="E1420" s="229" t="s">
        <v>3284</v>
      </c>
      <c r="F1420" s="229" t="s">
        <v>139</v>
      </c>
      <c r="G1420" s="229" t="s">
        <v>82</v>
      </c>
      <c r="H1420" s="229"/>
      <c r="I1420" s="229">
        <v>0</v>
      </c>
      <c r="J1420" s="229">
        <v>0</v>
      </c>
      <c r="K1420" s="230">
        <v>7150</v>
      </c>
      <c r="L1420" s="229">
        <v>1</v>
      </c>
      <c r="M1420" s="229">
        <v>1</v>
      </c>
      <c r="N1420" s="229" t="s">
        <v>607</v>
      </c>
      <c r="O1420" s="229" t="s">
        <v>425</v>
      </c>
      <c r="P1420" s="231"/>
    </row>
    <row r="1421" spans="1:16" ht="39.6" x14ac:dyDescent="0.25">
      <c r="A1421" s="227" t="s">
        <v>3287</v>
      </c>
      <c r="B1421" s="228" t="s">
        <v>2480</v>
      </c>
      <c r="C1421" s="228" t="s">
        <v>1703</v>
      </c>
      <c r="D1421" s="228" t="s">
        <v>179</v>
      </c>
      <c r="E1421" s="229" t="s">
        <v>2481</v>
      </c>
      <c r="F1421" s="229" t="s">
        <v>139</v>
      </c>
      <c r="G1421" s="229" t="s">
        <v>82</v>
      </c>
      <c r="H1421" s="229"/>
      <c r="I1421" s="229">
        <v>0</v>
      </c>
      <c r="J1421" s="229">
        <v>0</v>
      </c>
      <c r="K1421" s="230">
        <v>7150</v>
      </c>
      <c r="L1421" s="229">
        <v>1</v>
      </c>
      <c r="M1421" s="229">
        <v>1</v>
      </c>
      <c r="N1421" s="229" t="s">
        <v>607</v>
      </c>
      <c r="O1421" s="229" t="s">
        <v>425</v>
      </c>
      <c r="P1421" s="231"/>
    </row>
    <row r="1422" spans="1:16" ht="39.6" x14ac:dyDescent="0.25">
      <c r="A1422" s="227" t="s">
        <v>3288</v>
      </c>
      <c r="B1422" s="228" t="s">
        <v>3289</v>
      </c>
      <c r="C1422" s="228" t="s">
        <v>1703</v>
      </c>
      <c r="D1422" s="228" t="s">
        <v>179</v>
      </c>
      <c r="E1422" s="229" t="s">
        <v>2481</v>
      </c>
      <c r="F1422" s="229" t="s">
        <v>139</v>
      </c>
      <c r="G1422" s="229" t="s">
        <v>82</v>
      </c>
      <c r="H1422" s="229"/>
      <c r="I1422" s="229">
        <v>0</v>
      </c>
      <c r="J1422" s="229">
        <v>0</v>
      </c>
      <c r="K1422" s="230">
        <v>7150</v>
      </c>
      <c r="L1422" s="229">
        <v>1</v>
      </c>
      <c r="M1422" s="229">
        <v>1</v>
      </c>
      <c r="N1422" s="229" t="s">
        <v>607</v>
      </c>
      <c r="O1422" s="229" t="s">
        <v>425</v>
      </c>
      <c r="P1422" s="231"/>
    </row>
    <row r="1423" spans="1:16" ht="39.6" x14ac:dyDescent="0.25">
      <c r="A1423" s="227" t="s">
        <v>3290</v>
      </c>
      <c r="B1423" s="228" t="s">
        <v>3291</v>
      </c>
      <c r="C1423" s="228" t="s">
        <v>1703</v>
      </c>
      <c r="D1423" s="228" t="s">
        <v>179</v>
      </c>
      <c r="E1423" s="229" t="s">
        <v>2481</v>
      </c>
      <c r="F1423" s="229" t="s">
        <v>139</v>
      </c>
      <c r="G1423" s="229" t="s">
        <v>82</v>
      </c>
      <c r="H1423" s="229"/>
      <c r="I1423" s="229">
        <v>0</v>
      </c>
      <c r="J1423" s="229">
        <v>0</v>
      </c>
      <c r="K1423" s="230">
        <v>7150</v>
      </c>
      <c r="L1423" s="229">
        <v>1</v>
      </c>
      <c r="M1423" s="229">
        <v>1</v>
      </c>
      <c r="N1423" s="229" t="s">
        <v>607</v>
      </c>
      <c r="O1423" s="229" t="s">
        <v>425</v>
      </c>
      <c r="P1423" s="231"/>
    </row>
    <row r="1424" spans="1:16" ht="39.6" x14ac:dyDescent="0.25">
      <c r="A1424" s="227" t="s">
        <v>3292</v>
      </c>
      <c r="B1424" s="228"/>
      <c r="C1424" s="228" t="s">
        <v>1703</v>
      </c>
      <c r="D1424" s="228" t="s">
        <v>179</v>
      </c>
      <c r="E1424" s="229" t="s">
        <v>3293</v>
      </c>
      <c r="F1424" s="229" t="s">
        <v>139</v>
      </c>
      <c r="G1424" s="229" t="s">
        <v>82</v>
      </c>
      <c r="H1424" s="229"/>
      <c r="I1424" s="229">
        <v>0</v>
      </c>
      <c r="J1424" s="229">
        <v>2950</v>
      </c>
      <c r="K1424" s="230">
        <v>7150</v>
      </c>
      <c r="L1424" s="229">
        <v>1</v>
      </c>
      <c r="M1424" s="229">
        <v>1</v>
      </c>
      <c r="N1424" s="229" t="s">
        <v>607</v>
      </c>
      <c r="O1424" s="229" t="s">
        <v>267</v>
      </c>
      <c r="P1424" s="231"/>
    </row>
    <row r="1425" spans="1:16" ht="39.6" x14ac:dyDescent="0.25">
      <c r="A1425" s="227" t="s">
        <v>3294</v>
      </c>
      <c r="B1425" s="228" t="s">
        <v>2482</v>
      </c>
      <c r="C1425" s="228" t="s">
        <v>1703</v>
      </c>
      <c r="D1425" s="228" t="s">
        <v>179</v>
      </c>
      <c r="E1425" s="229" t="s">
        <v>3295</v>
      </c>
      <c r="F1425" s="229" t="s">
        <v>139</v>
      </c>
      <c r="G1425" s="229" t="s">
        <v>82</v>
      </c>
      <c r="H1425" s="229"/>
      <c r="I1425" s="229">
        <v>0</v>
      </c>
      <c r="J1425" s="229">
        <v>2950</v>
      </c>
      <c r="K1425" s="230">
        <v>7150</v>
      </c>
      <c r="L1425" s="229">
        <v>1</v>
      </c>
      <c r="M1425" s="229">
        <v>1</v>
      </c>
      <c r="N1425" s="229" t="s">
        <v>607</v>
      </c>
      <c r="O1425" s="229" t="s">
        <v>267</v>
      </c>
      <c r="P1425" s="231"/>
    </row>
    <row r="1426" spans="1:16" ht="92.4" x14ac:dyDescent="0.25">
      <c r="A1426" s="227" t="s">
        <v>2920</v>
      </c>
      <c r="B1426" s="228"/>
      <c r="C1426" s="228" t="s">
        <v>1703</v>
      </c>
      <c r="D1426" s="228" t="s">
        <v>179</v>
      </c>
      <c r="E1426" s="229" t="s">
        <v>3296</v>
      </c>
      <c r="F1426" s="229" t="s">
        <v>136</v>
      </c>
      <c r="G1426" s="229" t="s">
        <v>82</v>
      </c>
      <c r="H1426" s="229"/>
      <c r="I1426" s="229">
        <v>0</v>
      </c>
      <c r="J1426" s="229">
        <v>0</v>
      </c>
      <c r="K1426" s="230">
        <v>1</v>
      </c>
      <c r="L1426" s="229">
        <v>1</v>
      </c>
      <c r="M1426" s="229"/>
      <c r="N1426" s="229" t="s">
        <v>607</v>
      </c>
      <c r="O1426" s="229" t="s">
        <v>267</v>
      </c>
      <c r="P1426" s="231"/>
    </row>
    <row r="1427" spans="1:16" ht="92.4" x14ac:dyDescent="0.25">
      <c r="A1427" s="227" t="s">
        <v>3297</v>
      </c>
      <c r="B1427" s="228"/>
      <c r="C1427" s="228" t="s">
        <v>1703</v>
      </c>
      <c r="D1427" s="228" t="s">
        <v>179</v>
      </c>
      <c r="E1427" s="229" t="s">
        <v>3296</v>
      </c>
      <c r="F1427" s="229" t="s">
        <v>136</v>
      </c>
      <c r="G1427" s="229" t="s">
        <v>82</v>
      </c>
      <c r="H1427" s="229"/>
      <c r="I1427" s="229">
        <v>0</v>
      </c>
      <c r="J1427" s="229">
        <v>0</v>
      </c>
      <c r="K1427" s="230">
        <v>1</v>
      </c>
      <c r="L1427" s="229">
        <v>1</v>
      </c>
      <c r="M1427" s="229"/>
      <c r="N1427" s="229" t="s">
        <v>607</v>
      </c>
      <c r="O1427" s="229" t="s">
        <v>267</v>
      </c>
      <c r="P1427" s="231"/>
    </row>
    <row r="1428" spans="1:16" ht="92.4" x14ac:dyDescent="0.25">
      <c r="A1428" s="227" t="s">
        <v>2919</v>
      </c>
      <c r="B1428" s="228"/>
      <c r="C1428" s="228" t="s">
        <v>1703</v>
      </c>
      <c r="D1428" s="228" t="s">
        <v>179</v>
      </c>
      <c r="E1428" s="229" t="s">
        <v>3296</v>
      </c>
      <c r="F1428" s="229" t="s">
        <v>136</v>
      </c>
      <c r="G1428" s="229" t="s">
        <v>82</v>
      </c>
      <c r="H1428" s="229"/>
      <c r="I1428" s="229">
        <v>0</v>
      </c>
      <c r="J1428" s="229">
        <v>0</v>
      </c>
      <c r="K1428" s="230">
        <v>1</v>
      </c>
      <c r="L1428" s="229">
        <v>1</v>
      </c>
      <c r="M1428" s="229"/>
      <c r="N1428" s="229" t="s">
        <v>607</v>
      </c>
      <c r="O1428" s="229" t="s">
        <v>267</v>
      </c>
      <c r="P1428" s="231"/>
    </row>
    <row r="1429" spans="1:16" ht="52.8" x14ac:dyDescent="0.25">
      <c r="A1429" s="227" t="s">
        <v>3298</v>
      </c>
      <c r="B1429" s="228"/>
      <c r="C1429" s="228" t="s">
        <v>1703</v>
      </c>
      <c r="D1429" s="228" t="s">
        <v>179</v>
      </c>
      <c r="E1429" s="229" t="s">
        <v>3299</v>
      </c>
      <c r="F1429" s="229" t="s">
        <v>138</v>
      </c>
      <c r="G1429" s="229" t="s">
        <v>82</v>
      </c>
      <c r="H1429" s="229"/>
      <c r="I1429" s="229" t="s">
        <v>2629</v>
      </c>
      <c r="J1429" s="229">
        <v>0</v>
      </c>
      <c r="K1429" s="230">
        <v>200000</v>
      </c>
      <c r="L1429" s="229">
        <v>1</v>
      </c>
      <c r="M1429" s="229">
        <v>1</v>
      </c>
      <c r="N1429" s="229" t="s">
        <v>607</v>
      </c>
      <c r="O1429" s="229" t="s">
        <v>321</v>
      </c>
      <c r="P1429" s="231"/>
    </row>
    <row r="1430" spans="1:16" ht="52.8" x14ac:dyDescent="0.25">
      <c r="A1430" s="227" t="s">
        <v>3300</v>
      </c>
      <c r="B1430" s="228"/>
      <c r="C1430" s="228" t="s">
        <v>1703</v>
      </c>
      <c r="D1430" s="228" t="s">
        <v>179</v>
      </c>
      <c r="E1430" s="229" t="s">
        <v>3299</v>
      </c>
      <c r="F1430" s="229" t="s">
        <v>138</v>
      </c>
      <c r="G1430" s="229" t="s">
        <v>82</v>
      </c>
      <c r="H1430" s="229"/>
      <c r="I1430" s="229" t="s">
        <v>2629</v>
      </c>
      <c r="J1430" s="229">
        <v>0</v>
      </c>
      <c r="K1430" s="230">
        <v>200000</v>
      </c>
      <c r="L1430" s="229">
        <v>1</v>
      </c>
      <c r="M1430" s="229">
        <v>1</v>
      </c>
      <c r="N1430" s="229" t="s">
        <v>607</v>
      </c>
      <c r="O1430" s="229" t="s">
        <v>321</v>
      </c>
      <c r="P1430" s="231"/>
    </row>
    <row r="1431" spans="1:16" ht="52.8" x14ac:dyDescent="0.25">
      <c r="A1431" s="227" t="s">
        <v>3301</v>
      </c>
      <c r="B1431" s="228"/>
      <c r="C1431" s="228" t="s">
        <v>1703</v>
      </c>
      <c r="D1431" s="228" t="s">
        <v>179</v>
      </c>
      <c r="E1431" s="229" t="s">
        <v>3299</v>
      </c>
      <c r="F1431" s="229" t="s">
        <v>138</v>
      </c>
      <c r="G1431" s="229" t="s">
        <v>82</v>
      </c>
      <c r="H1431" s="229"/>
      <c r="I1431" s="229" t="s">
        <v>2629</v>
      </c>
      <c r="J1431" s="229">
        <v>0</v>
      </c>
      <c r="K1431" s="230">
        <v>200000</v>
      </c>
      <c r="L1431" s="229">
        <v>1</v>
      </c>
      <c r="M1431" s="229">
        <v>1</v>
      </c>
      <c r="N1431" s="229" t="s">
        <v>607</v>
      </c>
      <c r="O1431" s="229" t="s">
        <v>321</v>
      </c>
      <c r="P1431" s="231"/>
    </row>
    <row r="1432" spans="1:16" ht="26.4" x14ac:dyDescent="0.25">
      <c r="A1432" s="227" t="s">
        <v>3302</v>
      </c>
      <c r="B1432" s="228"/>
      <c r="C1432" s="228" t="s">
        <v>1703</v>
      </c>
      <c r="D1432" s="228" t="s">
        <v>179</v>
      </c>
      <c r="E1432" s="229" t="s">
        <v>3303</v>
      </c>
      <c r="F1432" s="229" t="s">
        <v>138</v>
      </c>
      <c r="G1432" s="229" t="s">
        <v>82</v>
      </c>
      <c r="H1432" s="229"/>
      <c r="I1432" s="229" t="s">
        <v>2629</v>
      </c>
      <c r="J1432" s="229">
        <v>0</v>
      </c>
      <c r="K1432" s="230">
        <v>200000</v>
      </c>
      <c r="L1432" s="229">
        <v>1</v>
      </c>
      <c r="M1432" s="229">
        <v>1</v>
      </c>
      <c r="N1432" s="229" t="s">
        <v>607</v>
      </c>
      <c r="O1432" s="229" t="s">
        <v>321</v>
      </c>
      <c r="P1432" s="231"/>
    </row>
    <row r="1433" spans="1:16" ht="52.8" x14ac:dyDescent="0.25">
      <c r="A1433" s="227" t="s">
        <v>3304</v>
      </c>
      <c r="B1433" s="228" t="s">
        <v>3305</v>
      </c>
      <c r="C1433" s="228" t="s">
        <v>1703</v>
      </c>
      <c r="D1433" s="228" t="s">
        <v>179</v>
      </c>
      <c r="E1433" s="229" t="s">
        <v>3306</v>
      </c>
      <c r="F1433" s="229" t="s">
        <v>138</v>
      </c>
      <c r="G1433" s="229" t="s">
        <v>82</v>
      </c>
      <c r="H1433" s="229"/>
      <c r="I1433" s="229" t="s">
        <v>2629</v>
      </c>
      <c r="J1433" s="229">
        <v>0</v>
      </c>
      <c r="K1433" s="230">
        <v>4095</v>
      </c>
      <c r="L1433" s="229">
        <v>1</v>
      </c>
      <c r="M1433" s="229">
        <v>1</v>
      </c>
      <c r="N1433" s="229" t="s">
        <v>607</v>
      </c>
      <c r="O1433" s="229" t="s">
        <v>267</v>
      </c>
      <c r="P1433" s="231"/>
    </row>
    <row r="1434" spans="1:16" ht="52.8" x14ac:dyDescent="0.25">
      <c r="A1434" s="227" t="s">
        <v>3307</v>
      </c>
      <c r="B1434" s="228" t="s">
        <v>3308</v>
      </c>
      <c r="C1434" s="228" t="s">
        <v>1703</v>
      </c>
      <c r="D1434" s="228" t="s">
        <v>179</v>
      </c>
      <c r="E1434" s="229" t="s">
        <v>3306</v>
      </c>
      <c r="F1434" s="229" t="s">
        <v>138</v>
      </c>
      <c r="G1434" s="229" t="s">
        <v>82</v>
      </c>
      <c r="H1434" s="229"/>
      <c r="I1434" s="229" t="s">
        <v>2629</v>
      </c>
      <c r="J1434" s="229">
        <v>0</v>
      </c>
      <c r="K1434" s="230">
        <v>4095</v>
      </c>
      <c r="L1434" s="229">
        <v>1</v>
      </c>
      <c r="M1434" s="229">
        <v>1</v>
      </c>
      <c r="N1434" s="229" t="s">
        <v>607</v>
      </c>
      <c r="O1434" s="229" t="s">
        <v>267</v>
      </c>
      <c r="P1434" s="231"/>
    </row>
    <row r="1435" spans="1:16" ht="52.8" x14ac:dyDescent="0.25">
      <c r="A1435" s="227" t="s">
        <v>3309</v>
      </c>
      <c r="B1435" s="228" t="s">
        <v>3310</v>
      </c>
      <c r="C1435" s="228" t="s">
        <v>1703</v>
      </c>
      <c r="D1435" s="228" t="s">
        <v>179</v>
      </c>
      <c r="E1435" s="229" t="s">
        <v>3306</v>
      </c>
      <c r="F1435" s="229" t="s">
        <v>138</v>
      </c>
      <c r="G1435" s="229" t="s">
        <v>82</v>
      </c>
      <c r="H1435" s="229"/>
      <c r="I1435" s="229" t="s">
        <v>2629</v>
      </c>
      <c r="J1435" s="229">
        <v>0</v>
      </c>
      <c r="K1435" s="230">
        <v>4095</v>
      </c>
      <c r="L1435" s="229">
        <v>1</v>
      </c>
      <c r="M1435" s="229">
        <v>1</v>
      </c>
      <c r="N1435" s="229" t="s">
        <v>607</v>
      </c>
      <c r="O1435" s="229" t="s">
        <v>267</v>
      </c>
      <c r="P1435" s="231"/>
    </row>
    <row r="1436" spans="1:16" ht="52.8" x14ac:dyDescent="0.25">
      <c r="A1436" s="227" t="s">
        <v>3311</v>
      </c>
      <c r="B1436" s="228" t="s">
        <v>3312</v>
      </c>
      <c r="C1436" s="228" t="s">
        <v>1703</v>
      </c>
      <c r="D1436" s="228" t="s">
        <v>179</v>
      </c>
      <c r="E1436" s="229" t="s">
        <v>3313</v>
      </c>
      <c r="F1436" s="229" t="s">
        <v>136</v>
      </c>
      <c r="G1436" s="229" t="s">
        <v>82</v>
      </c>
      <c r="H1436" s="229"/>
      <c r="I1436" s="229" t="s">
        <v>2629</v>
      </c>
      <c r="J1436" s="229">
        <v>0</v>
      </c>
      <c r="K1436" s="230">
        <v>65535</v>
      </c>
      <c r="L1436" s="229">
        <v>1</v>
      </c>
      <c r="M1436" s="229"/>
      <c r="N1436" s="229" t="s">
        <v>607</v>
      </c>
      <c r="O1436" s="229" t="s">
        <v>267</v>
      </c>
      <c r="P1436" s="231"/>
    </row>
    <row r="1437" spans="1:16" ht="39.6" x14ac:dyDescent="0.25">
      <c r="A1437" s="227" t="s">
        <v>3314</v>
      </c>
      <c r="B1437" s="228" t="s">
        <v>3315</v>
      </c>
      <c r="C1437" s="228" t="s">
        <v>1703</v>
      </c>
      <c r="D1437" s="228" t="s">
        <v>179</v>
      </c>
      <c r="E1437" s="229" t="s">
        <v>3316</v>
      </c>
      <c r="F1437" s="229" t="s">
        <v>136</v>
      </c>
      <c r="G1437" s="229" t="s">
        <v>82</v>
      </c>
      <c r="H1437" s="229"/>
      <c r="I1437" s="229" t="s">
        <v>2629</v>
      </c>
      <c r="J1437" s="229">
        <v>0</v>
      </c>
      <c r="K1437" s="230">
        <v>2000</v>
      </c>
      <c r="L1437" s="229">
        <v>1</v>
      </c>
      <c r="M1437" s="229"/>
      <c r="N1437" s="229" t="s">
        <v>607</v>
      </c>
      <c r="O1437" s="229" t="s">
        <v>267</v>
      </c>
      <c r="P1437" s="231"/>
    </row>
    <row r="1438" spans="1:16" ht="26.4" x14ac:dyDescent="0.25">
      <c r="A1438" s="227" t="s">
        <v>3317</v>
      </c>
      <c r="B1438" s="228" t="s">
        <v>2513</v>
      </c>
      <c r="C1438" s="228" t="s">
        <v>1703</v>
      </c>
      <c r="D1438" s="228" t="s">
        <v>179</v>
      </c>
      <c r="E1438" s="229" t="s">
        <v>3318</v>
      </c>
      <c r="F1438" s="229" t="s">
        <v>136</v>
      </c>
      <c r="G1438" s="229" t="s">
        <v>82</v>
      </c>
      <c r="H1438" s="229"/>
      <c r="I1438" s="229" t="s">
        <v>2629</v>
      </c>
      <c r="J1438" s="229">
        <v>0</v>
      </c>
      <c r="K1438" s="230">
        <v>0.9999847412109375</v>
      </c>
      <c r="L1438" s="229">
        <v>1.52587890625E-5</v>
      </c>
      <c r="M1438" s="229"/>
      <c r="N1438" s="229" t="s">
        <v>1353</v>
      </c>
      <c r="O1438" s="229" t="s">
        <v>977</v>
      </c>
      <c r="P1438" s="231"/>
    </row>
    <row r="1439" spans="1:16" x14ac:dyDescent="0.25">
      <c r="A1439" s="227" t="s">
        <v>3319</v>
      </c>
      <c r="B1439" s="228"/>
      <c r="C1439" s="228" t="s">
        <v>1703</v>
      </c>
      <c r="D1439" s="228" t="s">
        <v>179</v>
      </c>
      <c r="E1439" s="229"/>
      <c r="F1439" s="229" t="s">
        <v>136</v>
      </c>
      <c r="G1439" s="229" t="s">
        <v>82</v>
      </c>
      <c r="H1439" s="229"/>
      <c r="I1439" s="229" t="s">
        <v>4041</v>
      </c>
      <c r="J1439" s="229" t="b">
        <v>0</v>
      </c>
      <c r="K1439" s="230" t="b">
        <v>1</v>
      </c>
      <c r="L1439" s="229" t="s">
        <v>1871</v>
      </c>
      <c r="M1439" s="229"/>
      <c r="N1439" s="229" t="s">
        <v>607</v>
      </c>
      <c r="O1439" s="229" t="s">
        <v>1003</v>
      </c>
      <c r="P1439" s="231"/>
    </row>
    <row r="1440" spans="1:16" ht="39.6" x14ac:dyDescent="0.25">
      <c r="A1440" s="227" t="s">
        <v>3320</v>
      </c>
      <c r="B1440" s="228" t="s">
        <v>2293</v>
      </c>
      <c r="C1440" s="228" t="s">
        <v>1703</v>
      </c>
      <c r="D1440" s="228" t="s">
        <v>179</v>
      </c>
      <c r="E1440" s="229" t="s">
        <v>3321</v>
      </c>
      <c r="F1440" s="229" t="s">
        <v>136</v>
      </c>
      <c r="G1440" s="229" t="s">
        <v>82</v>
      </c>
      <c r="H1440" s="229"/>
      <c r="I1440" s="229" t="s">
        <v>2629</v>
      </c>
      <c r="J1440" s="229">
        <v>0</v>
      </c>
      <c r="K1440" s="230">
        <v>0.9999847412109375</v>
      </c>
      <c r="L1440" s="229">
        <v>1.52587890625E-5</v>
      </c>
      <c r="M1440" s="229"/>
      <c r="N1440" s="229" t="s">
        <v>607</v>
      </c>
      <c r="O1440" s="229" t="s">
        <v>3322</v>
      </c>
      <c r="P1440" s="231"/>
    </row>
    <row r="1441" spans="1:16" x14ac:dyDescent="0.25">
      <c r="A1441" s="227" t="s">
        <v>3323</v>
      </c>
      <c r="B1441" s="228"/>
      <c r="C1441" s="228" t="s">
        <v>1703</v>
      </c>
      <c r="D1441" s="228" t="s">
        <v>179</v>
      </c>
      <c r="E1441" s="229"/>
      <c r="F1441" s="229" t="s">
        <v>139</v>
      </c>
      <c r="G1441" s="229" t="s">
        <v>82</v>
      </c>
      <c r="H1441" s="229"/>
      <c r="I1441" s="229" t="s">
        <v>3324</v>
      </c>
      <c r="J1441" s="229">
        <v>0</v>
      </c>
      <c r="K1441" s="230">
        <v>65535</v>
      </c>
      <c r="L1441" s="229">
        <v>1</v>
      </c>
      <c r="M1441" s="229">
        <v>1</v>
      </c>
      <c r="N1441" s="229" t="s">
        <v>607</v>
      </c>
      <c r="O1441" s="229" t="s">
        <v>267</v>
      </c>
      <c r="P1441" s="231"/>
    </row>
    <row r="1442" spans="1:16" x14ac:dyDescent="0.25">
      <c r="A1442" s="227" t="s">
        <v>4323</v>
      </c>
      <c r="B1442" s="228"/>
      <c r="C1442" s="228" t="s">
        <v>1703</v>
      </c>
      <c r="D1442" s="228" t="s">
        <v>179</v>
      </c>
      <c r="E1442" s="229"/>
      <c r="F1442" s="229" t="s">
        <v>139</v>
      </c>
      <c r="G1442" s="229" t="s">
        <v>82</v>
      </c>
      <c r="H1442" s="229"/>
      <c r="I1442" s="229">
        <v>4000</v>
      </c>
      <c r="J1442" s="229">
        <v>4000</v>
      </c>
      <c r="K1442" s="230">
        <v>6666</v>
      </c>
      <c r="L1442" s="229">
        <v>1</v>
      </c>
      <c r="M1442" s="229">
        <v>1</v>
      </c>
      <c r="N1442" s="229" t="s">
        <v>607</v>
      </c>
      <c r="O1442" s="229" t="s">
        <v>267</v>
      </c>
      <c r="P1442" s="231"/>
    </row>
    <row r="1443" spans="1:16" x14ac:dyDescent="0.25">
      <c r="A1443" s="227" t="s">
        <v>4324</v>
      </c>
      <c r="B1443" s="228"/>
      <c r="C1443" s="228" t="s">
        <v>1703</v>
      </c>
      <c r="D1443" s="228" t="s">
        <v>179</v>
      </c>
      <c r="E1443" s="229"/>
      <c r="F1443" s="229" t="s">
        <v>139</v>
      </c>
      <c r="G1443" s="229" t="s">
        <v>82</v>
      </c>
      <c r="H1443" s="229"/>
      <c r="I1443" s="229">
        <v>3333</v>
      </c>
      <c r="J1443" s="229">
        <v>3333</v>
      </c>
      <c r="K1443" s="230">
        <v>5000</v>
      </c>
      <c r="L1443" s="229">
        <v>1</v>
      </c>
      <c r="M1443" s="229">
        <v>1</v>
      </c>
      <c r="N1443" s="229" t="s">
        <v>607</v>
      </c>
      <c r="O1443" s="229" t="s">
        <v>267</v>
      </c>
      <c r="P1443" s="231"/>
    </row>
    <row r="1444" spans="1:16" x14ac:dyDescent="0.25">
      <c r="A1444" s="227" t="s">
        <v>4325</v>
      </c>
      <c r="B1444" s="228"/>
      <c r="C1444" s="228" t="s">
        <v>1703</v>
      </c>
      <c r="D1444" s="228" t="s">
        <v>179</v>
      </c>
      <c r="E1444" s="229"/>
      <c r="F1444" s="229" t="s">
        <v>139</v>
      </c>
      <c r="G1444" s="229" t="s">
        <v>82</v>
      </c>
      <c r="H1444" s="229"/>
      <c r="I1444" s="229">
        <v>666</v>
      </c>
      <c r="J1444" s="229">
        <v>667</v>
      </c>
      <c r="K1444" s="230">
        <v>1666</v>
      </c>
      <c r="L1444" s="229">
        <v>1</v>
      </c>
      <c r="M1444" s="229">
        <v>1</v>
      </c>
      <c r="N1444" s="229" t="s">
        <v>607</v>
      </c>
      <c r="O1444" s="229" t="s">
        <v>267</v>
      </c>
      <c r="P1444" s="231"/>
    </row>
    <row r="1445" spans="1:16" x14ac:dyDescent="0.25">
      <c r="A1445" s="227" t="s">
        <v>4326</v>
      </c>
      <c r="B1445" s="228" t="s">
        <v>4327</v>
      </c>
      <c r="C1445" s="228" t="s">
        <v>1703</v>
      </c>
      <c r="D1445" s="228" t="s">
        <v>179</v>
      </c>
      <c r="E1445" s="229"/>
      <c r="F1445" s="229" t="s">
        <v>138</v>
      </c>
      <c r="G1445" s="229" t="s">
        <v>82</v>
      </c>
      <c r="H1445" s="229"/>
      <c r="I1445" s="229">
        <v>0</v>
      </c>
      <c r="J1445" s="229">
        <v>0</v>
      </c>
      <c r="K1445" s="230">
        <v>7150</v>
      </c>
      <c r="L1445" s="229">
        <v>1</v>
      </c>
      <c r="M1445" s="229">
        <v>1</v>
      </c>
      <c r="N1445" s="229" t="s">
        <v>607</v>
      </c>
      <c r="O1445" s="229" t="s">
        <v>267</v>
      </c>
      <c r="P1445" s="231"/>
    </row>
    <row r="1446" spans="1:16" x14ac:dyDescent="0.25">
      <c r="A1446" s="227" t="s">
        <v>4328</v>
      </c>
      <c r="B1446" s="228" t="s">
        <v>4329</v>
      </c>
      <c r="C1446" s="228" t="s">
        <v>1703</v>
      </c>
      <c r="D1446" s="228"/>
      <c r="E1446" s="229"/>
      <c r="F1446" s="229" t="s">
        <v>138</v>
      </c>
      <c r="G1446" s="229" t="s">
        <v>82</v>
      </c>
      <c r="H1446" s="229"/>
      <c r="I1446" s="229">
        <v>0</v>
      </c>
      <c r="J1446" s="229">
        <v>0</v>
      </c>
      <c r="K1446" s="230">
        <v>7150</v>
      </c>
      <c r="L1446" s="229">
        <v>1</v>
      </c>
      <c r="M1446" s="229">
        <v>1</v>
      </c>
      <c r="N1446" s="229" t="s">
        <v>607</v>
      </c>
      <c r="O1446" s="229" t="s">
        <v>267</v>
      </c>
      <c r="P1446" s="231"/>
    </row>
    <row r="1447" spans="1:16" x14ac:dyDescent="0.25">
      <c r="A1447" s="227" t="s">
        <v>4330</v>
      </c>
      <c r="B1447" s="228"/>
      <c r="C1447" s="228" t="s">
        <v>1703</v>
      </c>
      <c r="D1447" s="228"/>
      <c r="E1447" s="229"/>
      <c r="F1447" s="229" t="s">
        <v>138</v>
      </c>
      <c r="G1447" s="229" t="s">
        <v>82</v>
      </c>
      <c r="H1447" s="229"/>
      <c r="I1447" s="229">
        <v>0</v>
      </c>
      <c r="J1447" s="229">
        <v>0</v>
      </c>
      <c r="K1447" s="230">
        <v>7150</v>
      </c>
      <c r="L1447" s="229">
        <v>1</v>
      </c>
      <c r="M1447" s="229">
        <v>1</v>
      </c>
      <c r="N1447" s="229" t="s">
        <v>607</v>
      </c>
      <c r="O1447" s="229" t="s">
        <v>267</v>
      </c>
      <c r="P1447" s="231"/>
    </row>
    <row r="1448" spans="1:16" x14ac:dyDescent="0.25">
      <c r="A1448" s="227" t="s">
        <v>4991</v>
      </c>
      <c r="B1448" s="228"/>
      <c r="C1448" s="228" t="s">
        <v>1703</v>
      </c>
      <c r="D1448" s="228"/>
      <c r="E1448" s="229"/>
      <c r="F1448" s="229" t="s">
        <v>138</v>
      </c>
      <c r="G1448" s="229" t="s">
        <v>82</v>
      </c>
      <c r="H1448" s="229"/>
      <c r="I1448" s="229">
        <v>3334</v>
      </c>
      <c r="J1448" s="229">
        <v>3333</v>
      </c>
      <c r="K1448" s="230">
        <v>6666</v>
      </c>
      <c r="L1448" s="229">
        <v>1</v>
      </c>
      <c r="M1448" s="229">
        <v>1</v>
      </c>
      <c r="N1448" s="229" t="s">
        <v>607</v>
      </c>
      <c r="O1448" s="229" t="s">
        <v>267</v>
      </c>
      <c r="P1448" s="231"/>
    </row>
    <row r="1449" spans="1:16" x14ac:dyDescent="0.25">
      <c r="A1449" s="227" t="s">
        <v>3829</v>
      </c>
      <c r="B1449" s="228"/>
      <c r="C1449" s="228" t="s">
        <v>3830</v>
      </c>
      <c r="D1449" s="228"/>
      <c r="E1449" s="229"/>
      <c r="F1449" s="229" t="s">
        <v>136</v>
      </c>
      <c r="G1449" s="229"/>
      <c r="H1449" s="229"/>
      <c r="I1449" s="229">
        <v>0</v>
      </c>
      <c r="J1449" s="229">
        <v>-8.8000000000000007</v>
      </c>
      <c r="K1449" s="230">
        <v>8.8000000000000007</v>
      </c>
      <c r="L1449" s="229" t="s">
        <v>1865</v>
      </c>
      <c r="M1449" s="229"/>
      <c r="N1449" s="229" t="s">
        <v>256</v>
      </c>
      <c r="O1449" s="229" t="s">
        <v>261</v>
      </c>
      <c r="P1449" s="231"/>
    </row>
    <row r="1450" spans="1:16" x14ac:dyDescent="0.25">
      <c r="A1450" s="227" t="s">
        <v>3831</v>
      </c>
      <c r="B1450" s="228"/>
      <c r="C1450" s="228" t="s">
        <v>3830</v>
      </c>
      <c r="D1450" s="228"/>
      <c r="E1450" s="229"/>
      <c r="F1450" s="229" t="s">
        <v>136</v>
      </c>
      <c r="G1450" s="229"/>
      <c r="H1450" s="229"/>
      <c r="I1450" s="229">
        <v>0</v>
      </c>
      <c r="J1450" s="229">
        <v>-10</v>
      </c>
      <c r="K1450" s="230">
        <v>10</v>
      </c>
      <c r="L1450" s="229" t="s">
        <v>1865</v>
      </c>
      <c r="M1450" s="229"/>
      <c r="N1450" s="229" t="s">
        <v>265</v>
      </c>
      <c r="O1450" s="229" t="s">
        <v>261</v>
      </c>
      <c r="P1450" s="231"/>
    </row>
    <row r="1451" spans="1:16" x14ac:dyDescent="0.25">
      <c r="A1451" s="227" t="s">
        <v>2555</v>
      </c>
      <c r="B1451" s="228"/>
      <c r="C1451" s="228" t="s">
        <v>3830</v>
      </c>
      <c r="D1451" s="228"/>
      <c r="E1451" s="229"/>
      <c r="F1451" s="229" t="s">
        <v>136</v>
      </c>
      <c r="G1451" s="229"/>
      <c r="H1451" s="229"/>
      <c r="I1451" s="229">
        <v>0</v>
      </c>
      <c r="J1451" s="229" t="b">
        <v>0</v>
      </c>
      <c r="K1451" s="230" t="b">
        <v>1</v>
      </c>
      <c r="L1451" s="229"/>
      <c r="M1451" s="229"/>
      <c r="N1451" s="229" t="s">
        <v>271</v>
      </c>
      <c r="O1451" s="229" t="s">
        <v>501</v>
      </c>
      <c r="P1451" s="231"/>
    </row>
    <row r="1452" spans="1:16" x14ac:dyDescent="0.25">
      <c r="A1452" s="227" t="s">
        <v>1980</v>
      </c>
      <c r="B1452" s="228"/>
      <c r="C1452" s="228" t="s">
        <v>3830</v>
      </c>
      <c r="D1452" s="228"/>
      <c r="E1452" s="229"/>
      <c r="F1452" s="229" t="s">
        <v>136</v>
      </c>
      <c r="G1452" s="229"/>
      <c r="H1452" s="229"/>
      <c r="I1452" s="229">
        <v>0</v>
      </c>
      <c r="J1452" s="229">
        <v>0</v>
      </c>
      <c r="K1452" s="230">
        <v>511.9921875</v>
      </c>
      <c r="L1452" s="229" t="s">
        <v>1865</v>
      </c>
      <c r="M1452" s="229"/>
      <c r="N1452" s="229" t="s">
        <v>311</v>
      </c>
      <c r="O1452" s="229" t="s">
        <v>261</v>
      </c>
      <c r="P1452" s="231"/>
    </row>
    <row r="1453" spans="1:16" x14ac:dyDescent="0.25">
      <c r="A1453" s="227" t="s">
        <v>3832</v>
      </c>
      <c r="B1453" s="228"/>
      <c r="C1453" s="228" t="s">
        <v>3830</v>
      </c>
      <c r="D1453" s="228"/>
      <c r="E1453" s="229"/>
      <c r="F1453" s="229" t="s">
        <v>138</v>
      </c>
      <c r="G1453" s="229"/>
      <c r="H1453" s="229"/>
      <c r="I1453" s="229">
        <v>0</v>
      </c>
      <c r="J1453" s="229">
        <v>-20</v>
      </c>
      <c r="K1453" s="230">
        <v>20</v>
      </c>
      <c r="L1453" s="229" t="s">
        <v>1865</v>
      </c>
      <c r="M1453" s="229">
        <v>4.8828125E-4</v>
      </c>
      <c r="N1453" s="229" t="s">
        <v>256</v>
      </c>
      <c r="O1453" s="229" t="s">
        <v>261</v>
      </c>
      <c r="P1453" s="231"/>
    </row>
    <row r="1454" spans="1:16" x14ac:dyDescent="0.25">
      <c r="A1454" s="227" t="s">
        <v>3833</v>
      </c>
      <c r="B1454" s="228"/>
      <c r="C1454" s="228" t="s">
        <v>3830</v>
      </c>
      <c r="D1454" s="228"/>
      <c r="E1454" s="229"/>
      <c r="F1454" s="229" t="s">
        <v>138</v>
      </c>
      <c r="G1454" s="229"/>
      <c r="H1454" s="229"/>
      <c r="I1454" s="229">
        <v>0</v>
      </c>
      <c r="J1454" s="229">
        <v>-10</v>
      </c>
      <c r="K1454" s="230">
        <v>10</v>
      </c>
      <c r="L1454" s="229" t="s">
        <v>1865</v>
      </c>
      <c r="M1454" s="229">
        <v>3.90625E-3</v>
      </c>
      <c r="N1454" s="229" t="s">
        <v>265</v>
      </c>
      <c r="O1454" s="229" t="s">
        <v>261</v>
      </c>
      <c r="P1454" s="231"/>
    </row>
    <row r="1455" spans="1:16" x14ac:dyDescent="0.25">
      <c r="A1455" s="227" t="s">
        <v>3834</v>
      </c>
      <c r="B1455" s="228"/>
      <c r="C1455" s="228" t="s">
        <v>3830</v>
      </c>
      <c r="D1455" s="228"/>
      <c r="E1455" s="229"/>
      <c r="F1455" s="229" t="s">
        <v>139</v>
      </c>
      <c r="G1455" s="229"/>
      <c r="H1455" s="229"/>
      <c r="I1455" s="229" t="b">
        <v>0</v>
      </c>
      <c r="J1455" s="229" t="b">
        <v>0</v>
      </c>
      <c r="K1455" s="230" t="b">
        <v>1</v>
      </c>
      <c r="L1455" s="229"/>
      <c r="M1455" s="229">
        <v>0</v>
      </c>
      <c r="N1455" s="229" t="s">
        <v>271</v>
      </c>
      <c r="O1455" s="229" t="s">
        <v>501</v>
      </c>
      <c r="P1455" s="231"/>
    </row>
    <row r="1456" spans="1:16" x14ac:dyDescent="0.25">
      <c r="A1456" s="227" t="s">
        <v>3835</v>
      </c>
      <c r="B1456" s="228"/>
      <c r="C1456" s="228" t="s">
        <v>3830</v>
      </c>
      <c r="D1456" s="228"/>
      <c r="E1456" s="229"/>
      <c r="F1456" s="229" t="s">
        <v>139</v>
      </c>
      <c r="G1456" s="229"/>
      <c r="H1456" s="229"/>
      <c r="I1456" s="229">
        <v>0</v>
      </c>
      <c r="J1456" s="229">
        <v>0</v>
      </c>
      <c r="K1456" s="230" t="s">
        <v>909</v>
      </c>
      <c r="L1456" s="229">
        <v>1</v>
      </c>
      <c r="M1456" s="229">
        <v>0</v>
      </c>
      <c r="N1456" s="229" t="s">
        <v>271</v>
      </c>
      <c r="O1456" s="229" t="s">
        <v>267</v>
      </c>
      <c r="P1456" s="231"/>
    </row>
    <row r="1457" spans="1:16" x14ac:dyDescent="0.25">
      <c r="A1457" s="227" t="s">
        <v>3836</v>
      </c>
      <c r="B1457" s="228"/>
      <c r="C1457" s="228" t="s">
        <v>3830</v>
      </c>
      <c r="D1457" s="228"/>
      <c r="E1457" s="229"/>
      <c r="F1457" s="229" t="s">
        <v>139</v>
      </c>
      <c r="G1457" s="229"/>
      <c r="H1457" s="229"/>
      <c r="I1457" s="229">
        <v>3.125E-2</v>
      </c>
      <c r="J1457" s="229">
        <v>3.90625E-3</v>
      </c>
      <c r="K1457" s="230">
        <v>3.125E-2</v>
      </c>
      <c r="L1457" s="229" t="s">
        <v>1865</v>
      </c>
      <c r="M1457" s="229">
        <v>3.125E-2</v>
      </c>
      <c r="N1457" s="229" t="s">
        <v>260</v>
      </c>
      <c r="O1457" s="229" t="s">
        <v>261</v>
      </c>
      <c r="P1457" s="231"/>
    </row>
    <row r="1458" spans="1:16" x14ac:dyDescent="0.25">
      <c r="A1458" s="227" t="s">
        <v>3837</v>
      </c>
      <c r="B1458" s="228"/>
      <c r="C1458" s="228" t="s">
        <v>3830</v>
      </c>
      <c r="D1458" s="228"/>
      <c r="E1458" s="229"/>
      <c r="F1458" s="229" t="s">
        <v>139</v>
      </c>
      <c r="G1458" s="229"/>
      <c r="H1458" s="229"/>
      <c r="I1458" s="229">
        <v>0</v>
      </c>
      <c r="J1458" s="229">
        <v>-10</v>
      </c>
      <c r="K1458" s="230">
        <v>10</v>
      </c>
      <c r="L1458" s="229" t="s">
        <v>1865</v>
      </c>
      <c r="M1458" s="229">
        <v>3.90625E-3</v>
      </c>
      <c r="N1458" s="229" t="s">
        <v>265</v>
      </c>
      <c r="O1458" s="229" t="s">
        <v>261</v>
      </c>
      <c r="P1458" s="231"/>
    </row>
    <row r="1459" spans="1:16" x14ac:dyDescent="0.25">
      <c r="A1459" s="227" t="s">
        <v>3838</v>
      </c>
      <c r="B1459" s="228"/>
      <c r="C1459" s="228" t="s">
        <v>3830</v>
      </c>
      <c r="D1459" s="228"/>
      <c r="E1459" s="229"/>
      <c r="F1459" s="229" t="s">
        <v>139</v>
      </c>
      <c r="G1459" s="229"/>
      <c r="H1459" s="229"/>
      <c r="I1459" s="229">
        <v>0</v>
      </c>
      <c r="J1459" s="229">
        <v>0</v>
      </c>
      <c r="K1459" s="230">
        <v>511.9921875</v>
      </c>
      <c r="L1459" s="229" t="s">
        <v>1865</v>
      </c>
      <c r="M1459" s="229">
        <v>7.8125E-3</v>
      </c>
      <c r="N1459" s="229" t="s">
        <v>311</v>
      </c>
      <c r="O1459" s="229" t="s">
        <v>261</v>
      </c>
      <c r="P1459" s="231"/>
    </row>
    <row r="1460" spans="1:16" x14ac:dyDescent="0.25">
      <c r="A1460" s="227" t="s">
        <v>3839</v>
      </c>
      <c r="B1460" s="228"/>
      <c r="C1460" s="228" t="s">
        <v>3830</v>
      </c>
      <c r="D1460" s="228"/>
      <c r="E1460" s="229"/>
      <c r="F1460" s="229" t="s">
        <v>139</v>
      </c>
      <c r="G1460" s="229"/>
      <c r="H1460" s="229"/>
      <c r="I1460" s="229">
        <v>0</v>
      </c>
      <c r="J1460" s="229">
        <v>0</v>
      </c>
      <c r="K1460" s="230" t="s">
        <v>909</v>
      </c>
      <c r="L1460" s="229">
        <v>1</v>
      </c>
      <c r="M1460" s="229">
        <v>0</v>
      </c>
      <c r="N1460" s="229" t="s">
        <v>273</v>
      </c>
      <c r="O1460" s="229" t="s">
        <v>3840</v>
      </c>
      <c r="P1460" s="231"/>
    </row>
    <row r="1461" spans="1:16" x14ac:dyDescent="0.25">
      <c r="A1461" s="227" t="s">
        <v>3841</v>
      </c>
      <c r="B1461" s="228"/>
      <c r="C1461" s="228" t="s">
        <v>3830</v>
      </c>
      <c r="D1461" s="228"/>
      <c r="E1461" s="229"/>
      <c r="F1461" s="229" t="s">
        <v>139</v>
      </c>
      <c r="G1461" s="229"/>
      <c r="H1461" s="229"/>
      <c r="I1461" s="229">
        <v>0</v>
      </c>
      <c r="J1461" s="229">
        <v>0</v>
      </c>
      <c r="K1461" s="230">
        <v>1</v>
      </c>
      <c r="L1461" s="229" t="s">
        <v>1865</v>
      </c>
      <c r="M1461" s="229">
        <v>1.52587890625E-5</v>
      </c>
      <c r="N1461" s="229" t="s">
        <v>260</v>
      </c>
      <c r="O1461" s="229" t="s">
        <v>261</v>
      </c>
      <c r="P1461" s="231"/>
    </row>
    <row r="1462" spans="1:16" x14ac:dyDescent="0.25">
      <c r="A1462" s="227" t="s">
        <v>3842</v>
      </c>
      <c r="B1462" s="228"/>
      <c r="C1462" s="228" t="s">
        <v>3830</v>
      </c>
      <c r="D1462" s="228"/>
      <c r="E1462" s="229"/>
      <c r="F1462" s="229" t="s">
        <v>139</v>
      </c>
      <c r="G1462" s="229"/>
      <c r="H1462" s="229"/>
      <c r="I1462" s="229">
        <v>0</v>
      </c>
      <c r="J1462" s="229">
        <v>0</v>
      </c>
      <c r="K1462" s="230" t="s">
        <v>909</v>
      </c>
      <c r="L1462" s="229">
        <v>1</v>
      </c>
      <c r="M1462" s="229">
        <v>0</v>
      </c>
      <c r="N1462" s="229" t="s">
        <v>260</v>
      </c>
      <c r="O1462" s="229" t="s">
        <v>3840</v>
      </c>
      <c r="P1462" s="231"/>
    </row>
    <row r="1463" spans="1:16" x14ac:dyDescent="0.25">
      <c r="A1463" s="227" t="s">
        <v>3843</v>
      </c>
      <c r="B1463" s="228"/>
      <c r="C1463" s="228" t="s">
        <v>3830</v>
      </c>
      <c r="D1463" s="228"/>
      <c r="E1463" s="229"/>
      <c r="F1463" s="229" t="s">
        <v>139</v>
      </c>
      <c r="G1463" s="229"/>
      <c r="H1463" s="229"/>
      <c r="I1463" s="229">
        <v>3.90625E-3</v>
      </c>
      <c r="J1463" s="229">
        <v>4.8828125E-4</v>
      </c>
      <c r="K1463" s="230">
        <v>3.90625E-3</v>
      </c>
      <c r="L1463" s="229" t="s">
        <v>1865</v>
      </c>
      <c r="M1463" s="229">
        <v>3.90625E-3</v>
      </c>
      <c r="N1463" s="229" t="s">
        <v>260</v>
      </c>
      <c r="O1463" s="229" t="s">
        <v>261</v>
      </c>
      <c r="P1463" s="231"/>
    </row>
    <row r="1464" spans="1:16" x14ac:dyDescent="0.25">
      <c r="A1464" s="227" t="s">
        <v>3844</v>
      </c>
      <c r="B1464" s="228"/>
      <c r="C1464" s="228" t="s">
        <v>3830</v>
      </c>
      <c r="D1464" s="228"/>
      <c r="E1464" s="229"/>
      <c r="F1464" s="229" t="s">
        <v>139</v>
      </c>
      <c r="G1464" s="229"/>
      <c r="H1464" s="229"/>
      <c r="I1464" s="229">
        <v>0</v>
      </c>
      <c r="J1464" s="229">
        <v>-10</v>
      </c>
      <c r="K1464" s="230">
        <v>10</v>
      </c>
      <c r="L1464" s="229" t="s">
        <v>1865</v>
      </c>
      <c r="M1464" s="229">
        <v>3.90625E-3</v>
      </c>
      <c r="N1464" s="229" t="s">
        <v>265</v>
      </c>
      <c r="O1464" s="229" t="s">
        <v>261</v>
      </c>
      <c r="P1464" s="231"/>
    </row>
    <row r="1465" spans="1:16" x14ac:dyDescent="0.25">
      <c r="A1465" s="227" t="s">
        <v>3845</v>
      </c>
      <c r="B1465" s="228"/>
      <c r="C1465" s="228" t="s">
        <v>3830</v>
      </c>
      <c r="D1465" s="228"/>
      <c r="E1465" s="229"/>
      <c r="F1465" s="229" t="s">
        <v>139</v>
      </c>
      <c r="G1465" s="229"/>
      <c r="H1465" s="229"/>
      <c r="I1465" s="229">
        <v>0</v>
      </c>
      <c r="J1465" s="229">
        <v>0</v>
      </c>
      <c r="K1465" s="230">
        <v>10</v>
      </c>
      <c r="L1465" s="229" t="s">
        <v>2330</v>
      </c>
      <c r="M1465" s="229">
        <v>3.90625E-3</v>
      </c>
      <c r="N1465" s="229" t="s">
        <v>265</v>
      </c>
      <c r="O1465" s="229" t="s">
        <v>414</v>
      </c>
      <c r="P1465" s="231"/>
    </row>
    <row r="1466" spans="1:16" x14ac:dyDescent="0.25">
      <c r="A1466" s="227" t="s">
        <v>3846</v>
      </c>
      <c r="B1466" s="228"/>
      <c r="C1466" s="228" t="s">
        <v>3830</v>
      </c>
      <c r="D1466" s="228"/>
      <c r="E1466" s="229"/>
      <c r="F1466" s="229" t="s">
        <v>139</v>
      </c>
      <c r="G1466" s="229"/>
      <c r="H1466" s="229"/>
      <c r="I1466" s="229">
        <v>0</v>
      </c>
      <c r="J1466" s="229">
        <v>-10</v>
      </c>
      <c r="K1466" s="230">
        <v>10</v>
      </c>
      <c r="L1466" s="229" t="s">
        <v>2330</v>
      </c>
      <c r="M1466" s="229">
        <v>3.90625E-3</v>
      </c>
      <c r="N1466" s="229" t="s">
        <v>265</v>
      </c>
      <c r="O1466" s="229" t="s">
        <v>398</v>
      </c>
      <c r="P1466" s="231"/>
    </row>
    <row r="1467" spans="1:16" x14ac:dyDescent="0.25">
      <c r="A1467" s="227" t="s">
        <v>3847</v>
      </c>
      <c r="B1467" s="228"/>
      <c r="C1467" s="228" t="s">
        <v>3830</v>
      </c>
      <c r="D1467" s="228"/>
      <c r="E1467" s="229"/>
      <c r="F1467" s="229" t="s">
        <v>139</v>
      </c>
      <c r="G1467" s="229"/>
      <c r="H1467" s="229"/>
      <c r="I1467" s="229">
        <v>0</v>
      </c>
      <c r="J1467" s="229">
        <v>0</v>
      </c>
      <c r="K1467" s="230">
        <v>5</v>
      </c>
      <c r="L1467" s="229">
        <v>1</v>
      </c>
      <c r="M1467" s="229">
        <v>0</v>
      </c>
      <c r="N1467" s="229" t="s">
        <v>271</v>
      </c>
      <c r="O1467" s="229" t="s">
        <v>267</v>
      </c>
      <c r="P1467" s="231"/>
    </row>
    <row r="1468" spans="1:16" x14ac:dyDescent="0.25">
      <c r="A1468" s="227" t="s">
        <v>3848</v>
      </c>
      <c r="B1468" s="228"/>
      <c r="C1468" s="228" t="s">
        <v>3830</v>
      </c>
      <c r="D1468" s="228"/>
      <c r="E1468" s="229"/>
      <c r="F1468" s="229" t="s">
        <v>139</v>
      </c>
      <c r="G1468" s="229"/>
      <c r="H1468" s="229"/>
      <c r="I1468" s="229">
        <v>0</v>
      </c>
      <c r="J1468" s="229">
        <v>0</v>
      </c>
      <c r="K1468" s="230">
        <v>100</v>
      </c>
      <c r="L1468" s="229">
        <v>1</v>
      </c>
      <c r="M1468" s="229">
        <v>0</v>
      </c>
      <c r="N1468" s="229" t="s">
        <v>271</v>
      </c>
      <c r="O1468" s="229" t="s">
        <v>267</v>
      </c>
      <c r="P1468" s="231"/>
    </row>
    <row r="1469" spans="1:16" x14ac:dyDescent="0.25">
      <c r="A1469" s="227" t="s">
        <v>3849</v>
      </c>
      <c r="B1469" s="228"/>
      <c r="C1469" s="228" t="s">
        <v>3830</v>
      </c>
      <c r="D1469" s="228"/>
      <c r="E1469" s="229"/>
      <c r="F1469" s="229" t="s">
        <v>139</v>
      </c>
      <c r="G1469" s="229"/>
      <c r="H1469" s="229"/>
      <c r="I1469" s="229">
        <v>0</v>
      </c>
      <c r="J1469" s="229">
        <v>0</v>
      </c>
      <c r="K1469" s="230" t="s">
        <v>909</v>
      </c>
      <c r="L1469" s="229">
        <v>1</v>
      </c>
      <c r="M1469" s="229">
        <v>0</v>
      </c>
      <c r="N1469" s="229" t="s">
        <v>271</v>
      </c>
      <c r="O1469" s="229" t="s">
        <v>267</v>
      </c>
      <c r="P1469" s="231"/>
    </row>
    <row r="1470" spans="1:16" x14ac:dyDescent="0.25">
      <c r="A1470" s="227" t="s">
        <v>3850</v>
      </c>
      <c r="B1470" s="228"/>
      <c r="C1470" s="228" t="s">
        <v>3830</v>
      </c>
      <c r="D1470" s="228"/>
      <c r="E1470" s="229"/>
      <c r="F1470" s="229" t="s">
        <v>139</v>
      </c>
      <c r="G1470" s="229"/>
      <c r="H1470" s="229"/>
      <c r="I1470" s="229">
        <v>0</v>
      </c>
      <c r="J1470" s="229">
        <v>0</v>
      </c>
      <c r="K1470" s="230">
        <v>1.9999694824218699</v>
      </c>
      <c r="L1470" s="229" t="s">
        <v>3851</v>
      </c>
      <c r="M1470" s="229">
        <v>3.0517578125E-5</v>
      </c>
      <c r="N1470" s="229" t="s">
        <v>1027</v>
      </c>
      <c r="O1470" s="229" t="s">
        <v>724</v>
      </c>
      <c r="P1470" s="231"/>
    </row>
    <row r="1471" spans="1:16" x14ac:dyDescent="0.25">
      <c r="A1471" s="227" t="s">
        <v>3852</v>
      </c>
      <c r="B1471" s="228"/>
      <c r="C1471" s="228" t="s">
        <v>3830</v>
      </c>
      <c r="D1471" s="228"/>
      <c r="E1471" s="229"/>
      <c r="F1471" s="229" t="s">
        <v>139</v>
      </c>
      <c r="G1471" s="229"/>
      <c r="H1471" s="229"/>
      <c r="I1471" s="229">
        <v>0</v>
      </c>
      <c r="J1471" s="229">
        <v>-10</v>
      </c>
      <c r="K1471" s="230">
        <v>10</v>
      </c>
      <c r="L1471" s="229" t="s">
        <v>2330</v>
      </c>
      <c r="M1471" s="229">
        <v>3.90625E-3</v>
      </c>
      <c r="N1471" s="229" t="s">
        <v>265</v>
      </c>
      <c r="O1471" s="229" t="s">
        <v>398</v>
      </c>
      <c r="P1471" s="231"/>
    </row>
    <row r="1472" spans="1:16" x14ac:dyDescent="0.25">
      <c r="A1472" s="227" t="s">
        <v>3853</v>
      </c>
      <c r="B1472" s="228"/>
      <c r="C1472" s="228" t="s">
        <v>3830</v>
      </c>
      <c r="D1472" s="228"/>
      <c r="E1472" s="229"/>
      <c r="F1472" s="229" t="s">
        <v>139</v>
      </c>
      <c r="G1472" s="229"/>
      <c r="H1472" s="229"/>
      <c r="I1472" s="229">
        <v>0</v>
      </c>
      <c r="J1472" s="229">
        <v>0</v>
      </c>
      <c r="K1472" s="230">
        <v>10</v>
      </c>
      <c r="L1472" s="229" t="s">
        <v>2330</v>
      </c>
      <c r="M1472" s="229">
        <v>3.90625E-3</v>
      </c>
      <c r="N1472" s="229" t="s">
        <v>265</v>
      </c>
      <c r="O1472" s="229" t="s">
        <v>414</v>
      </c>
      <c r="P1472" s="231"/>
    </row>
    <row r="1473" spans="1:16" x14ac:dyDescent="0.25">
      <c r="A1473" s="227" t="s">
        <v>3854</v>
      </c>
      <c r="B1473" s="228"/>
      <c r="C1473" s="228" t="s">
        <v>3830</v>
      </c>
      <c r="D1473" s="228"/>
      <c r="E1473" s="229"/>
      <c r="F1473" s="229" t="s">
        <v>139</v>
      </c>
      <c r="G1473" s="229"/>
      <c r="H1473" s="229"/>
      <c r="I1473" s="229">
        <v>0</v>
      </c>
      <c r="J1473" s="229">
        <v>-10</v>
      </c>
      <c r="K1473" s="230">
        <v>10</v>
      </c>
      <c r="L1473" s="229" t="s">
        <v>3855</v>
      </c>
      <c r="M1473" s="229">
        <v>3.90625E-3</v>
      </c>
      <c r="N1473" s="229" t="s">
        <v>265</v>
      </c>
      <c r="O1473" s="229" t="s">
        <v>816</v>
      </c>
      <c r="P1473" s="231"/>
    </row>
    <row r="1474" spans="1:16" x14ac:dyDescent="0.25">
      <c r="A1474" s="227" t="s">
        <v>3856</v>
      </c>
      <c r="B1474" s="228"/>
      <c r="C1474" s="228" t="s">
        <v>3830</v>
      </c>
      <c r="D1474" s="228"/>
      <c r="E1474" s="229"/>
      <c r="F1474" s="229" t="s">
        <v>139</v>
      </c>
      <c r="G1474" s="229"/>
      <c r="H1474" s="229"/>
      <c r="I1474" s="229">
        <v>0</v>
      </c>
      <c r="J1474" s="229">
        <v>-10</v>
      </c>
      <c r="K1474" s="230">
        <v>10</v>
      </c>
      <c r="L1474" s="229" t="s">
        <v>3855</v>
      </c>
      <c r="M1474" s="229">
        <v>3.90625E-3</v>
      </c>
      <c r="N1474" s="229" t="s">
        <v>265</v>
      </c>
      <c r="O1474" s="229" t="s">
        <v>816</v>
      </c>
      <c r="P1474" s="231"/>
    </row>
    <row r="1475" spans="1:16" x14ac:dyDescent="0.25">
      <c r="A1475" s="227" t="s">
        <v>3857</v>
      </c>
      <c r="B1475" s="228"/>
      <c r="C1475" s="228" t="s">
        <v>3830</v>
      </c>
      <c r="D1475" s="228"/>
      <c r="E1475" s="229"/>
      <c r="F1475" s="229" t="s">
        <v>139</v>
      </c>
      <c r="G1475" s="229"/>
      <c r="H1475" s="229"/>
      <c r="I1475" s="229">
        <v>0</v>
      </c>
      <c r="J1475" s="229">
        <v>0</v>
      </c>
      <c r="K1475" s="230">
        <v>5</v>
      </c>
      <c r="L1475" s="229">
        <v>1</v>
      </c>
      <c r="M1475" s="229">
        <v>0</v>
      </c>
      <c r="N1475" s="229" t="s">
        <v>271</v>
      </c>
      <c r="O1475" s="229" t="s">
        <v>267</v>
      </c>
      <c r="P1475" s="231"/>
    </row>
    <row r="1476" spans="1:16" x14ac:dyDescent="0.25">
      <c r="A1476" s="227" t="s">
        <v>3858</v>
      </c>
      <c r="B1476" s="228"/>
      <c r="C1476" s="228" t="s">
        <v>3830</v>
      </c>
      <c r="D1476" s="228"/>
      <c r="E1476" s="229"/>
      <c r="F1476" s="229" t="s">
        <v>139</v>
      </c>
      <c r="G1476" s="229"/>
      <c r="H1476" s="229"/>
      <c r="I1476" s="229">
        <v>0</v>
      </c>
      <c r="J1476" s="229">
        <v>-10</v>
      </c>
      <c r="K1476" s="230">
        <v>10</v>
      </c>
      <c r="L1476" s="229" t="s">
        <v>3855</v>
      </c>
      <c r="M1476" s="229">
        <v>3.90625E-3</v>
      </c>
      <c r="N1476" s="229" t="s">
        <v>265</v>
      </c>
      <c r="O1476" s="229" t="s">
        <v>816</v>
      </c>
      <c r="P1476" s="231"/>
    </row>
    <row r="1477" spans="1:16" x14ac:dyDescent="0.25">
      <c r="A1477" s="227" t="s">
        <v>3859</v>
      </c>
      <c r="B1477" s="228"/>
      <c r="C1477" s="228" t="s">
        <v>3830</v>
      </c>
      <c r="D1477" s="228"/>
      <c r="E1477" s="229"/>
      <c r="F1477" s="229" t="s">
        <v>139</v>
      </c>
      <c r="G1477" s="229"/>
      <c r="H1477" s="229"/>
      <c r="I1477" s="229">
        <v>0</v>
      </c>
      <c r="J1477" s="229">
        <v>0</v>
      </c>
      <c r="K1477" s="230">
        <v>127.998046875</v>
      </c>
      <c r="L1477" s="229" t="s">
        <v>3860</v>
      </c>
      <c r="M1477" s="229">
        <v>1.953125E-3</v>
      </c>
      <c r="N1477" s="229" t="s">
        <v>262</v>
      </c>
      <c r="O1477" s="229" t="s">
        <v>1014</v>
      </c>
      <c r="P1477" s="231"/>
    </row>
    <row r="1478" spans="1:16" x14ac:dyDescent="0.25">
      <c r="A1478" s="227" t="s">
        <v>3835</v>
      </c>
      <c r="B1478" s="228"/>
      <c r="C1478" s="228" t="s">
        <v>3830</v>
      </c>
      <c r="D1478" s="228"/>
      <c r="E1478" s="229"/>
      <c r="F1478" s="229" t="s">
        <v>139</v>
      </c>
      <c r="G1478" s="229"/>
      <c r="H1478" s="229"/>
      <c r="I1478" s="229">
        <v>0</v>
      </c>
      <c r="J1478" s="229">
        <v>0</v>
      </c>
      <c r="K1478" s="230" t="s">
        <v>909</v>
      </c>
      <c r="L1478" s="229">
        <v>1</v>
      </c>
      <c r="M1478" s="229">
        <v>0</v>
      </c>
      <c r="N1478" s="229" t="s">
        <v>271</v>
      </c>
      <c r="O1478" s="229" t="s">
        <v>267</v>
      </c>
      <c r="P1478" s="231"/>
    </row>
    <row r="1479" spans="1:16" x14ac:dyDescent="0.25">
      <c r="A1479" s="227" t="s">
        <v>3861</v>
      </c>
      <c r="B1479" s="228"/>
      <c r="C1479" s="228" t="s">
        <v>3830</v>
      </c>
      <c r="D1479" s="228"/>
      <c r="E1479" s="229"/>
      <c r="F1479" s="229" t="s">
        <v>139</v>
      </c>
      <c r="G1479" s="229"/>
      <c r="H1479" s="229"/>
      <c r="I1479" s="229">
        <v>0</v>
      </c>
      <c r="J1479" s="229">
        <v>0</v>
      </c>
      <c r="K1479" s="230">
        <v>1.9999694824218699</v>
      </c>
      <c r="L1479" s="229" t="s">
        <v>3851</v>
      </c>
      <c r="M1479" s="229">
        <v>3.0517578125E-5</v>
      </c>
      <c r="N1479" s="229" t="s">
        <v>1027</v>
      </c>
      <c r="O1479" s="229" t="s">
        <v>724</v>
      </c>
      <c r="P1479" s="231"/>
    </row>
    <row r="1480" spans="1:16" x14ac:dyDescent="0.25">
      <c r="A1480" s="227" t="s">
        <v>3862</v>
      </c>
      <c r="B1480" s="228"/>
      <c r="C1480" s="228" t="s">
        <v>3830</v>
      </c>
      <c r="D1480" s="228"/>
      <c r="E1480" s="229"/>
      <c r="F1480" s="229" t="s">
        <v>139</v>
      </c>
      <c r="G1480" s="229"/>
      <c r="H1480" s="229"/>
      <c r="I1480" s="229" t="b">
        <v>0</v>
      </c>
      <c r="J1480" s="229" t="b">
        <v>0</v>
      </c>
      <c r="K1480" s="230" t="b">
        <v>1</v>
      </c>
      <c r="L1480" s="229"/>
      <c r="M1480" s="229">
        <v>0</v>
      </c>
      <c r="N1480" s="229" t="s">
        <v>271</v>
      </c>
      <c r="O1480" s="229" t="s">
        <v>501</v>
      </c>
      <c r="P1480" s="231"/>
    </row>
    <row r="1481" spans="1:16" x14ac:dyDescent="0.25">
      <c r="A1481" s="227" t="s">
        <v>3863</v>
      </c>
      <c r="B1481" s="228"/>
      <c r="C1481" s="228" t="s">
        <v>3830</v>
      </c>
      <c r="D1481" s="228"/>
      <c r="E1481" s="229"/>
      <c r="F1481" s="229" t="s">
        <v>139</v>
      </c>
      <c r="G1481" s="229"/>
      <c r="H1481" s="229"/>
      <c r="I1481" s="229" t="b">
        <v>0</v>
      </c>
      <c r="J1481" s="229" t="b">
        <v>0</v>
      </c>
      <c r="K1481" s="230" t="b">
        <v>1</v>
      </c>
      <c r="L1481" s="229"/>
      <c r="M1481" s="229">
        <v>0</v>
      </c>
      <c r="N1481" s="229" t="s">
        <v>271</v>
      </c>
      <c r="O1481" s="229" t="s">
        <v>501</v>
      </c>
      <c r="P1481" s="231"/>
    </row>
    <row r="1482" spans="1:16" x14ac:dyDescent="0.25">
      <c r="A1482" s="227" t="s">
        <v>3864</v>
      </c>
      <c r="B1482" s="228"/>
      <c r="C1482" s="228" t="s">
        <v>3830</v>
      </c>
      <c r="D1482" s="228"/>
      <c r="E1482" s="229"/>
      <c r="F1482" s="229" t="s">
        <v>139</v>
      </c>
      <c r="G1482" s="229"/>
      <c r="H1482" s="229"/>
      <c r="I1482" s="229" t="b">
        <v>0</v>
      </c>
      <c r="J1482" s="229" t="b">
        <v>0</v>
      </c>
      <c r="K1482" s="230" t="b">
        <v>1</v>
      </c>
      <c r="L1482" s="229"/>
      <c r="M1482" s="229">
        <v>0</v>
      </c>
      <c r="N1482" s="229" t="s">
        <v>271</v>
      </c>
      <c r="O1482" s="229" t="s">
        <v>501</v>
      </c>
      <c r="P1482" s="231"/>
    </row>
    <row r="1483" spans="1:16" x14ac:dyDescent="0.25">
      <c r="A1483" s="227" t="s">
        <v>3865</v>
      </c>
      <c r="B1483" s="228"/>
      <c r="C1483" s="228" t="s">
        <v>3830</v>
      </c>
      <c r="D1483" s="228"/>
      <c r="E1483" s="229"/>
      <c r="F1483" s="229" t="s">
        <v>139</v>
      </c>
      <c r="G1483" s="229"/>
      <c r="H1483" s="229"/>
      <c r="I1483" s="229" t="b">
        <v>0</v>
      </c>
      <c r="J1483" s="229" t="b">
        <v>0</v>
      </c>
      <c r="K1483" s="230" t="b">
        <v>1</v>
      </c>
      <c r="L1483" s="229"/>
      <c r="M1483" s="229">
        <v>0</v>
      </c>
      <c r="N1483" s="229" t="s">
        <v>271</v>
      </c>
      <c r="O1483" s="229" t="s">
        <v>501</v>
      </c>
      <c r="P1483" s="231"/>
    </row>
    <row r="1484" spans="1:16" x14ac:dyDescent="0.25">
      <c r="A1484" s="227" t="s">
        <v>3866</v>
      </c>
      <c r="B1484" s="228"/>
      <c r="C1484" s="228" t="s">
        <v>3830</v>
      </c>
      <c r="D1484" s="228"/>
      <c r="E1484" s="229"/>
      <c r="F1484" s="229" t="s">
        <v>139</v>
      </c>
      <c r="G1484" s="229"/>
      <c r="H1484" s="229"/>
      <c r="I1484" s="229" t="b">
        <v>0</v>
      </c>
      <c r="J1484" s="229" t="b">
        <v>0</v>
      </c>
      <c r="K1484" s="230" t="b">
        <v>1</v>
      </c>
      <c r="L1484" s="229"/>
      <c r="M1484" s="229">
        <v>0</v>
      </c>
      <c r="N1484" s="229" t="s">
        <v>271</v>
      </c>
      <c r="O1484" s="229" t="s">
        <v>501</v>
      </c>
      <c r="P1484" s="231"/>
    </row>
    <row r="1485" spans="1:16" x14ac:dyDescent="0.25">
      <c r="A1485" s="227" t="s">
        <v>3834</v>
      </c>
      <c r="B1485" s="228"/>
      <c r="C1485" s="228" t="s">
        <v>3830</v>
      </c>
      <c r="D1485" s="228"/>
      <c r="E1485" s="229"/>
      <c r="F1485" s="229" t="s">
        <v>139</v>
      </c>
      <c r="G1485" s="229"/>
      <c r="H1485" s="229"/>
      <c r="I1485" s="229" t="b">
        <v>0</v>
      </c>
      <c r="J1485" s="229" t="b">
        <v>0</v>
      </c>
      <c r="K1485" s="230" t="b">
        <v>1</v>
      </c>
      <c r="L1485" s="229"/>
      <c r="M1485" s="229">
        <v>0</v>
      </c>
      <c r="N1485" s="229" t="s">
        <v>271</v>
      </c>
      <c r="O1485" s="229" t="s">
        <v>501</v>
      </c>
      <c r="P1485" s="231"/>
    </row>
    <row r="1486" spans="1:16" ht="52.8" x14ac:dyDescent="0.25">
      <c r="A1486" s="227" t="s">
        <v>3325</v>
      </c>
      <c r="B1486" s="228" t="s">
        <v>2789</v>
      </c>
      <c r="C1486" s="228" t="s">
        <v>1707</v>
      </c>
      <c r="D1486" s="228" t="s">
        <v>1708</v>
      </c>
      <c r="E1486" s="229" t="s">
        <v>3326</v>
      </c>
      <c r="F1486" s="229" t="s">
        <v>136</v>
      </c>
      <c r="G1486" s="229" t="s">
        <v>82</v>
      </c>
      <c r="H1486" s="229"/>
      <c r="I1486" s="229">
        <v>0</v>
      </c>
      <c r="J1486" s="229">
        <v>0</v>
      </c>
      <c r="K1486" s="230">
        <v>62500</v>
      </c>
      <c r="L1486" s="229" t="s">
        <v>1865</v>
      </c>
      <c r="M1486" s="229"/>
      <c r="N1486" s="229" t="s">
        <v>2790</v>
      </c>
      <c r="O1486" s="229" t="s">
        <v>261</v>
      </c>
      <c r="P1486" s="231"/>
    </row>
    <row r="1487" spans="1:16" ht="66" x14ac:dyDescent="0.25">
      <c r="A1487" s="227" t="s">
        <v>3327</v>
      </c>
      <c r="B1487" s="228" t="s">
        <v>3328</v>
      </c>
      <c r="C1487" s="228" t="s">
        <v>1707</v>
      </c>
      <c r="D1487" s="228" t="s">
        <v>1708</v>
      </c>
      <c r="E1487" s="229" t="s">
        <v>3329</v>
      </c>
      <c r="F1487" s="229" t="s">
        <v>136</v>
      </c>
      <c r="G1487" s="229" t="s">
        <v>82</v>
      </c>
      <c r="H1487" s="229"/>
      <c r="I1487" s="229">
        <v>0</v>
      </c>
      <c r="J1487" s="229">
        <v>0</v>
      </c>
      <c r="K1487" s="230">
        <v>62500</v>
      </c>
      <c r="L1487" s="229" t="s">
        <v>1865</v>
      </c>
      <c r="M1487" s="229"/>
      <c r="N1487" s="229" t="s">
        <v>2790</v>
      </c>
      <c r="O1487" s="229" t="s">
        <v>261</v>
      </c>
      <c r="P1487" s="231"/>
    </row>
    <row r="1488" spans="1:16" ht="52.8" x14ac:dyDescent="0.25">
      <c r="A1488" s="227" t="s">
        <v>2297</v>
      </c>
      <c r="B1488" s="228" t="s">
        <v>1869</v>
      </c>
      <c r="C1488" s="228" t="s">
        <v>1707</v>
      </c>
      <c r="D1488" s="228" t="s">
        <v>1708</v>
      </c>
      <c r="E1488" s="229" t="s">
        <v>3330</v>
      </c>
      <c r="F1488" s="229" t="s">
        <v>136</v>
      </c>
      <c r="G1488" s="229" t="s">
        <v>82</v>
      </c>
      <c r="H1488" s="229"/>
      <c r="I1488" s="229">
        <v>0</v>
      </c>
      <c r="J1488" s="229">
        <v>-1350</v>
      </c>
      <c r="K1488" s="230">
        <v>1350</v>
      </c>
      <c r="L1488" s="229" t="s">
        <v>1865</v>
      </c>
      <c r="M1488" s="229"/>
      <c r="N1488" s="229" t="s">
        <v>263</v>
      </c>
      <c r="O1488" s="229" t="s">
        <v>261</v>
      </c>
      <c r="P1488" s="231"/>
    </row>
    <row r="1489" spans="1:16" ht="52.8" x14ac:dyDescent="0.25">
      <c r="A1489" s="227" t="s">
        <v>2286</v>
      </c>
      <c r="B1489" s="228" t="s">
        <v>2287</v>
      </c>
      <c r="C1489" s="228" t="s">
        <v>1707</v>
      </c>
      <c r="D1489" s="228" t="s">
        <v>1708</v>
      </c>
      <c r="E1489" s="229" t="s">
        <v>3331</v>
      </c>
      <c r="F1489" s="229" t="s">
        <v>136</v>
      </c>
      <c r="G1489" s="229" t="s">
        <v>82</v>
      </c>
      <c r="H1489" s="229"/>
      <c r="I1489" s="229">
        <v>0</v>
      </c>
      <c r="J1489" s="229">
        <v>-50</v>
      </c>
      <c r="K1489" s="230">
        <v>150</v>
      </c>
      <c r="L1489" s="229" t="s">
        <v>1865</v>
      </c>
      <c r="M1489" s="229"/>
      <c r="N1489" s="229" t="s">
        <v>558</v>
      </c>
      <c r="O1489" s="229" t="s">
        <v>261</v>
      </c>
      <c r="P1489" s="231"/>
    </row>
    <row r="1490" spans="1:16" ht="66" x14ac:dyDescent="0.25">
      <c r="A1490" s="227" t="s">
        <v>2739</v>
      </c>
      <c r="B1490" s="228" t="s">
        <v>2931</v>
      </c>
      <c r="C1490" s="228" t="s">
        <v>1707</v>
      </c>
      <c r="D1490" s="228" t="s">
        <v>1708</v>
      </c>
      <c r="E1490" s="229" t="s">
        <v>3332</v>
      </c>
      <c r="F1490" s="229" t="s">
        <v>136</v>
      </c>
      <c r="G1490" s="229" t="s">
        <v>82</v>
      </c>
      <c r="H1490" s="229"/>
      <c r="I1490" s="229">
        <v>0</v>
      </c>
      <c r="J1490" s="229">
        <v>-50</v>
      </c>
      <c r="K1490" s="230">
        <v>200</v>
      </c>
      <c r="L1490" s="229" t="s">
        <v>1865</v>
      </c>
      <c r="M1490" s="229"/>
      <c r="N1490" s="229" t="s">
        <v>558</v>
      </c>
      <c r="O1490" s="229" t="s">
        <v>261</v>
      </c>
      <c r="P1490" s="231"/>
    </row>
    <row r="1491" spans="1:16" ht="52.8" x14ac:dyDescent="0.25">
      <c r="A1491" s="227" t="s">
        <v>2738</v>
      </c>
      <c r="B1491" s="228" t="s">
        <v>2930</v>
      </c>
      <c r="C1491" s="228" t="s">
        <v>1707</v>
      </c>
      <c r="D1491" s="228" t="s">
        <v>1708</v>
      </c>
      <c r="E1491" s="229" t="s">
        <v>3333</v>
      </c>
      <c r="F1491" s="229" t="s">
        <v>136</v>
      </c>
      <c r="G1491" s="229" t="s">
        <v>82</v>
      </c>
      <c r="H1491" s="229"/>
      <c r="I1491" s="229">
        <v>0</v>
      </c>
      <c r="J1491" s="229">
        <v>-50</v>
      </c>
      <c r="K1491" s="230">
        <v>150</v>
      </c>
      <c r="L1491" s="229" t="s">
        <v>1865</v>
      </c>
      <c r="M1491" s="229"/>
      <c r="N1491" s="229" t="s">
        <v>558</v>
      </c>
      <c r="O1491" s="229" t="s">
        <v>261</v>
      </c>
      <c r="P1491" s="231"/>
    </row>
    <row r="1492" spans="1:16" ht="52.8" x14ac:dyDescent="0.25">
      <c r="A1492" s="227" t="s">
        <v>2737</v>
      </c>
      <c r="B1492" s="228" t="s">
        <v>2929</v>
      </c>
      <c r="C1492" s="228" t="s">
        <v>1707</v>
      </c>
      <c r="D1492" s="228" t="s">
        <v>1708</v>
      </c>
      <c r="E1492" s="229" t="s">
        <v>3334</v>
      </c>
      <c r="F1492" s="229" t="s">
        <v>136</v>
      </c>
      <c r="G1492" s="229" t="s">
        <v>82</v>
      </c>
      <c r="H1492" s="229"/>
      <c r="I1492" s="229">
        <v>0</v>
      </c>
      <c r="J1492" s="229">
        <v>-50</v>
      </c>
      <c r="K1492" s="230">
        <v>300</v>
      </c>
      <c r="L1492" s="229" t="s">
        <v>1865</v>
      </c>
      <c r="M1492" s="229"/>
      <c r="N1492" s="229" t="s">
        <v>558</v>
      </c>
      <c r="O1492" s="229" t="s">
        <v>261</v>
      </c>
      <c r="P1492" s="231"/>
    </row>
    <row r="1493" spans="1:16" ht="26.4" x14ac:dyDescent="0.25">
      <c r="A1493" s="227" t="s">
        <v>3335</v>
      </c>
      <c r="B1493" s="228" t="s">
        <v>3336</v>
      </c>
      <c r="C1493" s="228" t="s">
        <v>1707</v>
      </c>
      <c r="D1493" s="228" t="s">
        <v>1708</v>
      </c>
      <c r="E1493" s="229" t="s">
        <v>3337</v>
      </c>
      <c r="F1493" s="229" t="s">
        <v>136</v>
      </c>
      <c r="G1493" s="229" t="s">
        <v>82</v>
      </c>
      <c r="H1493" s="229"/>
      <c r="I1493" s="229" t="b">
        <v>0</v>
      </c>
      <c r="J1493" s="229" t="b">
        <v>0</v>
      </c>
      <c r="K1493" s="230" t="b">
        <v>1</v>
      </c>
      <c r="L1493" s="229" t="s">
        <v>1883</v>
      </c>
      <c r="M1493" s="229"/>
      <c r="N1493" s="229" t="s">
        <v>424</v>
      </c>
      <c r="O1493" s="229" t="s">
        <v>501</v>
      </c>
      <c r="P1493" s="231"/>
    </row>
    <row r="1494" spans="1:16" ht="79.2" x14ac:dyDescent="0.25">
      <c r="A1494" s="227" t="s">
        <v>4500</v>
      </c>
      <c r="B1494" s="228" t="s">
        <v>4501</v>
      </c>
      <c r="C1494" s="228" t="s">
        <v>1707</v>
      </c>
      <c r="D1494" s="228" t="s">
        <v>1708</v>
      </c>
      <c r="E1494" s="229" t="s">
        <v>4502</v>
      </c>
      <c r="F1494" s="229" t="s">
        <v>136</v>
      </c>
      <c r="G1494" s="229" t="s">
        <v>82</v>
      </c>
      <c r="H1494" s="229"/>
      <c r="I1494" s="229">
        <v>0</v>
      </c>
      <c r="J1494" s="229">
        <v>0</v>
      </c>
      <c r="K1494" s="230">
        <v>4294967295</v>
      </c>
      <c r="L1494" s="229">
        <v>1</v>
      </c>
      <c r="M1494" s="229"/>
      <c r="N1494" s="229" t="s">
        <v>424</v>
      </c>
      <c r="O1494" s="229" t="s">
        <v>321</v>
      </c>
      <c r="P1494" s="231"/>
    </row>
    <row r="1495" spans="1:16" ht="52.8" x14ac:dyDescent="0.25">
      <c r="A1495" s="227" t="s">
        <v>4503</v>
      </c>
      <c r="B1495" s="228" t="s">
        <v>4504</v>
      </c>
      <c r="C1495" s="228" t="s">
        <v>1707</v>
      </c>
      <c r="D1495" s="228" t="s">
        <v>1708</v>
      </c>
      <c r="E1495" s="229" t="s">
        <v>4505</v>
      </c>
      <c r="F1495" s="229" t="s">
        <v>136</v>
      </c>
      <c r="G1495" s="229" t="s">
        <v>82</v>
      </c>
      <c r="H1495" s="229"/>
      <c r="I1495" s="229" t="b">
        <v>0</v>
      </c>
      <c r="J1495" s="229" t="b">
        <v>0</v>
      </c>
      <c r="K1495" s="230" t="b">
        <v>1</v>
      </c>
      <c r="L1495" s="229" t="s">
        <v>1883</v>
      </c>
      <c r="M1495" s="229"/>
      <c r="N1495" s="229" t="s">
        <v>424</v>
      </c>
      <c r="O1495" s="229" t="s">
        <v>501</v>
      </c>
      <c r="P1495" s="231"/>
    </row>
    <row r="1496" spans="1:16" ht="52.8" x14ac:dyDescent="0.25">
      <c r="A1496" s="227" t="s">
        <v>2127</v>
      </c>
      <c r="B1496" s="228" t="s">
        <v>2128</v>
      </c>
      <c r="C1496" s="228" t="s">
        <v>1707</v>
      </c>
      <c r="D1496" s="228" t="s">
        <v>1708</v>
      </c>
      <c r="E1496" s="229" t="s">
        <v>3338</v>
      </c>
      <c r="F1496" s="229" t="s">
        <v>138</v>
      </c>
      <c r="G1496" s="229" t="s">
        <v>82</v>
      </c>
      <c r="H1496" s="229"/>
      <c r="I1496" s="229">
        <v>8.8000000000000007</v>
      </c>
      <c r="J1496" s="229">
        <v>0</v>
      </c>
      <c r="K1496" s="230">
        <v>8.8000000000000007</v>
      </c>
      <c r="L1496" s="229" t="s">
        <v>1865</v>
      </c>
      <c r="M1496" s="229">
        <v>7.8125E-3</v>
      </c>
      <c r="N1496" s="229" t="s">
        <v>256</v>
      </c>
      <c r="O1496" s="229" t="s">
        <v>261</v>
      </c>
      <c r="P1496" s="231"/>
    </row>
    <row r="1497" spans="1:16" ht="118.8" x14ac:dyDescent="0.25">
      <c r="A1497" s="227" t="s">
        <v>4506</v>
      </c>
      <c r="B1497" s="228" t="s">
        <v>4507</v>
      </c>
      <c r="C1497" s="228" t="s">
        <v>1707</v>
      </c>
      <c r="D1497" s="228" t="s">
        <v>1708</v>
      </c>
      <c r="E1497" s="229" t="s">
        <v>3339</v>
      </c>
      <c r="F1497" s="229" t="s">
        <v>138</v>
      </c>
      <c r="G1497" s="229" t="s">
        <v>82</v>
      </c>
      <c r="H1497" s="229"/>
      <c r="I1497" s="229">
        <v>0</v>
      </c>
      <c r="J1497" s="229">
        <v>0</v>
      </c>
      <c r="K1497" s="230">
        <v>200</v>
      </c>
      <c r="L1497" s="229" t="s">
        <v>1865</v>
      </c>
      <c r="M1497" s="229">
        <v>1</v>
      </c>
      <c r="N1497" s="229" t="s">
        <v>300</v>
      </c>
      <c r="O1497" s="229" t="s">
        <v>261</v>
      </c>
      <c r="P1497" s="231"/>
    </row>
    <row r="1498" spans="1:16" ht="66" x14ac:dyDescent="0.25">
      <c r="A1498" s="227" t="s">
        <v>3340</v>
      </c>
      <c r="B1498" s="228" t="s">
        <v>3341</v>
      </c>
      <c r="C1498" s="228" t="s">
        <v>1707</v>
      </c>
      <c r="D1498" s="228" t="s">
        <v>1708</v>
      </c>
      <c r="E1498" s="229" t="s">
        <v>3342</v>
      </c>
      <c r="F1498" s="229" t="s">
        <v>138</v>
      </c>
      <c r="G1498" s="229" t="s">
        <v>82</v>
      </c>
      <c r="H1498" s="229"/>
      <c r="I1498" s="229">
        <v>0</v>
      </c>
      <c r="J1498" s="229">
        <v>0</v>
      </c>
      <c r="K1498" s="230">
        <v>1</v>
      </c>
      <c r="L1498" s="229" t="s">
        <v>1865</v>
      </c>
      <c r="M1498" s="229">
        <v>3.90625E-3</v>
      </c>
      <c r="N1498" s="229" t="s">
        <v>300</v>
      </c>
      <c r="O1498" s="229" t="s">
        <v>261</v>
      </c>
      <c r="P1498" s="231"/>
    </row>
    <row r="1499" spans="1:16" ht="20.399999999999999" x14ac:dyDescent="0.25">
      <c r="A1499" s="227" t="s">
        <v>4059</v>
      </c>
      <c r="B1499" s="228" t="s">
        <v>3343</v>
      </c>
      <c r="C1499" s="228" t="s">
        <v>1707</v>
      </c>
      <c r="D1499" s="228" t="s">
        <v>1708</v>
      </c>
      <c r="E1499" s="229"/>
      <c r="F1499" s="229" t="s">
        <v>139</v>
      </c>
      <c r="G1499" s="229" t="s">
        <v>82</v>
      </c>
      <c r="H1499" s="229"/>
      <c r="I1499" s="229" t="s">
        <v>802</v>
      </c>
      <c r="J1499" s="229">
        <v>0</v>
      </c>
      <c r="K1499" s="230">
        <v>8.8000000000000007</v>
      </c>
      <c r="L1499" s="229">
        <v>7.8125E-3</v>
      </c>
      <c r="M1499" s="229">
        <v>7.8125E-3</v>
      </c>
      <c r="N1499" s="229" t="s">
        <v>256</v>
      </c>
      <c r="O1499" s="229" t="s">
        <v>370</v>
      </c>
      <c r="P1499" s="231"/>
    </row>
    <row r="1500" spans="1:16" ht="20.399999999999999" x14ac:dyDescent="0.25">
      <c r="A1500" s="227" t="s">
        <v>4060</v>
      </c>
      <c r="B1500" s="228" t="s">
        <v>3344</v>
      </c>
      <c r="C1500" s="228" t="s">
        <v>1707</v>
      </c>
      <c r="D1500" s="228" t="s">
        <v>1708</v>
      </c>
      <c r="E1500" s="229"/>
      <c r="F1500" s="229" t="s">
        <v>139</v>
      </c>
      <c r="G1500" s="229" t="s">
        <v>82</v>
      </c>
      <c r="H1500" s="229"/>
      <c r="I1500" s="229">
        <v>0</v>
      </c>
      <c r="J1500" s="229">
        <v>0</v>
      </c>
      <c r="K1500" s="230">
        <v>65535</v>
      </c>
      <c r="L1500" s="229">
        <v>1</v>
      </c>
      <c r="M1500" s="229">
        <v>0</v>
      </c>
      <c r="N1500" s="229" t="s">
        <v>424</v>
      </c>
      <c r="O1500" s="229" t="s">
        <v>267</v>
      </c>
      <c r="P1500" s="231"/>
    </row>
    <row r="1501" spans="1:16" x14ac:dyDescent="0.25">
      <c r="A1501" s="227" t="s">
        <v>4061</v>
      </c>
      <c r="B1501" s="228"/>
      <c r="C1501" s="228" t="s">
        <v>1707</v>
      </c>
      <c r="D1501" s="228" t="s">
        <v>1708</v>
      </c>
      <c r="E1501" s="229"/>
      <c r="F1501" s="229" t="s">
        <v>139</v>
      </c>
      <c r="G1501" s="229" t="s">
        <v>82</v>
      </c>
      <c r="H1501" s="229"/>
      <c r="I1501" s="229" t="s">
        <v>1440</v>
      </c>
      <c r="J1501" s="229"/>
      <c r="K1501" s="230"/>
      <c r="L1501" s="229"/>
      <c r="M1501" s="229"/>
      <c r="N1501" s="229"/>
      <c r="O1501" s="229" t="s">
        <v>1960</v>
      </c>
      <c r="P1501" s="231"/>
    </row>
    <row r="1502" spans="1:16" ht="20.399999999999999" x14ac:dyDescent="0.25">
      <c r="A1502" s="227" t="s">
        <v>4062</v>
      </c>
      <c r="B1502" s="228" t="s">
        <v>3345</v>
      </c>
      <c r="C1502" s="228" t="s">
        <v>1707</v>
      </c>
      <c r="D1502" s="228" t="s">
        <v>1708</v>
      </c>
      <c r="E1502" s="229"/>
      <c r="F1502" s="229" t="s">
        <v>139</v>
      </c>
      <c r="G1502" s="229" t="s">
        <v>82</v>
      </c>
      <c r="H1502" s="229"/>
      <c r="I1502" s="229">
        <v>0</v>
      </c>
      <c r="J1502" s="229">
        <v>0</v>
      </c>
      <c r="K1502" s="230">
        <v>31250</v>
      </c>
      <c r="L1502" s="229" t="s">
        <v>1865</v>
      </c>
      <c r="M1502" s="229">
        <v>1</v>
      </c>
      <c r="N1502" s="229" t="s">
        <v>300</v>
      </c>
      <c r="O1502" s="229" t="s">
        <v>261</v>
      </c>
      <c r="P1502" s="231"/>
    </row>
    <row r="1503" spans="1:16" ht="20.399999999999999" x14ac:dyDescent="0.25">
      <c r="A1503" s="227" t="s">
        <v>4063</v>
      </c>
      <c r="B1503" s="228"/>
      <c r="C1503" s="228" t="s">
        <v>1707</v>
      </c>
      <c r="D1503" s="228" t="s">
        <v>1708</v>
      </c>
      <c r="E1503" s="229"/>
      <c r="F1503" s="229" t="s">
        <v>139</v>
      </c>
      <c r="G1503" s="229" t="s">
        <v>82</v>
      </c>
      <c r="H1503" s="229"/>
      <c r="I1503" s="229">
        <v>0</v>
      </c>
      <c r="J1503" s="229">
        <v>6.0955866146348736E-2</v>
      </c>
      <c r="K1503" s="230">
        <v>6.0955866146348736E-2</v>
      </c>
      <c r="L1503" s="229" t="s">
        <v>1865</v>
      </c>
      <c r="M1503" s="229">
        <v>9.9999999999999995E-8</v>
      </c>
      <c r="N1503" s="229" t="s">
        <v>300</v>
      </c>
      <c r="O1503" s="229" t="s">
        <v>261</v>
      </c>
      <c r="P1503" s="231"/>
    </row>
    <row r="1504" spans="1:16" x14ac:dyDescent="0.25">
      <c r="A1504" s="227" t="s">
        <v>4064</v>
      </c>
      <c r="B1504" s="228"/>
      <c r="C1504" s="228" t="s">
        <v>1707</v>
      </c>
      <c r="D1504" s="228" t="s">
        <v>1708</v>
      </c>
      <c r="E1504" s="229"/>
      <c r="F1504" s="229" t="s">
        <v>139</v>
      </c>
      <c r="G1504" s="229" t="s">
        <v>82</v>
      </c>
      <c r="H1504" s="229"/>
      <c r="I1504" s="229" t="s">
        <v>1440</v>
      </c>
      <c r="J1504" s="229"/>
      <c r="K1504" s="230"/>
      <c r="L1504" s="229"/>
      <c r="M1504" s="229"/>
      <c r="N1504" s="229"/>
      <c r="O1504" s="229" t="s">
        <v>1960</v>
      </c>
      <c r="P1504" s="231"/>
    </row>
    <row r="1505" spans="1:16" ht="20.399999999999999" x14ac:dyDescent="0.25">
      <c r="A1505" s="227" t="s">
        <v>4065</v>
      </c>
      <c r="B1505" s="228" t="s">
        <v>3346</v>
      </c>
      <c r="C1505" s="228" t="s">
        <v>1707</v>
      </c>
      <c r="D1505" s="228" t="s">
        <v>1708</v>
      </c>
      <c r="E1505" s="229"/>
      <c r="F1505" s="229" t="s">
        <v>139</v>
      </c>
      <c r="G1505" s="229" t="s">
        <v>82</v>
      </c>
      <c r="H1505" s="229"/>
      <c r="I1505" s="229">
        <v>0</v>
      </c>
      <c r="J1505" s="229">
        <v>0</v>
      </c>
      <c r="K1505" s="230">
        <v>31250</v>
      </c>
      <c r="L1505" s="229" t="s">
        <v>1865</v>
      </c>
      <c r="M1505" s="229">
        <v>1</v>
      </c>
      <c r="N1505" s="229" t="s">
        <v>300</v>
      </c>
      <c r="O1505" s="229" t="s">
        <v>261</v>
      </c>
      <c r="P1505" s="231"/>
    </row>
    <row r="1506" spans="1:16" ht="20.399999999999999" x14ac:dyDescent="0.25">
      <c r="A1506" s="227" t="s">
        <v>4066</v>
      </c>
      <c r="B1506" s="228"/>
      <c r="C1506" s="228" t="s">
        <v>1707</v>
      </c>
      <c r="D1506" s="228" t="s">
        <v>1708</v>
      </c>
      <c r="E1506" s="229"/>
      <c r="F1506" s="229" t="s">
        <v>139</v>
      </c>
      <c r="G1506" s="229" t="s">
        <v>82</v>
      </c>
      <c r="H1506" s="229"/>
      <c r="I1506" s="229">
        <v>0</v>
      </c>
      <c r="J1506" s="229">
        <v>6.2695438725012265E-3</v>
      </c>
      <c r="K1506" s="230">
        <v>6.2695438725012265E-3</v>
      </c>
      <c r="L1506" s="229" t="s">
        <v>1865</v>
      </c>
      <c r="M1506" s="229">
        <v>9.9999999999999995E-8</v>
      </c>
      <c r="N1506" s="229" t="s">
        <v>300</v>
      </c>
      <c r="O1506" s="229" t="s">
        <v>261</v>
      </c>
      <c r="P1506" s="231"/>
    </row>
    <row r="1507" spans="1:16" x14ac:dyDescent="0.25">
      <c r="A1507" s="227" t="s">
        <v>4067</v>
      </c>
      <c r="B1507" s="228"/>
      <c r="C1507" s="228" t="s">
        <v>1707</v>
      </c>
      <c r="D1507" s="228" t="s">
        <v>1708</v>
      </c>
      <c r="E1507" s="229"/>
      <c r="F1507" s="229" t="s">
        <v>139</v>
      </c>
      <c r="G1507" s="229" t="s">
        <v>82</v>
      </c>
      <c r="H1507" s="229"/>
      <c r="I1507" s="229" t="s">
        <v>1440</v>
      </c>
      <c r="J1507" s="229"/>
      <c r="K1507" s="230"/>
      <c r="L1507" s="229"/>
      <c r="M1507" s="229"/>
      <c r="N1507" s="229"/>
      <c r="O1507" s="229" t="s">
        <v>1960</v>
      </c>
      <c r="P1507" s="231"/>
    </row>
    <row r="1508" spans="1:16" ht="20.399999999999999" x14ac:dyDescent="0.25">
      <c r="A1508" s="227" t="s">
        <v>4068</v>
      </c>
      <c r="B1508" s="228" t="s">
        <v>3347</v>
      </c>
      <c r="C1508" s="228" t="s">
        <v>1707</v>
      </c>
      <c r="D1508" s="228" t="s">
        <v>1708</v>
      </c>
      <c r="E1508" s="229"/>
      <c r="F1508" s="229" t="s">
        <v>139</v>
      </c>
      <c r="G1508" s="229" t="s">
        <v>82</v>
      </c>
      <c r="H1508" s="229"/>
      <c r="I1508" s="229">
        <v>0</v>
      </c>
      <c r="J1508" s="229">
        <v>0</v>
      </c>
      <c r="K1508" s="230">
        <v>31250</v>
      </c>
      <c r="L1508" s="229" t="s">
        <v>1865</v>
      </c>
      <c r="M1508" s="229">
        <v>1</v>
      </c>
      <c r="N1508" s="229" t="s">
        <v>300</v>
      </c>
      <c r="O1508" s="229" t="s">
        <v>261</v>
      </c>
      <c r="P1508" s="231"/>
    </row>
    <row r="1509" spans="1:16" ht="20.399999999999999" x14ac:dyDescent="0.25">
      <c r="A1509" s="227" t="s">
        <v>4069</v>
      </c>
      <c r="B1509" s="228"/>
      <c r="C1509" s="228" t="s">
        <v>1707</v>
      </c>
      <c r="D1509" s="228" t="s">
        <v>1708</v>
      </c>
      <c r="E1509" s="229"/>
      <c r="F1509" s="229" t="s">
        <v>139</v>
      </c>
      <c r="G1509" s="229" t="s">
        <v>82</v>
      </c>
      <c r="H1509" s="229"/>
      <c r="I1509" s="229">
        <v>0</v>
      </c>
      <c r="J1509" s="229">
        <v>6.2873026593390779E-4</v>
      </c>
      <c r="K1509" s="230">
        <v>6.2873026593390779E-4</v>
      </c>
      <c r="L1509" s="229" t="s">
        <v>1865</v>
      </c>
      <c r="M1509" s="229">
        <v>9.9999999999999995E-8</v>
      </c>
      <c r="N1509" s="229" t="s">
        <v>300</v>
      </c>
      <c r="O1509" s="229" t="s">
        <v>261</v>
      </c>
      <c r="P1509" s="231"/>
    </row>
    <row r="1510" spans="1:16" x14ac:dyDescent="0.25">
      <c r="A1510" s="227" t="s">
        <v>4070</v>
      </c>
      <c r="B1510" s="228"/>
      <c r="C1510" s="228" t="s">
        <v>1707</v>
      </c>
      <c r="D1510" s="228" t="s">
        <v>1708</v>
      </c>
      <c r="E1510" s="229"/>
      <c r="F1510" s="229" t="s">
        <v>139</v>
      </c>
      <c r="G1510" s="229" t="s">
        <v>82</v>
      </c>
      <c r="H1510" s="229"/>
      <c r="I1510" s="229" t="s">
        <v>1440</v>
      </c>
      <c r="J1510" s="229"/>
      <c r="K1510" s="230"/>
      <c r="L1510" s="229"/>
      <c r="M1510" s="229"/>
      <c r="N1510" s="229"/>
      <c r="O1510" s="229" t="s">
        <v>1960</v>
      </c>
      <c r="P1510" s="231"/>
    </row>
    <row r="1511" spans="1:16" ht="20.399999999999999" x14ac:dyDescent="0.25">
      <c r="A1511" s="227" t="s">
        <v>4071</v>
      </c>
      <c r="B1511" s="228" t="s">
        <v>3348</v>
      </c>
      <c r="C1511" s="228" t="s">
        <v>1707</v>
      </c>
      <c r="D1511" s="228" t="s">
        <v>1708</v>
      </c>
      <c r="E1511" s="229"/>
      <c r="F1511" s="229" t="s">
        <v>139</v>
      </c>
      <c r="G1511" s="229" t="s">
        <v>82</v>
      </c>
      <c r="H1511" s="229"/>
      <c r="I1511" s="229">
        <v>0</v>
      </c>
      <c r="J1511" s="229">
        <v>0</v>
      </c>
      <c r="K1511" s="230">
        <v>31250</v>
      </c>
      <c r="L1511" s="229" t="s">
        <v>1865</v>
      </c>
      <c r="M1511" s="229">
        <v>1</v>
      </c>
      <c r="N1511" s="229" t="s">
        <v>300</v>
      </c>
      <c r="O1511" s="229" t="s">
        <v>261</v>
      </c>
      <c r="P1511" s="231"/>
    </row>
    <row r="1512" spans="1:16" ht="20.399999999999999" x14ac:dyDescent="0.25">
      <c r="A1512" s="227" t="s">
        <v>4072</v>
      </c>
      <c r="B1512" s="228"/>
      <c r="C1512" s="228" t="s">
        <v>1707</v>
      </c>
      <c r="D1512" s="228" t="s">
        <v>1708</v>
      </c>
      <c r="E1512" s="229"/>
      <c r="F1512" s="229" t="s">
        <v>139</v>
      </c>
      <c r="G1512" s="229" t="s">
        <v>82</v>
      </c>
      <c r="H1512" s="229"/>
      <c r="I1512" s="229">
        <v>0</v>
      </c>
      <c r="J1512" s="229">
        <v>3.3327748435907356E-4</v>
      </c>
      <c r="K1512" s="230">
        <v>3.3327748435907356E-4</v>
      </c>
      <c r="L1512" s="229" t="s">
        <v>1865</v>
      </c>
      <c r="M1512" s="229">
        <v>9.9999999999999995E-8</v>
      </c>
      <c r="N1512" s="229" t="s">
        <v>300</v>
      </c>
      <c r="O1512" s="229" t="s">
        <v>261</v>
      </c>
      <c r="P1512" s="231"/>
    </row>
    <row r="1513" spans="1:16" x14ac:dyDescent="0.25">
      <c r="A1513" s="227" t="s">
        <v>4073</v>
      </c>
      <c r="B1513" s="228"/>
      <c r="C1513" s="228" t="s">
        <v>1707</v>
      </c>
      <c r="D1513" s="228" t="s">
        <v>1708</v>
      </c>
      <c r="E1513" s="229"/>
      <c r="F1513" s="229" t="s">
        <v>139</v>
      </c>
      <c r="G1513" s="229" t="s">
        <v>82</v>
      </c>
      <c r="H1513" s="229"/>
      <c r="I1513" s="229" t="s">
        <v>1440</v>
      </c>
      <c r="J1513" s="229"/>
      <c r="K1513" s="230"/>
      <c r="L1513" s="229"/>
      <c r="M1513" s="229"/>
      <c r="N1513" s="229"/>
      <c r="O1513" s="229" t="s">
        <v>1960</v>
      </c>
      <c r="P1513" s="231"/>
    </row>
    <row r="1514" spans="1:16" ht="20.399999999999999" x14ac:dyDescent="0.25">
      <c r="A1514" s="227" t="s">
        <v>4074</v>
      </c>
      <c r="B1514" s="228" t="s">
        <v>3349</v>
      </c>
      <c r="C1514" s="228" t="s">
        <v>1707</v>
      </c>
      <c r="D1514" s="228" t="s">
        <v>1708</v>
      </c>
      <c r="E1514" s="229"/>
      <c r="F1514" s="229" t="s">
        <v>139</v>
      </c>
      <c r="G1514" s="229" t="s">
        <v>82</v>
      </c>
      <c r="H1514" s="229"/>
      <c r="I1514" s="229">
        <v>0</v>
      </c>
      <c r="J1514" s="229">
        <v>0</v>
      </c>
      <c r="K1514" s="230">
        <v>125000</v>
      </c>
      <c r="L1514" s="229" t="s">
        <v>1865</v>
      </c>
      <c r="M1514" s="229">
        <v>1</v>
      </c>
      <c r="N1514" s="229" t="s">
        <v>300</v>
      </c>
      <c r="O1514" s="229" t="s">
        <v>261</v>
      </c>
      <c r="P1514" s="231"/>
    </row>
    <row r="1515" spans="1:16" ht="20.399999999999999" x14ac:dyDescent="0.25">
      <c r="A1515" s="227" t="s">
        <v>4075</v>
      </c>
      <c r="B1515" s="228"/>
      <c r="C1515" s="228" t="s">
        <v>1707</v>
      </c>
      <c r="D1515" s="228" t="s">
        <v>1708</v>
      </c>
      <c r="E1515" s="229"/>
      <c r="F1515" s="229" t="s">
        <v>139</v>
      </c>
      <c r="G1515" s="229" t="s">
        <v>82</v>
      </c>
      <c r="H1515" s="229"/>
      <c r="I1515" s="229">
        <v>0</v>
      </c>
      <c r="J1515" s="229">
        <v>6.2890822258632184E-5</v>
      </c>
      <c r="K1515" s="230">
        <v>6.2890822258632184E-5</v>
      </c>
      <c r="L1515" s="229" t="s">
        <v>1865</v>
      </c>
      <c r="M1515" s="229">
        <v>9.9999999999999995E-8</v>
      </c>
      <c r="N1515" s="229" t="s">
        <v>300</v>
      </c>
      <c r="O1515" s="229" t="s">
        <v>261</v>
      </c>
      <c r="P1515" s="231"/>
    </row>
    <row r="1516" spans="1:16" x14ac:dyDescent="0.25">
      <c r="A1516" s="227" t="s">
        <v>4076</v>
      </c>
      <c r="B1516" s="228"/>
      <c r="C1516" s="228" t="s">
        <v>1707</v>
      </c>
      <c r="D1516" s="228" t="s">
        <v>1708</v>
      </c>
      <c r="E1516" s="229"/>
      <c r="F1516" s="229" t="s">
        <v>139</v>
      </c>
      <c r="G1516" s="229" t="s">
        <v>82</v>
      </c>
      <c r="H1516" s="229"/>
      <c r="I1516" s="229" t="s">
        <v>1440</v>
      </c>
      <c r="J1516" s="229"/>
      <c r="K1516" s="230"/>
      <c r="L1516" s="229"/>
      <c r="M1516" s="229"/>
      <c r="N1516" s="229"/>
      <c r="O1516" s="229" t="s">
        <v>1960</v>
      </c>
      <c r="P1516" s="231"/>
    </row>
    <row r="1517" spans="1:16" ht="20.399999999999999" x14ac:dyDescent="0.25">
      <c r="A1517" s="227" t="s">
        <v>4077</v>
      </c>
      <c r="B1517" s="228" t="s">
        <v>3350</v>
      </c>
      <c r="C1517" s="228" t="s">
        <v>1707</v>
      </c>
      <c r="D1517" s="228" t="s">
        <v>1708</v>
      </c>
      <c r="E1517" s="229"/>
      <c r="F1517" s="229" t="s">
        <v>139</v>
      </c>
      <c r="G1517" s="229" t="s">
        <v>82</v>
      </c>
      <c r="H1517" s="229"/>
      <c r="I1517" s="229">
        <v>0</v>
      </c>
      <c r="J1517" s="229">
        <v>0</v>
      </c>
      <c r="K1517" s="230">
        <v>125000</v>
      </c>
      <c r="L1517" s="229" t="s">
        <v>1865</v>
      </c>
      <c r="M1517" s="229">
        <v>1</v>
      </c>
      <c r="N1517" s="229" t="s">
        <v>300</v>
      </c>
      <c r="O1517" s="229" t="s">
        <v>261</v>
      </c>
      <c r="P1517" s="231"/>
    </row>
    <row r="1518" spans="1:16" ht="20.399999999999999" x14ac:dyDescent="0.25">
      <c r="A1518" s="227" t="s">
        <v>4078</v>
      </c>
      <c r="B1518" s="228"/>
      <c r="C1518" s="228" t="s">
        <v>1707</v>
      </c>
      <c r="D1518" s="228" t="s">
        <v>1708</v>
      </c>
      <c r="E1518" s="229"/>
      <c r="F1518" s="229" t="s">
        <v>139</v>
      </c>
      <c r="G1518" s="229" t="s">
        <v>82</v>
      </c>
      <c r="H1518" s="229"/>
      <c r="I1518" s="229">
        <v>0</v>
      </c>
      <c r="J1518" s="229">
        <v>2.4999665026337325E-5</v>
      </c>
      <c r="K1518" s="230">
        <v>2.4999665026337325E-5</v>
      </c>
      <c r="L1518" s="229" t="s">
        <v>1865</v>
      </c>
      <c r="M1518" s="229">
        <v>9.9999999999999995E-8</v>
      </c>
      <c r="N1518" s="229" t="s">
        <v>300</v>
      </c>
      <c r="O1518" s="229" t="s">
        <v>261</v>
      </c>
      <c r="P1518" s="231"/>
    </row>
    <row r="1519" spans="1:16" ht="20.399999999999999" x14ac:dyDescent="0.25">
      <c r="A1519" s="227" t="s">
        <v>4079</v>
      </c>
      <c r="B1519" s="228" t="s">
        <v>3351</v>
      </c>
      <c r="C1519" s="228" t="s">
        <v>1707</v>
      </c>
      <c r="D1519" s="228" t="s">
        <v>1708</v>
      </c>
      <c r="E1519" s="229"/>
      <c r="F1519" s="229" t="s">
        <v>139</v>
      </c>
      <c r="G1519" s="229" t="s">
        <v>82</v>
      </c>
      <c r="H1519" s="229"/>
      <c r="I1519" s="229">
        <v>0</v>
      </c>
      <c r="J1519" s="229">
        <v>0</v>
      </c>
      <c r="K1519" s="230">
        <v>8.8000000000000007</v>
      </c>
      <c r="L1519" s="229" t="s">
        <v>1865</v>
      </c>
      <c r="M1519" s="229">
        <v>7.8125E-3</v>
      </c>
      <c r="N1519" s="229" t="s">
        <v>256</v>
      </c>
      <c r="O1519" s="229" t="s">
        <v>261</v>
      </c>
      <c r="P1519" s="231"/>
    </row>
    <row r="1520" spans="1:16" x14ac:dyDescent="0.25">
      <c r="A1520" s="227" t="s">
        <v>4080</v>
      </c>
      <c r="B1520" s="228" t="s">
        <v>3352</v>
      </c>
      <c r="C1520" s="228" t="s">
        <v>1707</v>
      </c>
      <c r="D1520" s="228" t="s">
        <v>1708</v>
      </c>
      <c r="E1520" s="229"/>
      <c r="F1520" s="229" t="s">
        <v>141</v>
      </c>
      <c r="G1520" s="229" t="s">
        <v>82</v>
      </c>
      <c r="H1520" s="229"/>
      <c r="I1520" s="229">
        <v>0</v>
      </c>
      <c r="J1520" s="229">
        <v>-50</v>
      </c>
      <c r="K1520" s="230">
        <v>200</v>
      </c>
      <c r="L1520" s="229" t="s">
        <v>1865</v>
      </c>
      <c r="M1520" s="229" t="s">
        <v>1871</v>
      </c>
      <c r="N1520" s="229" t="s">
        <v>558</v>
      </c>
      <c r="O1520" s="229" t="s">
        <v>261</v>
      </c>
      <c r="P1520" s="231"/>
    </row>
    <row r="1521" spans="1:16" x14ac:dyDescent="0.25">
      <c r="A1521" s="227" t="s">
        <v>4081</v>
      </c>
      <c r="B1521" s="228" t="s">
        <v>3353</v>
      </c>
      <c r="C1521" s="228" t="s">
        <v>1707</v>
      </c>
      <c r="D1521" s="228" t="s">
        <v>1708</v>
      </c>
      <c r="E1521" s="229"/>
      <c r="F1521" s="229" t="s">
        <v>141</v>
      </c>
      <c r="G1521" s="229" t="s">
        <v>82</v>
      </c>
      <c r="H1521" s="229"/>
      <c r="I1521" s="229">
        <v>0</v>
      </c>
      <c r="J1521" s="229">
        <v>-50</v>
      </c>
      <c r="K1521" s="230">
        <v>300</v>
      </c>
      <c r="L1521" s="229" t="s">
        <v>1865</v>
      </c>
      <c r="M1521" s="229" t="s">
        <v>1871</v>
      </c>
      <c r="N1521" s="229" t="s">
        <v>558</v>
      </c>
      <c r="O1521" s="229" t="s">
        <v>261</v>
      </c>
      <c r="P1521" s="231"/>
    </row>
    <row r="1522" spans="1:16" x14ac:dyDescent="0.25">
      <c r="A1522" s="227" t="s">
        <v>4082</v>
      </c>
      <c r="B1522" s="228" t="s">
        <v>3354</v>
      </c>
      <c r="C1522" s="228" t="s">
        <v>1707</v>
      </c>
      <c r="D1522" s="228" t="s">
        <v>1708</v>
      </c>
      <c r="E1522" s="229"/>
      <c r="F1522" s="229" t="s">
        <v>141</v>
      </c>
      <c r="G1522" s="229" t="s">
        <v>82</v>
      </c>
      <c r="H1522" s="229"/>
      <c r="I1522" s="229">
        <v>0</v>
      </c>
      <c r="J1522" s="229">
        <v>0</v>
      </c>
      <c r="K1522" s="230">
        <v>200</v>
      </c>
      <c r="L1522" s="229">
        <v>1</v>
      </c>
      <c r="M1522" s="229" t="s">
        <v>1871</v>
      </c>
      <c r="N1522" s="229" t="s">
        <v>300</v>
      </c>
      <c r="O1522" s="229" t="s">
        <v>425</v>
      </c>
      <c r="P1522" s="231"/>
    </row>
    <row r="1523" spans="1:16" x14ac:dyDescent="0.25">
      <c r="A1523" s="227" t="s">
        <v>4083</v>
      </c>
      <c r="B1523" s="228" t="s">
        <v>4508</v>
      </c>
      <c r="C1523" s="228" t="s">
        <v>1707</v>
      </c>
      <c r="D1523" s="228" t="s">
        <v>1708</v>
      </c>
      <c r="E1523" s="229"/>
      <c r="F1523" s="229" t="s">
        <v>141</v>
      </c>
      <c r="G1523" s="229" t="s">
        <v>82</v>
      </c>
      <c r="H1523" s="229"/>
      <c r="I1523" s="229">
        <v>0</v>
      </c>
      <c r="J1523" s="229">
        <v>0</v>
      </c>
      <c r="K1523" s="230">
        <v>8.8000000000000007</v>
      </c>
      <c r="L1523" s="229" t="s">
        <v>1865</v>
      </c>
      <c r="M1523" s="229" t="s">
        <v>1871</v>
      </c>
      <c r="N1523" s="229" t="s">
        <v>256</v>
      </c>
      <c r="O1523" s="229" t="s">
        <v>261</v>
      </c>
      <c r="P1523" s="231"/>
    </row>
    <row r="1524" spans="1:16" x14ac:dyDescent="0.25">
      <c r="A1524" s="227" t="s">
        <v>4084</v>
      </c>
      <c r="B1524" s="228" t="s">
        <v>3355</v>
      </c>
      <c r="C1524" s="228" t="s">
        <v>1707</v>
      </c>
      <c r="D1524" s="228" t="s">
        <v>1708</v>
      </c>
      <c r="E1524" s="229"/>
      <c r="F1524" s="229" t="s">
        <v>141</v>
      </c>
      <c r="G1524" s="229" t="s">
        <v>82</v>
      </c>
      <c r="H1524" s="229"/>
      <c r="I1524" s="229">
        <v>0</v>
      </c>
      <c r="J1524" s="229">
        <v>0</v>
      </c>
      <c r="K1524" s="230">
        <v>0.5</v>
      </c>
      <c r="L1524" s="229">
        <v>1.220703125E-4</v>
      </c>
      <c r="M1524" s="229" t="s">
        <v>1871</v>
      </c>
      <c r="N1524" s="229" t="s">
        <v>300</v>
      </c>
      <c r="O1524" s="229" t="s">
        <v>1028</v>
      </c>
      <c r="P1524" s="231"/>
    </row>
    <row r="1525" spans="1:16" x14ac:dyDescent="0.25">
      <c r="A1525" s="227" t="s">
        <v>4085</v>
      </c>
      <c r="B1525" s="228" t="s">
        <v>3356</v>
      </c>
      <c r="C1525" s="228" t="s">
        <v>1707</v>
      </c>
      <c r="D1525" s="228" t="s">
        <v>1708</v>
      </c>
      <c r="E1525" s="229"/>
      <c r="F1525" s="229" t="s">
        <v>141</v>
      </c>
      <c r="G1525" s="229" t="s">
        <v>82</v>
      </c>
      <c r="H1525" s="229"/>
      <c r="I1525" s="229">
        <v>0</v>
      </c>
      <c r="J1525" s="229">
        <v>0</v>
      </c>
      <c r="K1525" s="230">
        <v>0.5</v>
      </c>
      <c r="L1525" s="229">
        <v>1.220703125E-4</v>
      </c>
      <c r="M1525" s="229" t="s">
        <v>1871</v>
      </c>
      <c r="N1525" s="229" t="s">
        <v>300</v>
      </c>
      <c r="O1525" s="229" t="s">
        <v>1028</v>
      </c>
      <c r="P1525" s="231"/>
    </row>
    <row r="1526" spans="1:16" x14ac:dyDescent="0.25">
      <c r="A1526" s="227" t="s">
        <v>4086</v>
      </c>
      <c r="B1526" s="228" t="s">
        <v>3357</v>
      </c>
      <c r="C1526" s="228" t="s">
        <v>1707</v>
      </c>
      <c r="D1526" s="228" t="s">
        <v>1708</v>
      </c>
      <c r="E1526" s="229"/>
      <c r="F1526" s="229" t="s">
        <v>141</v>
      </c>
      <c r="G1526" s="229" t="s">
        <v>82</v>
      </c>
      <c r="H1526" s="229"/>
      <c r="I1526" s="229">
        <v>0</v>
      </c>
      <c r="J1526" s="229">
        <v>0</v>
      </c>
      <c r="K1526" s="230">
        <v>0.5</v>
      </c>
      <c r="L1526" s="229">
        <v>1.220703125E-4</v>
      </c>
      <c r="M1526" s="229" t="s">
        <v>1871</v>
      </c>
      <c r="N1526" s="229" t="s">
        <v>300</v>
      </c>
      <c r="O1526" s="229" t="s">
        <v>1028</v>
      </c>
      <c r="P1526" s="231"/>
    </row>
    <row r="1527" spans="1:16" x14ac:dyDescent="0.25">
      <c r="A1527" s="227" t="s">
        <v>4087</v>
      </c>
      <c r="B1527" s="228" t="s">
        <v>3358</v>
      </c>
      <c r="C1527" s="228" t="s">
        <v>1707</v>
      </c>
      <c r="D1527" s="228" t="s">
        <v>1708</v>
      </c>
      <c r="E1527" s="229"/>
      <c r="F1527" s="229" t="s">
        <v>141</v>
      </c>
      <c r="G1527" s="229" t="s">
        <v>82</v>
      </c>
      <c r="H1527" s="229"/>
      <c r="I1527" s="229">
        <v>0</v>
      </c>
      <c r="J1527" s="229">
        <v>0</v>
      </c>
      <c r="K1527" s="230">
        <v>0.5</v>
      </c>
      <c r="L1527" s="229">
        <v>1.220703125E-4</v>
      </c>
      <c r="M1527" s="229" t="s">
        <v>1871</v>
      </c>
      <c r="N1527" s="229" t="s">
        <v>300</v>
      </c>
      <c r="O1527" s="229" t="s">
        <v>1028</v>
      </c>
      <c r="P1527" s="231"/>
    </row>
    <row r="1528" spans="1:16" x14ac:dyDescent="0.25">
      <c r="A1528" s="227" t="s">
        <v>4088</v>
      </c>
      <c r="B1528" s="228" t="s">
        <v>3359</v>
      </c>
      <c r="C1528" s="228" t="s">
        <v>1707</v>
      </c>
      <c r="D1528" s="228" t="s">
        <v>1708</v>
      </c>
      <c r="E1528" s="229"/>
      <c r="F1528" s="229" t="s">
        <v>141</v>
      </c>
      <c r="G1528" s="229" t="s">
        <v>82</v>
      </c>
      <c r="H1528" s="229"/>
      <c r="I1528" s="229">
        <v>0</v>
      </c>
      <c r="J1528" s="229">
        <v>0</v>
      </c>
      <c r="K1528" s="230">
        <v>2</v>
      </c>
      <c r="L1528" s="229">
        <v>1.220703125E-4</v>
      </c>
      <c r="M1528" s="229" t="s">
        <v>1871</v>
      </c>
      <c r="N1528" s="229" t="s">
        <v>300</v>
      </c>
      <c r="O1528" s="229" t="s">
        <v>1028</v>
      </c>
      <c r="P1528" s="231"/>
    </row>
    <row r="1529" spans="1:16" x14ac:dyDescent="0.25">
      <c r="A1529" s="227" t="s">
        <v>4089</v>
      </c>
      <c r="B1529" s="228" t="s">
        <v>3360</v>
      </c>
      <c r="C1529" s="228" t="s">
        <v>1707</v>
      </c>
      <c r="D1529" s="228" t="s">
        <v>1708</v>
      </c>
      <c r="E1529" s="229"/>
      <c r="F1529" s="229" t="s">
        <v>141</v>
      </c>
      <c r="G1529" s="229" t="s">
        <v>82</v>
      </c>
      <c r="H1529" s="229"/>
      <c r="I1529" s="229">
        <v>0</v>
      </c>
      <c r="J1529" s="229">
        <v>0</v>
      </c>
      <c r="K1529" s="230">
        <v>2</v>
      </c>
      <c r="L1529" s="229">
        <v>1.220703125E-4</v>
      </c>
      <c r="M1529" s="229" t="s">
        <v>1871</v>
      </c>
      <c r="N1529" s="229" t="s">
        <v>300</v>
      </c>
      <c r="O1529" s="229" t="s">
        <v>1028</v>
      </c>
      <c r="P1529" s="231"/>
    </row>
    <row r="1530" spans="1:16" ht="20.399999999999999" x14ac:dyDescent="0.25">
      <c r="A1530" s="227" t="s">
        <v>4090</v>
      </c>
      <c r="B1530" s="228" t="s">
        <v>3361</v>
      </c>
      <c r="C1530" s="228" t="s">
        <v>1707</v>
      </c>
      <c r="D1530" s="228" t="s">
        <v>1708</v>
      </c>
      <c r="E1530" s="229"/>
      <c r="F1530" s="229" t="s">
        <v>141</v>
      </c>
      <c r="G1530" s="229" t="s">
        <v>82</v>
      </c>
      <c r="H1530" s="229"/>
      <c r="I1530" s="229">
        <v>0</v>
      </c>
      <c r="J1530" s="229">
        <v>0</v>
      </c>
      <c r="K1530" s="230">
        <v>8.8000000000000007</v>
      </c>
      <c r="L1530" s="229">
        <v>7.8125E-3</v>
      </c>
      <c r="M1530" s="229" t="s">
        <v>1871</v>
      </c>
      <c r="N1530" s="229" t="s">
        <v>256</v>
      </c>
      <c r="O1530" s="229" t="s">
        <v>370</v>
      </c>
      <c r="P1530" s="231"/>
    </row>
    <row r="1531" spans="1:16" ht="20.399999999999999" x14ac:dyDescent="0.25">
      <c r="A1531" s="227" t="s">
        <v>4091</v>
      </c>
      <c r="B1531" s="228" t="s">
        <v>3362</v>
      </c>
      <c r="C1531" s="228" t="s">
        <v>1707</v>
      </c>
      <c r="D1531" s="228" t="s">
        <v>1708</v>
      </c>
      <c r="E1531" s="229"/>
      <c r="F1531" s="229" t="s">
        <v>141</v>
      </c>
      <c r="G1531" s="229" t="s">
        <v>82</v>
      </c>
      <c r="H1531" s="229"/>
      <c r="I1531" s="229">
        <v>0</v>
      </c>
      <c r="J1531" s="229">
        <v>0</v>
      </c>
      <c r="K1531" s="230">
        <v>8.8000000000000007</v>
      </c>
      <c r="L1531" s="229">
        <v>7.8125E-3</v>
      </c>
      <c r="M1531" s="229" t="s">
        <v>1871</v>
      </c>
      <c r="N1531" s="229" t="s">
        <v>256</v>
      </c>
      <c r="O1531" s="229" t="s">
        <v>370</v>
      </c>
      <c r="P1531" s="231"/>
    </row>
    <row r="1532" spans="1:16" ht="20.399999999999999" x14ac:dyDescent="0.25">
      <c r="A1532" s="227" t="s">
        <v>4092</v>
      </c>
      <c r="B1532" s="228" t="s">
        <v>4093</v>
      </c>
      <c r="C1532" s="228" t="s">
        <v>1707</v>
      </c>
      <c r="D1532" s="228" t="s">
        <v>1708</v>
      </c>
      <c r="E1532" s="229"/>
      <c r="F1532" s="229" t="s">
        <v>141</v>
      </c>
      <c r="G1532" s="229" t="s">
        <v>82</v>
      </c>
      <c r="H1532" s="229"/>
      <c r="I1532" s="229">
        <v>0</v>
      </c>
      <c r="J1532" s="229">
        <v>0</v>
      </c>
      <c r="K1532" s="230">
        <v>8.8000000000000007</v>
      </c>
      <c r="L1532" s="229" t="s">
        <v>1865</v>
      </c>
      <c r="M1532" s="229" t="s">
        <v>1871</v>
      </c>
      <c r="N1532" s="229" t="s">
        <v>256</v>
      </c>
      <c r="O1532" s="229" t="s">
        <v>261</v>
      </c>
      <c r="P1532" s="231"/>
    </row>
    <row r="1533" spans="1:16" ht="20.399999999999999" x14ac:dyDescent="0.25">
      <c r="A1533" s="227" t="s">
        <v>4094</v>
      </c>
      <c r="B1533" s="228" t="s">
        <v>4095</v>
      </c>
      <c r="C1533" s="228" t="s">
        <v>1707</v>
      </c>
      <c r="D1533" s="228" t="s">
        <v>1708</v>
      </c>
      <c r="E1533" s="229"/>
      <c r="F1533" s="229" t="s">
        <v>141</v>
      </c>
      <c r="G1533" s="229" t="s">
        <v>82</v>
      </c>
      <c r="H1533" s="229"/>
      <c r="I1533" s="229">
        <v>0</v>
      </c>
      <c r="J1533" s="229">
        <v>0</v>
      </c>
      <c r="K1533" s="230">
        <v>8.8000000000000007</v>
      </c>
      <c r="L1533" s="229" t="s">
        <v>1865</v>
      </c>
      <c r="M1533" s="229" t="s">
        <v>1871</v>
      </c>
      <c r="N1533" s="229" t="s">
        <v>256</v>
      </c>
      <c r="O1533" s="229" t="s">
        <v>261</v>
      </c>
      <c r="P1533" s="231"/>
    </row>
    <row r="1534" spans="1:16" ht="20.399999999999999" x14ac:dyDescent="0.25">
      <c r="A1534" s="227" t="s">
        <v>4096</v>
      </c>
      <c r="B1534" s="228" t="s">
        <v>3363</v>
      </c>
      <c r="C1534" s="228" t="s">
        <v>1707</v>
      </c>
      <c r="D1534" s="228" t="s">
        <v>1708</v>
      </c>
      <c r="E1534" s="229"/>
      <c r="F1534" s="229" t="s">
        <v>141</v>
      </c>
      <c r="G1534" s="229" t="s">
        <v>82</v>
      </c>
      <c r="H1534" s="229"/>
      <c r="I1534" s="229">
        <v>0</v>
      </c>
      <c r="J1534" s="229">
        <v>0</v>
      </c>
      <c r="K1534" s="230">
        <v>8.8000000000000007</v>
      </c>
      <c r="L1534" s="229" t="s">
        <v>1865</v>
      </c>
      <c r="M1534" s="229" t="s">
        <v>1871</v>
      </c>
      <c r="N1534" s="229" t="s">
        <v>256</v>
      </c>
      <c r="O1534" s="229" t="s">
        <v>261</v>
      </c>
      <c r="P1534" s="231"/>
    </row>
    <row r="1535" spans="1:16" ht="20.399999999999999" x14ac:dyDescent="0.25">
      <c r="A1535" s="227" t="s">
        <v>4097</v>
      </c>
      <c r="B1535" s="228" t="s">
        <v>3364</v>
      </c>
      <c r="C1535" s="228" t="s">
        <v>1707</v>
      </c>
      <c r="D1535" s="228" t="s">
        <v>1708</v>
      </c>
      <c r="E1535" s="229"/>
      <c r="F1535" s="229" t="s">
        <v>141</v>
      </c>
      <c r="G1535" s="229" t="s">
        <v>82</v>
      </c>
      <c r="H1535" s="229"/>
      <c r="I1535" s="229">
        <v>0</v>
      </c>
      <c r="J1535" s="229">
        <v>0.01</v>
      </c>
      <c r="K1535" s="230">
        <v>8.8000000000000007</v>
      </c>
      <c r="L1535" s="229" t="s">
        <v>1865</v>
      </c>
      <c r="M1535" s="229" t="s">
        <v>1871</v>
      </c>
      <c r="N1535" s="229" t="s">
        <v>256</v>
      </c>
      <c r="O1535" s="229" t="s">
        <v>261</v>
      </c>
      <c r="P1535" s="231"/>
    </row>
    <row r="1536" spans="1:16" ht="26.4" x14ac:dyDescent="0.25">
      <c r="A1536" s="227" t="s">
        <v>4509</v>
      </c>
      <c r="B1536" s="228"/>
      <c r="C1536" s="228" t="s">
        <v>1707</v>
      </c>
      <c r="D1536" s="228" t="s">
        <v>1708</v>
      </c>
      <c r="E1536" s="229"/>
      <c r="F1536" s="229" t="s">
        <v>82</v>
      </c>
      <c r="G1536" s="229" t="s">
        <v>82</v>
      </c>
      <c r="H1536" s="229"/>
      <c r="I1536" s="229" t="s">
        <v>585</v>
      </c>
      <c r="J1536" s="229"/>
      <c r="K1536" s="230"/>
      <c r="L1536" s="229"/>
      <c r="M1536" s="229"/>
      <c r="N1536" s="229"/>
      <c r="O1536" s="229" t="s">
        <v>4510</v>
      </c>
      <c r="P1536" s="231"/>
    </row>
    <row r="1537" spans="1:16" ht="20.399999999999999" x14ac:dyDescent="0.25">
      <c r="A1537" s="227" t="s">
        <v>4511</v>
      </c>
      <c r="B1537" s="228" t="s">
        <v>3365</v>
      </c>
      <c r="C1537" s="228" t="s">
        <v>1707</v>
      </c>
      <c r="D1537" s="228" t="s">
        <v>1708</v>
      </c>
      <c r="E1537" s="229"/>
      <c r="F1537" s="229"/>
      <c r="G1537" s="229"/>
      <c r="H1537" s="229"/>
      <c r="I1537" s="229">
        <v>0</v>
      </c>
      <c r="J1537" s="229">
        <v>0</v>
      </c>
      <c r="K1537" s="230">
        <v>200</v>
      </c>
      <c r="L1537" s="229">
        <v>1</v>
      </c>
      <c r="M1537" s="229">
        <v>1</v>
      </c>
      <c r="N1537" s="229" t="s">
        <v>424</v>
      </c>
      <c r="O1537" s="229" t="s">
        <v>1003</v>
      </c>
      <c r="P1537" s="231"/>
    </row>
    <row r="1538" spans="1:16" ht="20.399999999999999" x14ac:dyDescent="0.25">
      <c r="A1538" s="227" t="s">
        <v>4512</v>
      </c>
      <c r="B1538" s="228" t="s">
        <v>3366</v>
      </c>
      <c r="C1538" s="228" t="s">
        <v>1707</v>
      </c>
      <c r="D1538" s="228" t="s">
        <v>1708</v>
      </c>
      <c r="E1538" s="229"/>
      <c r="F1538" s="229"/>
      <c r="G1538" s="229"/>
      <c r="H1538" s="229"/>
      <c r="I1538" s="229">
        <v>0</v>
      </c>
      <c r="J1538" s="229">
        <v>0</v>
      </c>
      <c r="K1538" s="230">
        <v>200</v>
      </c>
      <c r="L1538" s="229">
        <v>1</v>
      </c>
      <c r="M1538" s="229">
        <v>1</v>
      </c>
      <c r="N1538" s="229" t="s">
        <v>424</v>
      </c>
      <c r="O1538" s="229" t="s">
        <v>1003</v>
      </c>
      <c r="P1538" s="231"/>
    </row>
    <row r="1539" spans="1:16" ht="20.399999999999999" x14ac:dyDescent="0.25">
      <c r="A1539" s="227" t="s">
        <v>4513</v>
      </c>
      <c r="B1539" s="228" t="s">
        <v>3367</v>
      </c>
      <c r="C1539" s="228" t="s">
        <v>1707</v>
      </c>
      <c r="D1539" s="228" t="s">
        <v>1708</v>
      </c>
      <c r="E1539" s="229"/>
      <c r="F1539" s="229"/>
      <c r="G1539" s="229"/>
      <c r="H1539" s="229"/>
      <c r="I1539" s="229">
        <v>0</v>
      </c>
      <c r="J1539" s="229">
        <v>0</v>
      </c>
      <c r="K1539" s="230">
        <v>200</v>
      </c>
      <c r="L1539" s="229">
        <v>1</v>
      </c>
      <c r="M1539" s="229">
        <v>1</v>
      </c>
      <c r="N1539" s="229" t="s">
        <v>424</v>
      </c>
      <c r="O1539" s="229" t="s">
        <v>1003</v>
      </c>
      <c r="P1539" s="231"/>
    </row>
    <row r="1540" spans="1:16" ht="20.399999999999999" x14ac:dyDescent="0.25">
      <c r="A1540" s="227" t="s">
        <v>4514</v>
      </c>
      <c r="B1540" s="228" t="s">
        <v>3368</v>
      </c>
      <c r="C1540" s="228" t="s">
        <v>1707</v>
      </c>
      <c r="D1540" s="228" t="s">
        <v>1708</v>
      </c>
      <c r="E1540" s="229"/>
      <c r="F1540" s="229"/>
      <c r="G1540" s="229"/>
      <c r="H1540" s="229"/>
      <c r="I1540" s="229">
        <v>0</v>
      </c>
      <c r="J1540" s="229">
        <v>0</v>
      </c>
      <c r="K1540" s="230">
        <v>200</v>
      </c>
      <c r="L1540" s="229">
        <v>1</v>
      </c>
      <c r="M1540" s="229">
        <v>1</v>
      </c>
      <c r="N1540" s="229" t="s">
        <v>424</v>
      </c>
      <c r="O1540" s="229" t="s">
        <v>1003</v>
      </c>
      <c r="P1540" s="231"/>
    </row>
    <row r="1541" spans="1:16" x14ac:dyDescent="0.25">
      <c r="A1541" s="227" t="s">
        <v>4515</v>
      </c>
      <c r="B1541" s="228" t="s">
        <v>4516</v>
      </c>
      <c r="C1541" s="228" t="s">
        <v>1707</v>
      </c>
      <c r="D1541" s="228" t="s">
        <v>1708</v>
      </c>
      <c r="E1541" s="229"/>
      <c r="F1541" s="229" t="s">
        <v>139</v>
      </c>
      <c r="G1541" s="229" t="s">
        <v>82</v>
      </c>
      <c r="H1541" s="229"/>
      <c r="I1541" s="229" t="b">
        <v>0</v>
      </c>
      <c r="J1541" s="229" t="b">
        <v>0</v>
      </c>
      <c r="K1541" s="230" t="b">
        <v>1</v>
      </c>
      <c r="L1541" s="229" t="s">
        <v>1871</v>
      </c>
      <c r="M1541" s="229">
        <v>0</v>
      </c>
      <c r="N1541" s="229" t="s">
        <v>424</v>
      </c>
      <c r="O1541" s="229" t="s">
        <v>929</v>
      </c>
      <c r="P1541" s="231"/>
    </row>
    <row r="1542" spans="1:16" x14ac:dyDescent="0.25">
      <c r="A1542" s="227" t="s">
        <v>4517</v>
      </c>
      <c r="B1542" s="228" t="s">
        <v>4518</v>
      </c>
      <c r="C1542" s="228" t="s">
        <v>1707</v>
      </c>
      <c r="D1542" s="228" t="s">
        <v>1708</v>
      </c>
      <c r="E1542" s="229"/>
      <c r="F1542" s="229" t="s">
        <v>139</v>
      </c>
      <c r="G1542" s="229" t="s">
        <v>82</v>
      </c>
      <c r="H1542" s="229"/>
      <c r="I1542" s="229" t="b">
        <v>1</v>
      </c>
      <c r="J1542" s="229" t="b">
        <v>0</v>
      </c>
      <c r="K1542" s="230" t="b">
        <v>1</v>
      </c>
      <c r="L1542" s="229" t="s">
        <v>1871</v>
      </c>
      <c r="M1542" s="229">
        <v>0</v>
      </c>
      <c r="N1542" s="229" t="s">
        <v>424</v>
      </c>
      <c r="O1542" s="229" t="s">
        <v>501</v>
      </c>
      <c r="P1542" s="231"/>
    </row>
    <row r="1543" spans="1:16" x14ac:dyDescent="0.25">
      <c r="A1543" s="227" t="s">
        <v>4755</v>
      </c>
      <c r="B1543" s="228" t="s">
        <v>4519</v>
      </c>
      <c r="C1543" s="228" t="s">
        <v>1707</v>
      </c>
      <c r="D1543" s="228" t="s">
        <v>1708</v>
      </c>
      <c r="E1543" s="229"/>
      <c r="F1543" s="229" t="s">
        <v>139</v>
      </c>
      <c r="G1543" s="229" t="s">
        <v>82</v>
      </c>
      <c r="H1543" s="229"/>
      <c r="I1543" s="229">
        <v>0</v>
      </c>
      <c r="J1543" s="229">
        <v>0</v>
      </c>
      <c r="K1543" s="230">
        <v>60.1</v>
      </c>
      <c r="L1543" s="229" t="s">
        <v>1865</v>
      </c>
      <c r="M1543" s="229">
        <v>1E-4</v>
      </c>
      <c r="N1543" s="229" t="s">
        <v>651</v>
      </c>
      <c r="O1543" s="229" t="s">
        <v>261</v>
      </c>
      <c r="P1543" s="231"/>
    </row>
    <row r="1544" spans="1:16" ht="20.399999999999999" x14ac:dyDescent="0.25">
      <c r="A1544" s="227" t="s">
        <v>4520</v>
      </c>
      <c r="B1544" s="228" t="s">
        <v>3365</v>
      </c>
      <c r="C1544" s="228" t="s">
        <v>1707</v>
      </c>
      <c r="D1544" s="228" t="s">
        <v>1708</v>
      </c>
      <c r="E1544" s="229"/>
      <c r="F1544" s="229" t="s">
        <v>139</v>
      </c>
      <c r="G1544" s="229" t="s">
        <v>82</v>
      </c>
      <c r="H1544" s="229"/>
      <c r="I1544" s="229">
        <v>0</v>
      </c>
      <c r="J1544" s="229">
        <v>0</v>
      </c>
      <c r="K1544" s="230">
        <v>200</v>
      </c>
      <c r="L1544" s="229">
        <v>1</v>
      </c>
      <c r="M1544" s="229">
        <v>1</v>
      </c>
      <c r="N1544" s="229" t="s">
        <v>424</v>
      </c>
      <c r="O1544" s="229" t="s">
        <v>1003</v>
      </c>
      <c r="P1544" s="231"/>
    </row>
    <row r="1545" spans="1:16" ht="20.399999999999999" x14ac:dyDescent="0.25">
      <c r="A1545" s="227" t="s">
        <v>4521</v>
      </c>
      <c r="B1545" s="228" t="s">
        <v>3366</v>
      </c>
      <c r="C1545" s="228" t="s">
        <v>1707</v>
      </c>
      <c r="D1545" s="228" t="s">
        <v>1708</v>
      </c>
      <c r="E1545" s="229"/>
      <c r="F1545" s="229" t="s">
        <v>139</v>
      </c>
      <c r="G1545" s="229" t="s">
        <v>82</v>
      </c>
      <c r="H1545" s="229"/>
      <c r="I1545" s="229">
        <v>0</v>
      </c>
      <c r="J1545" s="229">
        <v>0</v>
      </c>
      <c r="K1545" s="230">
        <v>200</v>
      </c>
      <c r="L1545" s="229">
        <v>1</v>
      </c>
      <c r="M1545" s="229">
        <v>1</v>
      </c>
      <c r="N1545" s="229" t="s">
        <v>424</v>
      </c>
      <c r="O1545" s="229" t="s">
        <v>1003</v>
      </c>
      <c r="P1545" s="231"/>
    </row>
    <row r="1546" spans="1:16" ht="20.399999999999999" x14ac:dyDescent="0.25">
      <c r="A1546" s="227" t="s">
        <v>4522</v>
      </c>
      <c r="B1546" s="228" t="s">
        <v>3367</v>
      </c>
      <c r="C1546" s="228" t="s">
        <v>1707</v>
      </c>
      <c r="D1546" s="228" t="s">
        <v>1708</v>
      </c>
      <c r="E1546" s="229"/>
      <c r="F1546" s="229" t="s">
        <v>139</v>
      </c>
      <c r="G1546" s="229" t="s">
        <v>82</v>
      </c>
      <c r="H1546" s="229"/>
      <c r="I1546" s="229">
        <v>0</v>
      </c>
      <c r="J1546" s="229">
        <v>0</v>
      </c>
      <c r="K1546" s="230">
        <v>200</v>
      </c>
      <c r="L1546" s="229">
        <v>1</v>
      </c>
      <c r="M1546" s="229">
        <v>1</v>
      </c>
      <c r="N1546" s="229" t="s">
        <v>424</v>
      </c>
      <c r="O1546" s="229" t="s">
        <v>1003</v>
      </c>
      <c r="P1546" s="231"/>
    </row>
    <row r="1547" spans="1:16" ht="20.399999999999999" x14ac:dyDescent="0.25">
      <c r="A1547" s="227" t="s">
        <v>4523</v>
      </c>
      <c r="B1547" s="228" t="s">
        <v>3368</v>
      </c>
      <c r="C1547" s="228" t="s">
        <v>1707</v>
      </c>
      <c r="D1547" s="228" t="s">
        <v>1708</v>
      </c>
      <c r="E1547" s="229"/>
      <c r="F1547" s="229" t="s">
        <v>139</v>
      </c>
      <c r="G1547" s="229" t="s">
        <v>82</v>
      </c>
      <c r="H1547" s="229"/>
      <c r="I1547" s="229">
        <v>0</v>
      </c>
      <c r="J1547" s="229">
        <v>0</v>
      </c>
      <c r="K1547" s="230">
        <v>200</v>
      </c>
      <c r="L1547" s="229">
        <v>1</v>
      </c>
      <c r="M1547" s="229">
        <v>1</v>
      </c>
      <c r="N1547" s="229" t="s">
        <v>424</v>
      </c>
      <c r="O1547" s="229" t="s">
        <v>1003</v>
      </c>
      <c r="P1547" s="231"/>
    </row>
    <row r="1548" spans="1:16" ht="39.6" x14ac:dyDescent="0.25">
      <c r="A1548" s="227" t="s">
        <v>2608</v>
      </c>
      <c r="B1548" s="228"/>
      <c r="C1548" s="228" t="s">
        <v>1818</v>
      </c>
      <c r="D1548" s="228"/>
      <c r="E1548" s="229" t="s">
        <v>3369</v>
      </c>
      <c r="F1548" s="229" t="s">
        <v>136</v>
      </c>
      <c r="G1548" s="229"/>
      <c r="H1548" s="229"/>
      <c r="I1548" s="229" t="b">
        <v>0</v>
      </c>
      <c r="J1548" s="229" t="b">
        <v>0</v>
      </c>
      <c r="K1548" s="230" t="b">
        <v>1</v>
      </c>
      <c r="L1548" s="229" t="s">
        <v>1883</v>
      </c>
      <c r="M1548" s="229"/>
      <c r="N1548" s="229" t="s">
        <v>424</v>
      </c>
      <c r="O1548" s="229" t="s">
        <v>501</v>
      </c>
      <c r="P1548" s="231"/>
    </row>
    <row r="1549" spans="1:16" ht="39.6" x14ac:dyDescent="0.25">
      <c r="A1549" s="227" t="s">
        <v>2597</v>
      </c>
      <c r="B1549" s="228"/>
      <c r="C1549" s="228" t="s">
        <v>1818</v>
      </c>
      <c r="D1549" s="228" t="s">
        <v>181</v>
      </c>
      <c r="E1549" s="229" t="s">
        <v>3370</v>
      </c>
      <c r="F1549" s="229" t="s">
        <v>138</v>
      </c>
      <c r="G1549" s="229"/>
      <c r="H1549" s="229"/>
      <c r="I1549" s="229" t="b">
        <v>0</v>
      </c>
      <c r="J1549" s="229" t="b">
        <v>0</v>
      </c>
      <c r="K1549" s="230" t="b">
        <v>1</v>
      </c>
      <c r="L1549" s="229" t="s">
        <v>1883</v>
      </c>
      <c r="M1549" s="229" t="s">
        <v>1883</v>
      </c>
      <c r="N1549" s="229" t="s">
        <v>424</v>
      </c>
      <c r="O1549" s="229" t="s">
        <v>501</v>
      </c>
      <c r="P1549" s="231"/>
    </row>
    <row r="1550" spans="1:16" ht="26.4" x14ac:dyDescent="0.25">
      <c r="A1550" s="227" t="s">
        <v>3371</v>
      </c>
      <c r="B1550" s="228" t="s">
        <v>3372</v>
      </c>
      <c r="C1550" s="228" t="s">
        <v>1818</v>
      </c>
      <c r="D1550" s="228" t="s">
        <v>181</v>
      </c>
      <c r="E1550" s="229" t="s">
        <v>3373</v>
      </c>
      <c r="F1550" s="229" t="s">
        <v>139</v>
      </c>
      <c r="G1550" s="229"/>
      <c r="H1550" s="229"/>
      <c r="I1550" s="229">
        <v>0</v>
      </c>
      <c r="J1550" s="229">
        <v>0</v>
      </c>
      <c r="K1550" s="230">
        <v>13</v>
      </c>
      <c r="L1550" s="229">
        <v>1</v>
      </c>
      <c r="M1550" s="229">
        <v>1</v>
      </c>
      <c r="N1550" s="229" t="s">
        <v>424</v>
      </c>
      <c r="O1550" s="229" t="s">
        <v>1003</v>
      </c>
      <c r="P1550" s="231"/>
    </row>
    <row r="1551" spans="1:16" x14ac:dyDescent="0.25">
      <c r="A1551" s="227" t="s">
        <v>3374</v>
      </c>
      <c r="B1551" s="228" t="s">
        <v>3375</v>
      </c>
      <c r="C1551" s="228" t="s">
        <v>1818</v>
      </c>
      <c r="D1551" s="228" t="s">
        <v>181</v>
      </c>
      <c r="E1551" s="229" t="s">
        <v>3376</v>
      </c>
      <c r="F1551" s="229" t="s">
        <v>139</v>
      </c>
      <c r="G1551" s="229"/>
      <c r="H1551" s="229"/>
      <c r="I1551" s="229">
        <v>0</v>
      </c>
      <c r="J1551" s="229">
        <v>0</v>
      </c>
      <c r="K1551" s="230">
        <v>3</v>
      </c>
      <c r="L1551" s="229">
        <v>1</v>
      </c>
      <c r="M1551" s="229">
        <v>1</v>
      </c>
      <c r="N1551" s="229" t="s">
        <v>424</v>
      </c>
      <c r="O1551" s="229" t="s">
        <v>1003</v>
      </c>
      <c r="P1551" s="231"/>
    </row>
    <row r="1552" spans="1:16" x14ac:dyDescent="0.25">
      <c r="A1552" s="227" t="s">
        <v>3377</v>
      </c>
      <c r="B1552" s="228" t="s">
        <v>1883</v>
      </c>
      <c r="C1552" s="228" t="s">
        <v>1818</v>
      </c>
      <c r="D1552" s="228" t="s">
        <v>181</v>
      </c>
      <c r="E1552" s="229" t="s">
        <v>3378</v>
      </c>
      <c r="F1552" s="229" t="s">
        <v>139</v>
      </c>
      <c r="G1552" s="229"/>
      <c r="H1552" s="229"/>
      <c r="I1552" s="229">
        <v>0</v>
      </c>
      <c r="J1552" s="229">
        <v>0</v>
      </c>
      <c r="K1552" s="230">
        <v>255</v>
      </c>
      <c r="L1552" s="229">
        <v>1</v>
      </c>
      <c r="M1552" s="229">
        <v>1</v>
      </c>
      <c r="N1552" s="229" t="s">
        <v>424</v>
      </c>
      <c r="O1552" s="229" t="s">
        <v>1003</v>
      </c>
      <c r="P1552" s="231"/>
    </row>
    <row r="1553" spans="1:16" ht="26.4" x14ac:dyDescent="0.25">
      <c r="A1553" s="227" t="s">
        <v>3379</v>
      </c>
      <c r="B1553" s="228" t="s">
        <v>3380</v>
      </c>
      <c r="C1553" s="228" t="s">
        <v>1818</v>
      </c>
      <c r="D1553" s="228" t="s">
        <v>181</v>
      </c>
      <c r="E1553" s="229" t="s">
        <v>3381</v>
      </c>
      <c r="F1553" s="229" t="s">
        <v>139</v>
      </c>
      <c r="G1553" s="229"/>
      <c r="H1553" s="229"/>
      <c r="I1553" s="229">
        <v>0</v>
      </c>
      <c r="J1553" s="229">
        <v>0</v>
      </c>
      <c r="K1553" s="230">
        <v>4294967295</v>
      </c>
      <c r="L1553" s="229">
        <v>1</v>
      </c>
      <c r="M1553" s="229">
        <v>1</v>
      </c>
      <c r="N1553" s="229" t="s">
        <v>424</v>
      </c>
      <c r="O1553" s="229" t="s">
        <v>321</v>
      </c>
      <c r="P1553" s="231"/>
    </row>
    <row r="1554" spans="1:16" x14ac:dyDescent="0.25">
      <c r="A1554" s="227" t="s">
        <v>3382</v>
      </c>
      <c r="B1554" s="228"/>
      <c r="C1554" s="228" t="s">
        <v>1818</v>
      </c>
      <c r="D1554" s="228" t="s">
        <v>181</v>
      </c>
      <c r="E1554" s="229"/>
      <c r="F1554" s="229" t="s">
        <v>139</v>
      </c>
      <c r="G1554" s="229"/>
      <c r="H1554" s="229"/>
      <c r="I1554" s="229" t="b">
        <v>0</v>
      </c>
      <c r="J1554" s="229" t="b">
        <v>0</v>
      </c>
      <c r="K1554" s="230" t="b">
        <v>1</v>
      </c>
      <c r="L1554" s="229">
        <v>1</v>
      </c>
      <c r="M1554" s="229">
        <v>1</v>
      </c>
      <c r="N1554" s="229" t="s">
        <v>424</v>
      </c>
      <c r="O1554" s="229" t="s">
        <v>501</v>
      </c>
      <c r="P1554" s="231"/>
    </row>
    <row r="1555" spans="1:16" x14ac:dyDescent="0.25">
      <c r="A1555" s="227" t="s">
        <v>3383</v>
      </c>
      <c r="B1555" s="228"/>
      <c r="C1555" s="228" t="s">
        <v>1818</v>
      </c>
      <c r="D1555" s="228" t="s">
        <v>181</v>
      </c>
      <c r="E1555" s="229"/>
      <c r="F1555" s="229" t="s">
        <v>139</v>
      </c>
      <c r="G1555" s="229"/>
      <c r="H1555" s="229"/>
      <c r="I1555" s="229">
        <v>0</v>
      </c>
      <c r="J1555" s="229">
        <v>0</v>
      </c>
      <c r="K1555" s="230">
        <v>1000</v>
      </c>
      <c r="L1555" s="229">
        <v>1</v>
      </c>
      <c r="M1555" s="229">
        <v>1</v>
      </c>
      <c r="N1555" s="229" t="s">
        <v>424</v>
      </c>
      <c r="O1555" s="229" t="s">
        <v>3384</v>
      </c>
      <c r="P1555" s="231"/>
    </row>
    <row r="1556" spans="1:16" ht="39.6" x14ac:dyDescent="0.25">
      <c r="A1556" s="227" t="s">
        <v>3867</v>
      </c>
      <c r="B1556" s="228"/>
      <c r="C1556" s="228" t="s">
        <v>1826</v>
      </c>
      <c r="D1556" s="228"/>
      <c r="E1556" s="229" t="s">
        <v>3868</v>
      </c>
      <c r="F1556" s="229" t="s">
        <v>141</v>
      </c>
      <c r="G1556" s="229"/>
      <c r="H1556" s="229"/>
      <c r="I1556" s="229" t="s">
        <v>1871</v>
      </c>
      <c r="J1556" s="229" t="s">
        <v>909</v>
      </c>
      <c r="K1556" s="230" t="s">
        <v>909</v>
      </c>
      <c r="L1556" s="229" t="s">
        <v>1871</v>
      </c>
      <c r="M1556" s="229" t="s">
        <v>1871</v>
      </c>
      <c r="N1556" s="229" t="s">
        <v>424</v>
      </c>
      <c r="O1556" s="229" t="s">
        <v>321</v>
      </c>
      <c r="P1556" s="231" t="s">
        <v>3869</v>
      </c>
    </row>
    <row r="1557" spans="1:16" x14ac:dyDescent="0.25">
      <c r="A1557" s="227" t="s">
        <v>4524</v>
      </c>
      <c r="B1557" s="228"/>
      <c r="C1557" s="228" t="s">
        <v>1840</v>
      </c>
      <c r="D1557" s="228"/>
      <c r="E1557" s="229"/>
      <c r="F1557" s="229" t="s">
        <v>139</v>
      </c>
      <c r="G1557" s="229" t="s">
        <v>82</v>
      </c>
      <c r="H1557" s="229"/>
      <c r="I1557" s="229" t="s">
        <v>1871</v>
      </c>
      <c r="J1557" s="229" t="s">
        <v>1871</v>
      </c>
      <c r="K1557" s="230" t="s">
        <v>1871</v>
      </c>
      <c r="L1557" s="229" t="s">
        <v>1871</v>
      </c>
      <c r="M1557" s="229"/>
      <c r="N1557" s="229" t="s">
        <v>1871</v>
      </c>
      <c r="O1557" s="229" t="s">
        <v>1960</v>
      </c>
      <c r="P1557" s="231"/>
    </row>
    <row r="1558" spans="1:16" ht="20.399999999999999" x14ac:dyDescent="0.25">
      <c r="A1558" s="227" t="s">
        <v>4525</v>
      </c>
      <c r="B1558" s="228"/>
      <c r="C1558" s="228" t="s">
        <v>1840</v>
      </c>
      <c r="D1558" s="228"/>
      <c r="E1558" s="229"/>
      <c r="F1558" s="229" t="s">
        <v>139</v>
      </c>
      <c r="G1558" s="229" t="s">
        <v>82</v>
      </c>
      <c r="H1558" s="229"/>
      <c r="I1558" s="229">
        <v>0</v>
      </c>
      <c r="J1558" s="229">
        <v>-31</v>
      </c>
      <c r="K1558" s="230">
        <v>31</v>
      </c>
      <c r="L1558" s="229" t="s">
        <v>1865</v>
      </c>
      <c r="M1558" s="229"/>
      <c r="N1558" s="229" t="s">
        <v>260</v>
      </c>
      <c r="O1558" s="229" t="s">
        <v>261</v>
      </c>
      <c r="P1558" s="231"/>
    </row>
    <row r="1559" spans="1:16" ht="20.399999999999999" x14ac:dyDescent="0.25">
      <c r="A1559" s="227" t="s">
        <v>4526</v>
      </c>
      <c r="B1559" s="228"/>
      <c r="C1559" s="228" t="s">
        <v>1840</v>
      </c>
      <c r="D1559" s="228"/>
      <c r="E1559" s="229"/>
      <c r="F1559" s="229" t="s">
        <v>139</v>
      </c>
      <c r="G1559" s="229" t="s">
        <v>82</v>
      </c>
      <c r="H1559" s="229"/>
      <c r="I1559" s="229">
        <v>0</v>
      </c>
      <c r="J1559" s="229">
        <v>0</v>
      </c>
      <c r="K1559" s="230">
        <v>0.95678608200000004</v>
      </c>
      <c r="L1559" s="229" t="s">
        <v>1865</v>
      </c>
      <c r="M1559" s="229"/>
      <c r="N1559" s="229" t="s">
        <v>260</v>
      </c>
      <c r="O1559" s="229" t="s">
        <v>261</v>
      </c>
      <c r="P1559" s="231"/>
    </row>
    <row r="1560" spans="1:16" x14ac:dyDescent="0.25">
      <c r="A1560" s="227" t="s">
        <v>4527</v>
      </c>
      <c r="B1560" s="228"/>
      <c r="C1560" s="228" t="s">
        <v>1840</v>
      </c>
      <c r="D1560" s="228"/>
      <c r="E1560" s="229"/>
      <c r="F1560" s="229" t="s">
        <v>139</v>
      </c>
      <c r="G1560" s="229" t="s">
        <v>82</v>
      </c>
      <c r="H1560" s="229"/>
      <c r="I1560" s="229" t="s">
        <v>1871</v>
      </c>
      <c r="J1560" s="229" t="s">
        <v>1871</v>
      </c>
      <c r="K1560" s="230" t="s">
        <v>1871</v>
      </c>
      <c r="L1560" s="229" t="s">
        <v>1871</v>
      </c>
      <c r="M1560" s="229"/>
      <c r="N1560" s="229" t="s">
        <v>1871</v>
      </c>
      <c r="O1560" s="229" t="s">
        <v>1960</v>
      </c>
      <c r="P1560" s="231"/>
    </row>
    <row r="1561" spans="1:16" ht="20.399999999999999" x14ac:dyDescent="0.25">
      <c r="A1561" s="227" t="s">
        <v>4528</v>
      </c>
      <c r="B1561" s="228"/>
      <c r="C1561" s="228" t="s">
        <v>1840</v>
      </c>
      <c r="D1561" s="228"/>
      <c r="E1561" s="229"/>
      <c r="F1561" s="229" t="s">
        <v>139</v>
      </c>
      <c r="G1561" s="229" t="s">
        <v>82</v>
      </c>
      <c r="H1561" s="229"/>
      <c r="I1561" s="229">
        <v>0</v>
      </c>
      <c r="J1561" s="229">
        <v>-31</v>
      </c>
      <c r="K1561" s="230">
        <v>31</v>
      </c>
      <c r="L1561" s="229" t="s">
        <v>1865</v>
      </c>
      <c r="M1561" s="229"/>
      <c r="N1561" s="229" t="s">
        <v>260</v>
      </c>
      <c r="O1561" s="229" t="s">
        <v>261</v>
      </c>
      <c r="P1561" s="231"/>
    </row>
    <row r="1562" spans="1:16" ht="20.399999999999999" x14ac:dyDescent="0.25">
      <c r="A1562" s="227" t="s">
        <v>4529</v>
      </c>
      <c r="B1562" s="228"/>
      <c r="C1562" s="228" t="s">
        <v>1840</v>
      </c>
      <c r="D1562" s="228"/>
      <c r="E1562" s="229"/>
      <c r="F1562" s="229" t="s">
        <v>139</v>
      </c>
      <c r="G1562" s="229" t="s">
        <v>82</v>
      </c>
      <c r="H1562" s="229"/>
      <c r="I1562" s="229">
        <v>0</v>
      </c>
      <c r="J1562" s="229">
        <v>0</v>
      </c>
      <c r="K1562" s="230">
        <v>0.95678608200000004</v>
      </c>
      <c r="L1562" s="229" t="s">
        <v>1865</v>
      </c>
      <c r="M1562" s="229"/>
      <c r="N1562" s="229" t="s">
        <v>260</v>
      </c>
      <c r="O1562" s="229" t="s">
        <v>261</v>
      </c>
      <c r="P1562" s="231"/>
    </row>
    <row r="1563" spans="1:16" x14ac:dyDescent="0.25">
      <c r="A1563" s="227" t="s">
        <v>4530</v>
      </c>
      <c r="B1563" s="228"/>
      <c r="C1563" s="228" t="s">
        <v>1840</v>
      </c>
      <c r="D1563" s="228"/>
      <c r="E1563" s="229"/>
      <c r="F1563" s="229" t="s">
        <v>139</v>
      </c>
      <c r="G1563" s="229" t="s">
        <v>82</v>
      </c>
      <c r="H1563" s="229"/>
      <c r="I1563" s="229" t="s">
        <v>1871</v>
      </c>
      <c r="J1563" s="229" t="s">
        <v>1871</v>
      </c>
      <c r="K1563" s="230" t="s">
        <v>1871</v>
      </c>
      <c r="L1563" s="229" t="s">
        <v>1871</v>
      </c>
      <c r="M1563" s="229"/>
      <c r="N1563" s="229" t="s">
        <v>1871</v>
      </c>
      <c r="O1563" s="229" t="s">
        <v>1960</v>
      </c>
      <c r="P1563" s="231"/>
    </row>
    <row r="1564" spans="1:16" ht="20.399999999999999" x14ac:dyDescent="0.25">
      <c r="A1564" s="227" t="s">
        <v>4531</v>
      </c>
      <c r="B1564" s="228"/>
      <c r="C1564" s="228" t="s">
        <v>1840</v>
      </c>
      <c r="D1564" s="228"/>
      <c r="E1564" s="229"/>
      <c r="F1564" s="229" t="s">
        <v>139</v>
      </c>
      <c r="G1564" s="229" t="s">
        <v>82</v>
      </c>
      <c r="H1564" s="229"/>
      <c r="I1564" s="229">
        <v>0</v>
      </c>
      <c r="J1564" s="229">
        <v>-31</v>
      </c>
      <c r="K1564" s="230">
        <v>31</v>
      </c>
      <c r="L1564" s="229" t="s">
        <v>1865</v>
      </c>
      <c r="M1564" s="229"/>
      <c r="N1564" s="229" t="s">
        <v>260</v>
      </c>
      <c r="O1564" s="229" t="s">
        <v>261</v>
      </c>
      <c r="P1564" s="231"/>
    </row>
    <row r="1565" spans="1:16" ht="20.399999999999999" x14ac:dyDescent="0.25">
      <c r="A1565" s="227" t="s">
        <v>4532</v>
      </c>
      <c r="B1565" s="228"/>
      <c r="C1565" s="228" t="s">
        <v>1840</v>
      </c>
      <c r="D1565" s="228"/>
      <c r="E1565" s="229"/>
      <c r="F1565" s="229" t="s">
        <v>139</v>
      </c>
      <c r="G1565" s="229" t="s">
        <v>82</v>
      </c>
      <c r="H1565" s="229"/>
      <c r="I1565" s="229">
        <v>0</v>
      </c>
      <c r="J1565" s="229">
        <v>0</v>
      </c>
      <c r="K1565" s="230">
        <v>0.95678608200000004</v>
      </c>
      <c r="L1565" s="229" t="s">
        <v>1865</v>
      </c>
      <c r="M1565" s="229"/>
      <c r="N1565" s="229" t="s">
        <v>260</v>
      </c>
      <c r="O1565" s="229" t="s">
        <v>261</v>
      </c>
      <c r="P1565" s="231"/>
    </row>
    <row r="1566" spans="1:16" x14ac:dyDescent="0.25">
      <c r="A1566" s="227" t="s">
        <v>4533</v>
      </c>
      <c r="B1566" s="228"/>
      <c r="C1566" s="228" t="s">
        <v>1840</v>
      </c>
      <c r="D1566" s="228"/>
      <c r="E1566" s="229"/>
      <c r="F1566" s="229" t="s">
        <v>139</v>
      </c>
      <c r="G1566" s="229" t="s">
        <v>82</v>
      </c>
      <c r="H1566" s="229"/>
      <c r="I1566" s="229" t="s">
        <v>1871</v>
      </c>
      <c r="J1566" s="229" t="s">
        <v>1871</v>
      </c>
      <c r="K1566" s="230" t="s">
        <v>1871</v>
      </c>
      <c r="L1566" s="229" t="s">
        <v>1871</v>
      </c>
      <c r="M1566" s="229"/>
      <c r="N1566" s="229" t="s">
        <v>1871</v>
      </c>
      <c r="O1566" s="229" t="s">
        <v>1960</v>
      </c>
      <c r="P1566" s="231"/>
    </row>
    <row r="1567" spans="1:16" ht="20.399999999999999" x14ac:dyDescent="0.25">
      <c r="A1567" s="227" t="s">
        <v>4534</v>
      </c>
      <c r="B1567" s="228"/>
      <c r="C1567" s="228" t="s">
        <v>1840</v>
      </c>
      <c r="D1567" s="228"/>
      <c r="E1567" s="229"/>
      <c r="F1567" s="229" t="s">
        <v>139</v>
      </c>
      <c r="G1567" s="229" t="s">
        <v>82</v>
      </c>
      <c r="H1567" s="229"/>
      <c r="I1567" s="229">
        <v>0</v>
      </c>
      <c r="J1567" s="229">
        <v>-31</v>
      </c>
      <c r="K1567" s="230">
        <v>31</v>
      </c>
      <c r="L1567" s="229" t="s">
        <v>1865</v>
      </c>
      <c r="M1567" s="229"/>
      <c r="N1567" s="229" t="s">
        <v>260</v>
      </c>
      <c r="O1567" s="229" t="s">
        <v>261</v>
      </c>
      <c r="P1567" s="231"/>
    </row>
    <row r="1568" spans="1:16" ht="20.399999999999999" x14ac:dyDescent="0.25">
      <c r="A1568" s="227" t="s">
        <v>4535</v>
      </c>
      <c r="B1568" s="228"/>
      <c r="C1568" s="228" t="s">
        <v>1840</v>
      </c>
      <c r="D1568" s="228"/>
      <c r="E1568" s="229"/>
      <c r="F1568" s="229" t="s">
        <v>139</v>
      </c>
      <c r="G1568" s="229" t="s">
        <v>82</v>
      </c>
      <c r="H1568" s="229"/>
      <c r="I1568" s="229">
        <v>0</v>
      </c>
      <c r="J1568" s="229">
        <v>0</v>
      </c>
      <c r="K1568" s="230">
        <v>0.95678608200000004</v>
      </c>
      <c r="L1568" s="229" t="s">
        <v>1865</v>
      </c>
      <c r="M1568" s="229"/>
      <c r="N1568" s="229" t="s">
        <v>260</v>
      </c>
      <c r="O1568" s="229" t="s">
        <v>261</v>
      </c>
      <c r="P1568" s="231"/>
    </row>
    <row r="1569" spans="1:16" ht="20.399999999999999" x14ac:dyDescent="0.25">
      <c r="A1569" s="227" t="s">
        <v>4536</v>
      </c>
      <c r="B1569" s="228"/>
      <c r="C1569" s="228" t="s">
        <v>1840</v>
      </c>
      <c r="D1569" s="228"/>
      <c r="E1569" s="229"/>
      <c r="F1569" s="229" t="s">
        <v>139</v>
      </c>
      <c r="G1569" s="229" t="s">
        <v>82</v>
      </c>
      <c r="H1569" s="229"/>
      <c r="I1569" s="229">
        <v>0</v>
      </c>
      <c r="J1569" s="229">
        <v>0</v>
      </c>
      <c r="K1569" s="230">
        <v>255</v>
      </c>
      <c r="L1569" s="229">
        <v>1</v>
      </c>
      <c r="M1569" s="229">
        <v>1</v>
      </c>
      <c r="N1569" s="229" t="s">
        <v>271</v>
      </c>
      <c r="O1569" s="229" t="s">
        <v>267</v>
      </c>
      <c r="P1569" s="231"/>
    </row>
    <row r="1570" spans="1:16" ht="20.399999999999999" x14ac:dyDescent="0.25">
      <c r="A1570" s="227" t="s">
        <v>4537</v>
      </c>
      <c r="B1570" s="228"/>
      <c r="C1570" s="228" t="s">
        <v>1840</v>
      </c>
      <c r="D1570" s="228"/>
      <c r="E1570" s="229"/>
      <c r="F1570" s="229" t="s">
        <v>139</v>
      </c>
      <c r="G1570" s="229" t="s">
        <v>82</v>
      </c>
      <c r="H1570" s="229"/>
      <c r="I1570" s="229">
        <v>0</v>
      </c>
      <c r="J1570" s="229">
        <v>0</v>
      </c>
      <c r="K1570" s="230">
        <v>255</v>
      </c>
      <c r="L1570" s="229">
        <v>1</v>
      </c>
      <c r="M1570" s="229">
        <v>1</v>
      </c>
      <c r="N1570" s="229" t="s">
        <v>271</v>
      </c>
      <c r="O1570" s="229" t="s">
        <v>267</v>
      </c>
      <c r="P1570" s="231"/>
    </row>
    <row r="1571" spans="1:16" ht="20.399999999999999" x14ac:dyDescent="0.25">
      <c r="A1571" s="227" t="s">
        <v>4538</v>
      </c>
      <c r="B1571" s="228"/>
      <c r="C1571" s="228" t="s">
        <v>1840</v>
      </c>
      <c r="D1571" s="228"/>
      <c r="E1571" s="229"/>
      <c r="F1571" s="229" t="s">
        <v>141</v>
      </c>
      <c r="G1571" s="229" t="s">
        <v>82</v>
      </c>
      <c r="H1571" s="229"/>
      <c r="I1571" s="229">
        <v>0</v>
      </c>
      <c r="J1571" s="229">
        <v>-31</v>
      </c>
      <c r="K1571" s="230">
        <v>31</v>
      </c>
      <c r="L1571" s="229" t="s">
        <v>1865</v>
      </c>
      <c r="M1571" s="229">
        <v>9.765625E-4</v>
      </c>
      <c r="N1571" s="229" t="s">
        <v>654</v>
      </c>
      <c r="O1571" s="229" t="s">
        <v>261</v>
      </c>
      <c r="P1571" s="231"/>
    </row>
    <row r="1572" spans="1:16" ht="20.399999999999999" x14ac:dyDescent="0.25">
      <c r="A1572" s="227" t="s">
        <v>4539</v>
      </c>
      <c r="B1572" s="228"/>
      <c r="C1572" s="228" t="s">
        <v>1840</v>
      </c>
      <c r="D1572" s="228"/>
      <c r="E1572" s="229"/>
      <c r="F1572" s="229" t="s">
        <v>141</v>
      </c>
      <c r="G1572" s="229" t="s">
        <v>82</v>
      </c>
      <c r="H1572" s="229"/>
      <c r="I1572" s="229">
        <v>0</v>
      </c>
      <c r="J1572" s="229">
        <v>-31</v>
      </c>
      <c r="K1572" s="230">
        <v>31</v>
      </c>
      <c r="L1572" s="229" t="s">
        <v>1865</v>
      </c>
      <c r="M1572" s="229">
        <v>9.765625E-4</v>
      </c>
      <c r="N1572" s="229" t="s">
        <v>654</v>
      </c>
      <c r="O1572" s="229" t="s">
        <v>261</v>
      </c>
      <c r="P1572" s="231"/>
    </row>
    <row r="1573" spans="1:16" ht="20.399999999999999" x14ac:dyDescent="0.25">
      <c r="A1573" s="227" t="s">
        <v>4540</v>
      </c>
      <c r="B1573" s="228"/>
      <c r="C1573" s="228" t="s">
        <v>1840</v>
      </c>
      <c r="D1573" s="228"/>
      <c r="E1573" s="229"/>
      <c r="F1573" s="229" t="s">
        <v>141</v>
      </c>
      <c r="G1573" s="229" t="s">
        <v>82</v>
      </c>
      <c r="H1573" s="229"/>
      <c r="I1573" s="229">
        <v>0</v>
      </c>
      <c r="J1573" s="229">
        <v>-31</v>
      </c>
      <c r="K1573" s="230">
        <v>31</v>
      </c>
      <c r="L1573" s="229" t="s">
        <v>1865</v>
      </c>
      <c r="M1573" s="229">
        <v>9.765625E-4</v>
      </c>
      <c r="N1573" s="229" t="s">
        <v>654</v>
      </c>
      <c r="O1573" s="229" t="s">
        <v>261</v>
      </c>
      <c r="P1573" s="231"/>
    </row>
    <row r="1574" spans="1:16" ht="20.399999999999999" x14ac:dyDescent="0.25">
      <c r="A1574" s="227" t="s">
        <v>4541</v>
      </c>
      <c r="B1574" s="228"/>
      <c r="C1574" s="228" t="s">
        <v>1840</v>
      </c>
      <c r="D1574" s="228"/>
      <c r="E1574" s="229"/>
      <c r="F1574" s="229" t="s">
        <v>141</v>
      </c>
      <c r="G1574" s="229" t="s">
        <v>82</v>
      </c>
      <c r="H1574" s="229"/>
      <c r="I1574" s="229">
        <v>0</v>
      </c>
      <c r="J1574" s="229">
        <v>-31</v>
      </c>
      <c r="K1574" s="230">
        <v>31</v>
      </c>
      <c r="L1574" s="229" t="s">
        <v>1865</v>
      </c>
      <c r="M1574" s="229">
        <v>9.765625E-4</v>
      </c>
      <c r="N1574" s="229" t="s">
        <v>654</v>
      </c>
      <c r="O1574" s="229" t="s">
        <v>261</v>
      </c>
      <c r="P1574" s="231"/>
    </row>
    <row r="1575" spans="1:16" x14ac:dyDescent="0.25">
      <c r="A1575" s="227" t="s">
        <v>4271</v>
      </c>
      <c r="B1575" s="228"/>
      <c r="C1575" s="228" t="s">
        <v>1840</v>
      </c>
      <c r="D1575" s="228"/>
      <c r="E1575" s="229"/>
      <c r="F1575" s="229" t="s">
        <v>136</v>
      </c>
      <c r="G1575" s="229" t="s">
        <v>82</v>
      </c>
      <c r="H1575" s="229"/>
      <c r="I1575" s="229">
        <v>0</v>
      </c>
      <c r="J1575" s="229">
        <v>-31</v>
      </c>
      <c r="K1575" s="230">
        <v>31</v>
      </c>
      <c r="L1575" s="229" t="s">
        <v>1865</v>
      </c>
      <c r="M1575" s="229"/>
      <c r="N1575" s="229" t="s">
        <v>654</v>
      </c>
      <c r="O1575" s="229" t="s">
        <v>261</v>
      </c>
      <c r="P1575" s="231"/>
    </row>
    <row r="1576" spans="1:16" x14ac:dyDescent="0.25">
      <c r="A1576" s="227" t="s">
        <v>4273</v>
      </c>
      <c r="B1576" s="228"/>
      <c r="C1576" s="228" t="s">
        <v>1840</v>
      </c>
      <c r="D1576" s="228"/>
      <c r="E1576" s="229"/>
      <c r="F1576" s="229" t="s">
        <v>136</v>
      </c>
      <c r="G1576" s="229" t="s">
        <v>82</v>
      </c>
      <c r="H1576" s="229"/>
      <c r="I1576" s="229">
        <v>0</v>
      </c>
      <c r="J1576" s="229">
        <v>-31</v>
      </c>
      <c r="K1576" s="230">
        <v>31</v>
      </c>
      <c r="L1576" s="229" t="s">
        <v>1865</v>
      </c>
      <c r="M1576" s="229"/>
      <c r="N1576" s="229" t="s">
        <v>654</v>
      </c>
      <c r="O1576" s="229" t="s">
        <v>261</v>
      </c>
      <c r="P1576" s="231"/>
    </row>
    <row r="1577" spans="1:16" x14ac:dyDescent="0.25">
      <c r="A1577" s="227" t="s">
        <v>2111</v>
      </c>
      <c r="B1577" s="228"/>
      <c r="C1577" s="228" t="s">
        <v>1840</v>
      </c>
      <c r="D1577" s="228"/>
      <c r="E1577" s="229"/>
      <c r="F1577" s="229" t="s">
        <v>136</v>
      </c>
      <c r="G1577" s="229" t="s">
        <v>82</v>
      </c>
      <c r="H1577" s="229"/>
      <c r="I1577" s="229">
        <v>0</v>
      </c>
      <c r="J1577" s="229">
        <v>0</v>
      </c>
      <c r="K1577" s="230">
        <v>1</v>
      </c>
      <c r="L1577" s="229" t="s">
        <v>1865</v>
      </c>
      <c r="M1577" s="229"/>
      <c r="N1577" s="229" t="s">
        <v>260</v>
      </c>
      <c r="O1577" s="229" t="s">
        <v>261</v>
      </c>
      <c r="P1577" s="231"/>
    </row>
    <row r="1578" spans="1:16" x14ac:dyDescent="0.25">
      <c r="A1578" s="227" t="s">
        <v>4498</v>
      </c>
      <c r="B1578" s="228"/>
      <c r="C1578" s="228" t="s">
        <v>1840</v>
      </c>
      <c r="D1578" s="228"/>
      <c r="E1578" s="229"/>
      <c r="F1578" s="229" t="s">
        <v>136</v>
      </c>
      <c r="G1578" s="229" t="s">
        <v>82</v>
      </c>
      <c r="H1578" s="229"/>
      <c r="I1578" s="229">
        <v>0</v>
      </c>
      <c r="J1578" s="229">
        <v>0</v>
      </c>
      <c r="K1578" s="230">
        <v>8.8000000000000007</v>
      </c>
      <c r="L1578" s="229" t="s">
        <v>1865</v>
      </c>
      <c r="M1578" s="229"/>
      <c r="N1578" s="229" t="s">
        <v>256</v>
      </c>
      <c r="O1578" s="229" t="s">
        <v>261</v>
      </c>
      <c r="P1578" s="231"/>
    </row>
    <row r="1579" spans="1:16" ht="20.399999999999999" x14ac:dyDescent="0.25">
      <c r="A1579" s="227" t="s">
        <v>4542</v>
      </c>
      <c r="B1579" s="228"/>
      <c r="C1579" s="228" t="s">
        <v>1840</v>
      </c>
      <c r="D1579" s="228"/>
      <c r="E1579" s="229"/>
      <c r="F1579" s="229" t="s">
        <v>141</v>
      </c>
      <c r="G1579" s="229" t="s">
        <v>82</v>
      </c>
      <c r="H1579" s="229"/>
      <c r="I1579" s="229">
        <v>0</v>
      </c>
      <c r="J1579" s="229">
        <v>-20</v>
      </c>
      <c r="K1579" s="230">
        <v>20</v>
      </c>
      <c r="L1579" s="229" t="s">
        <v>1865</v>
      </c>
      <c r="M1579" s="229"/>
      <c r="N1579" s="229" t="s">
        <v>654</v>
      </c>
      <c r="O1579" s="229" t="s">
        <v>261</v>
      </c>
      <c r="P1579" s="231"/>
    </row>
    <row r="1580" spans="1:16" ht="20.399999999999999" x14ac:dyDescent="0.25">
      <c r="A1580" s="227" t="s">
        <v>4543</v>
      </c>
      <c r="B1580" s="228"/>
      <c r="C1580" s="228" t="s">
        <v>1840</v>
      </c>
      <c r="D1580" s="228"/>
      <c r="E1580" s="229"/>
      <c r="F1580" s="229" t="s">
        <v>141</v>
      </c>
      <c r="G1580" s="229" t="s">
        <v>82</v>
      </c>
      <c r="H1580" s="229"/>
      <c r="I1580" s="229">
        <v>0</v>
      </c>
      <c r="J1580" s="229">
        <v>-20</v>
      </c>
      <c r="K1580" s="230">
        <v>20</v>
      </c>
      <c r="L1580" s="229" t="s">
        <v>1865</v>
      </c>
      <c r="M1580" s="229"/>
      <c r="N1580" s="229" t="s">
        <v>654</v>
      </c>
      <c r="O1580" s="229" t="s">
        <v>261</v>
      </c>
      <c r="P1580" s="231"/>
    </row>
    <row r="1581" spans="1:16" ht="26.4" x14ac:dyDescent="0.25">
      <c r="A1581" s="227" t="s">
        <v>1884</v>
      </c>
      <c r="B1581" s="228" t="s">
        <v>1885</v>
      </c>
      <c r="C1581" s="228" t="s">
        <v>1845</v>
      </c>
      <c r="D1581" s="228" t="s">
        <v>243</v>
      </c>
      <c r="E1581" s="229" t="s">
        <v>1973</v>
      </c>
      <c r="F1581" s="229" t="s">
        <v>136</v>
      </c>
      <c r="G1581" s="229" t="s">
        <v>82</v>
      </c>
      <c r="H1581" s="229"/>
      <c r="I1581" s="229">
        <v>0</v>
      </c>
      <c r="J1581" s="229">
        <v>-10</v>
      </c>
      <c r="K1581" s="230">
        <v>10</v>
      </c>
      <c r="L1581" s="229" t="s">
        <v>1865</v>
      </c>
      <c r="M1581" s="229"/>
      <c r="N1581" s="229" t="s">
        <v>265</v>
      </c>
      <c r="O1581" s="229" t="s">
        <v>261</v>
      </c>
      <c r="P1581" s="231"/>
    </row>
    <row r="1582" spans="1:16" ht="39.6" x14ac:dyDescent="0.25">
      <c r="A1582" s="227" t="s">
        <v>1875</v>
      </c>
      <c r="B1582" s="228" t="s">
        <v>1876</v>
      </c>
      <c r="C1582" s="228" t="s">
        <v>1845</v>
      </c>
      <c r="D1582" s="228" t="s">
        <v>243</v>
      </c>
      <c r="E1582" s="229" t="s">
        <v>3385</v>
      </c>
      <c r="F1582" s="229" t="s">
        <v>136</v>
      </c>
      <c r="G1582" s="229" t="s">
        <v>82</v>
      </c>
      <c r="H1582" s="229"/>
      <c r="I1582" s="229">
        <v>0</v>
      </c>
      <c r="J1582" s="229">
        <v>0</v>
      </c>
      <c r="K1582" s="230">
        <v>511</v>
      </c>
      <c r="L1582" s="229" t="s">
        <v>1865</v>
      </c>
      <c r="M1582" s="229"/>
      <c r="N1582" s="229" t="s">
        <v>311</v>
      </c>
      <c r="O1582" s="229" t="s">
        <v>261</v>
      </c>
      <c r="P1582" s="231"/>
    </row>
    <row r="1583" spans="1:16" x14ac:dyDescent="0.25">
      <c r="A1583" s="227" t="s">
        <v>3386</v>
      </c>
      <c r="B1583" s="228" t="s">
        <v>3387</v>
      </c>
      <c r="C1583" s="228" t="s">
        <v>1845</v>
      </c>
      <c r="D1583" s="228" t="s">
        <v>243</v>
      </c>
      <c r="E1583" s="229"/>
      <c r="F1583" s="229" t="s">
        <v>136</v>
      </c>
      <c r="G1583" s="229" t="s">
        <v>82</v>
      </c>
      <c r="H1583" s="229"/>
      <c r="I1583" s="229">
        <v>0</v>
      </c>
      <c r="J1583" s="229">
        <v>0</v>
      </c>
      <c r="K1583" s="230">
        <v>100</v>
      </c>
      <c r="L1583" s="229">
        <v>1</v>
      </c>
      <c r="M1583" s="229"/>
      <c r="N1583" s="229" t="s">
        <v>271</v>
      </c>
      <c r="O1583" s="229" t="s">
        <v>267</v>
      </c>
      <c r="P1583" s="231"/>
    </row>
    <row r="1584" spans="1:16" x14ac:dyDescent="0.25">
      <c r="A1584" s="227" t="s">
        <v>3388</v>
      </c>
      <c r="B1584" s="228" t="s">
        <v>3389</v>
      </c>
      <c r="C1584" s="228" t="s">
        <v>1845</v>
      </c>
      <c r="D1584" s="228" t="s">
        <v>243</v>
      </c>
      <c r="E1584" s="229"/>
      <c r="F1584" s="229" t="s">
        <v>136</v>
      </c>
      <c r="G1584" s="229" t="s">
        <v>82</v>
      </c>
      <c r="H1584" s="229"/>
      <c r="I1584" s="229">
        <v>0</v>
      </c>
      <c r="J1584" s="229">
        <v>0</v>
      </c>
      <c r="K1584" s="230">
        <v>100</v>
      </c>
      <c r="L1584" s="229">
        <v>1</v>
      </c>
      <c r="M1584" s="229"/>
      <c r="N1584" s="229" t="s">
        <v>271</v>
      </c>
      <c r="O1584" s="229" t="s">
        <v>267</v>
      </c>
      <c r="P1584" s="231"/>
    </row>
    <row r="1585" spans="1:16" x14ac:dyDescent="0.25">
      <c r="A1585" s="227" t="s">
        <v>3390</v>
      </c>
      <c r="B1585" s="228"/>
      <c r="C1585" s="228" t="s">
        <v>1845</v>
      </c>
      <c r="D1585" s="228" t="s">
        <v>243</v>
      </c>
      <c r="E1585" s="229"/>
      <c r="F1585" s="229" t="s">
        <v>138</v>
      </c>
      <c r="G1585" s="229" t="s">
        <v>82</v>
      </c>
      <c r="H1585" s="229"/>
      <c r="I1585" s="229">
        <v>0</v>
      </c>
      <c r="J1585" s="229" t="s">
        <v>909</v>
      </c>
      <c r="K1585" s="230" t="s">
        <v>909</v>
      </c>
      <c r="L1585" s="229">
        <v>1</v>
      </c>
      <c r="M1585" s="229">
        <v>0</v>
      </c>
      <c r="N1585" s="229" t="s">
        <v>271</v>
      </c>
      <c r="O1585" s="229" t="s">
        <v>3391</v>
      </c>
      <c r="P1585" s="231"/>
    </row>
    <row r="1586" spans="1:16" x14ac:dyDescent="0.25">
      <c r="A1586" s="227" t="s">
        <v>3392</v>
      </c>
      <c r="B1586" s="228"/>
      <c r="C1586" s="228" t="s">
        <v>1845</v>
      </c>
      <c r="D1586" s="228" t="s">
        <v>243</v>
      </c>
      <c r="E1586" s="229"/>
      <c r="F1586" s="229" t="s">
        <v>138</v>
      </c>
      <c r="G1586" s="229" t="s">
        <v>82</v>
      </c>
      <c r="H1586" s="229"/>
      <c r="I1586" s="229">
        <v>0</v>
      </c>
      <c r="J1586" s="229" t="s">
        <v>909</v>
      </c>
      <c r="K1586" s="230" t="s">
        <v>909</v>
      </c>
      <c r="L1586" s="229">
        <v>1</v>
      </c>
      <c r="M1586" s="229">
        <v>0</v>
      </c>
      <c r="N1586" s="229" t="s">
        <v>271</v>
      </c>
      <c r="O1586" s="229" t="s">
        <v>3393</v>
      </c>
      <c r="P1586" s="231"/>
    </row>
    <row r="1587" spans="1:16" x14ac:dyDescent="0.25">
      <c r="A1587" s="227" t="s">
        <v>3394</v>
      </c>
      <c r="B1587" s="228" t="s">
        <v>3395</v>
      </c>
      <c r="C1587" s="228" t="s">
        <v>1845</v>
      </c>
      <c r="D1587" s="228" t="s">
        <v>243</v>
      </c>
      <c r="E1587" s="229"/>
      <c r="F1587" s="229" t="s">
        <v>138</v>
      </c>
      <c r="G1587" s="229" t="s">
        <v>82</v>
      </c>
      <c r="H1587" s="229"/>
      <c r="I1587" s="229">
        <v>0</v>
      </c>
      <c r="J1587" s="229">
        <v>0</v>
      </c>
      <c r="K1587" s="230">
        <v>100</v>
      </c>
      <c r="L1587" s="229">
        <v>1</v>
      </c>
      <c r="M1587" s="229">
        <v>0</v>
      </c>
      <c r="N1587" s="229" t="s">
        <v>271</v>
      </c>
      <c r="O1587" s="229" t="s">
        <v>267</v>
      </c>
      <c r="P1587" s="231"/>
    </row>
    <row r="1588" spans="1:16" x14ac:dyDescent="0.25">
      <c r="A1588" s="227" t="s">
        <v>3396</v>
      </c>
      <c r="B1588" s="228" t="s">
        <v>3397</v>
      </c>
      <c r="C1588" s="228" t="s">
        <v>1845</v>
      </c>
      <c r="D1588" s="228" t="s">
        <v>243</v>
      </c>
      <c r="E1588" s="229"/>
      <c r="F1588" s="229" t="s">
        <v>138</v>
      </c>
      <c r="G1588" s="229" t="s">
        <v>82</v>
      </c>
      <c r="H1588" s="229"/>
      <c r="I1588" s="229">
        <v>0</v>
      </c>
      <c r="J1588" s="229">
        <v>0</v>
      </c>
      <c r="K1588" s="230">
        <v>100</v>
      </c>
      <c r="L1588" s="229">
        <v>1</v>
      </c>
      <c r="M1588" s="229">
        <v>0</v>
      </c>
      <c r="N1588" s="229" t="s">
        <v>271</v>
      </c>
      <c r="O1588" s="229" t="s">
        <v>267</v>
      </c>
      <c r="P1588" s="231"/>
    </row>
    <row r="1589" spans="1:16" ht="26.4" x14ac:dyDescent="0.25">
      <c r="A1589" s="227" t="s">
        <v>2632</v>
      </c>
      <c r="B1589" s="228" t="s">
        <v>2633</v>
      </c>
      <c r="C1589" s="228" t="s">
        <v>1845</v>
      </c>
      <c r="D1589" s="228" t="s">
        <v>243</v>
      </c>
      <c r="E1589" s="229"/>
      <c r="F1589" s="229" t="s">
        <v>139</v>
      </c>
      <c r="G1589" s="229" t="s">
        <v>82</v>
      </c>
      <c r="H1589" s="229"/>
      <c r="I1589" s="229" t="s">
        <v>2629</v>
      </c>
      <c r="J1589" s="229"/>
      <c r="K1589" s="230"/>
      <c r="L1589" s="229" t="s">
        <v>1865</v>
      </c>
      <c r="M1589" s="229" t="s">
        <v>2630</v>
      </c>
      <c r="N1589" s="229" t="s">
        <v>265</v>
      </c>
      <c r="O1589" s="229" t="s">
        <v>2631</v>
      </c>
      <c r="P1589" s="231"/>
    </row>
    <row r="1590" spans="1:16" x14ac:dyDescent="0.25">
      <c r="A1590" s="227" t="s">
        <v>3398</v>
      </c>
      <c r="B1590" s="228"/>
      <c r="C1590" s="228" t="s">
        <v>1845</v>
      </c>
      <c r="D1590" s="228" t="s">
        <v>243</v>
      </c>
      <c r="E1590" s="229"/>
      <c r="F1590" s="229" t="s">
        <v>139</v>
      </c>
      <c r="G1590" s="229" t="s">
        <v>82</v>
      </c>
      <c r="H1590" s="229"/>
      <c r="I1590" s="229">
        <v>0</v>
      </c>
      <c r="J1590" s="229">
        <v>0</v>
      </c>
      <c r="K1590" s="230">
        <v>100</v>
      </c>
      <c r="L1590" s="229">
        <v>1</v>
      </c>
      <c r="M1590" s="229">
        <v>0</v>
      </c>
      <c r="N1590" s="229" t="s">
        <v>271</v>
      </c>
      <c r="O1590" s="229" t="s">
        <v>267</v>
      </c>
      <c r="P1590" s="231"/>
    </row>
    <row r="1591" spans="1:16" x14ac:dyDescent="0.25">
      <c r="A1591" s="227" t="s">
        <v>3399</v>
      </c>
      <c r="B1591" s="228"/>
      <c r="C1591" s="228" t="s">
        <v>1845</v>
      </c>
      <c r="D1591" s="228" t="s">
        <v>243</v>
      </c>
      <c r="E1591" s="229"/>
      <c r="F1591" s="229" t="s">
        <v>139</v>
      </c>
      <c r="G1591" s="229" t="s">
        <v>82</v>
      </c>
      <c r="H1591" s="229"/>
      <c r="I1591" s="229">
        <v>0</v>
      </c>
      <c r="J1591" s="229">
        <v>0</v>
      </c>
      <c r="K1591" s="230">
        <v>100</v>
      </c>
      <c r="L1591" s="229">
        <v>1</v>
      </c>
      <c r="M1591" s="229">
        <v>0</v>
      </c>
      <c r="N1591" s="229" t="s">
        <v>271</v>
      </c>
      <c r="O1591" s="229" t="s">
        <v>267</v>
      </c>
      <c r="P1591" s="231"/>
    </row>
    <row r="1592" spans="1:16" ht="39.6" x14ac:dyDescent="0.25">
      <c r="A1592" s="227" t="s">
        <v>4557</v>
      </c>
      <c r="B1592" s="228"/>
      <c r="C1592" s="228" t="s">
        <v>1845</v>
      </c>
      <c r="D1592" s="228" t="s">
        <v>243</v>
      </c>
      <c r="E1592" s="229" t="s">
        <v>4558</v>
      </c>
      <c r="F1592" s="229" t="s">
        <v>136</v>
      </c>
      <c r="G1592" s="229" t="s">
        <v>82</v>
      </c>
      <c r="H1592" s="229"/>
      <c r="I1592" s="229">
        <v>0</v>
      </c>
      <c r="J1592" s="229" t="s">
        <v>909</v>
      </c>
      <c r="K1592" s="230" t="s">
        <v>909</v>
      </c>
      <c r="L1592" s="229">
        <v>1</v>
      </c>
      <c r="M1592" s="229"/>
      <c r="N1592" s="229" t="s">
        <v>271</v>
      </c>
      <c r="O1592" s="229" t="s">
        <v>321</v>
      </c>
      <c r="P1592" s="231"/>
    </row>
    <row r="1593" spans="1:16" ht="39.6" x14ac:dyDescent="0.25">
      <c r="A1593" s="227" t="s">
        <v>4559</v>
      </c>
      <c r="B1593" s="228"/>
      <c r="C1593" s="228" t="s">
        <v>1845</v>
      </c>
      <c r="D1593" s="228" t="s">
        <v>243</v>
      </c>
      <c r="E1593" s="229" t="s">
        <v>4560</v>
      </c>
      <c r="F1593" s="229" t="s">
        <v>136</v>
      </c>
      <c r="G1593" s="229" t="s">
        <v>82</v>
      </c>
      <c r="H1593" s="229"/>
      <c r="I1593" s="229">
        <v>255</v>
      </c>
      <c r="J1593" s="229">
        <v>0</v>
      </c>
      <c r="K1593" s="230">
        <v>255</v>
      </c>
      <c r="L1593" s="229">
        <v>1</v>
      </c>
      <c r="M1593" s="229"/>
      <c r="N1593" s="229" t="s">
        <v>271</v>
      </c>
      <c r="O1593" s="229" t="s">
        <v>4561</v>
      </c>
      <c r="P1593" s="231"/>
    </row>
    <row r="1594" spans="1:16" ht="26.4" x14ac:dyDescent="0.25">
      <c r="A1594" s="227" t="s">
        <v>3996</v>
      </c>
      <c r="B1594" s="228" t="s">
        <v>1867</v>
      </c>
      <c r="C1594" s="228" t="s">
        <v>3880</v>
      </c>
      <c r="D1594" s="228" t="s">
        <v>4913</v>
      </c>
      <c r="E1594" s="229" t="s">
        <v>4331</v>
      </c>
      <c r="F1594" s="229" t="s">
        <v>136</v>
      </c>
      <c r="G1594" s="229" t="s">
        <v>82</v>
      </c>
      <c r="H1594" s="229"/>
      <c r="I1594" s="229">
        <v>0</v>
      </c>
      <c r="J1594" s="229">
        <v>-8.8000000000000007</v>
      </c>
      <c r="K1594" s="230">
        <v>8.8000000000000007</v>
      </c>
      <c r="L1594" s="229" t="s">
        <v>1865</v>
      </c>
      <c r="M1594" s="229"/>
      <c r="N1594" s="229" t="s">
        <v>256</v>
      </c>
      <c r="O1594" s="229" t="s">
        <v>261</v>
      </c>
      <c r="P1594" s="231"/>
    </row>
    <row r="1595" spans="1:16" x14ac:dyDescent="0.25">
      <c r="A1595" s="227" t="s">
        <v>1875</v>
      </c>
      <c r="B1595" s="228" t="s">
        <v>1876</v>
      </c>
      <c r="C1595" s="228" t="s">
        <v>3880</v>
      </c>
      <c r="D1595" s="228" t="s">
        <v>4913</v>
      </c>
      <c r="E1595" s="229" t="s">
        <v>2130</v>
      </c>
      <c r="F1595" s="229" t="s">
        <v>136</v>
      </c>
      <c r="G1595" s="229" t="s">
        <v>82</v>
      </c>
      <c r="H1595" s="229"/>
      <c r="I1595" s="229">
        <v>0</v>
      </c>
      <c r="J1595" s="229">
        <v>0</v>
      </c>
      <c r="K1595" s="230">
        <v>511</v>
      </c>
      <c r="L1595" s="229" t="s">
        <v>1865</v>
      </c>
      <c r="M1595" s="229"/>
      <c r="N1595" s="229" t="s">
        <v>424</v>
      </c>
      <c r="O1595" s="229" t="s">
        <v>261</v>
      </c>
      <c r="P1595" s="231"/>
    </row>
    <row r="1596" spans="1:16" x14ac:dyDescent="0.25">
      <c r="A1596" s="227" t="s">
        <v>1884</v>
      </c>
      <c r="B1596" s="228" t="s">
        <v>4332</v>
      </c>
      <c r="C1596" s="228" t="s">
        <v>3880</v>
      </c>
      <c r="D1596" s="228" t="s">
        <v>4913</v>
      </c>
      <c r="E1596" s="229" t="s">
        <v>4333</v>
      </c>
      <c r="F1596" s="229" t="s">
        <v>136</v>
      </c>
      <c r="G1596" s="229" t="s">
        <v>82</v>
      </c>
      <c r="H1596" s="229"/>
      <c r="I1596" s="229">
        <v>0</v>
      </c>
      <c r="J1596" s="229">
        <v>-10</v>
      </c>
      <c r="K1596" s="230">
        <v>10</v>
      </c>
      <c r="L1596" s="229" t="s">
        <v>1865</v>
      </c>
      <c r="M1596" s="229"/>
      <c r="N1596" s="229" t="s">
        <v>265</v>
      </c>
      <c r="O1596" s="229" t="s">
        <v>261</v>
      </c>
      <c r="P1596" s="231"/>
    </row>
    <row r="1597" spans="1:16" ht="26.4" x14ac:dyDescent="0.25">
      <c r="A1597" s="227" t="s">
        <v>1873</v>
      </c>
      <c r="B1597" s="228" t="s">
        <v>1874</v>
      </c>
      <c r="C1597" s="228" t="s">
        <v>3880</v>
      </c>
      <c r="D1597" s="228" t="s">
        <v>4913</v>
      </c>
      <c r="E1597" s="229" t="s">
        <v>4334</v>
      </c>
      <c r="F1597" s="229" t="s">
        <v>136</v>
      </c>
      <c r="G1597" s="229" t="s">
        <v>82</v>
      </c>
      <c r="H1597" s="229"/>
      <c r="I1597" s="229" t="b">
        <v>1</v>
      </c>
      <c r="J1597" s="229" t="b">
        <v>0</v>
      </c>
      <c r="K1597" s="230" t="b">
        <v>1</v>
      </c>
      <c r="L1597" s="229" t="s">
        <v>1883</v>
      </c>
      <c r="M1597" s="229"/>
      <c r="N1597" s="229" t="s">
        <v>424</v>
      </c>
      <c r="O1597" s="229" t="s">
        <v>501</v>
      </c>
      <c r="P1597" s="231"/>
    </row>
    <row r="1598" spans="1:16" ht="26.4" x14ac:dyDescent="0.25">
      <c r="A1598" s="227" t="s">
        <v>2297</v>
      </c>
      <c r="B1598" s="228" t="s">
        <v>1869</v>
      </c>
      <c r="C1598" s="228" t="s">
        <v>3880</v>
      </c>
      <c r="D1598" s="228" t="s">
        <v>4913</v>
      </c>
      <c r="E1598" s="229" t="s">
        <v>4335</v>
      </c>
      <c r="F1598" s="229" t="s">
        <v>136</v>
      </c>
      <c r="G1598" s="229" t="s">
        <v>82</v>
      </c>
      <c r="H1598" s="229"/>
      <c r="I1598" s="229">
        <v>0</v>
      </c>
      <c r="J1598" s="229">
        <v>-1118</v>
      </c>
      <c r="K1598" s="230">
        <v>1118</v>
      </c>
      <c r="L1598" s="229" t="s">
        <v>1865</v>
      </c>
      <c r="M1598" s="229"/>
      <c r="N1598" s="229" t="s">
        <v>263</v>
      </c>
      <c r="O1598" s="229" t="s">
        <v>261</v>
      </c>
      <c r="P1598" s="231"/>
    </row>
    <row r="1599" spans="1:16" x14ac:dyDescent="0.25">
      <c r="A1599" s="227" t="s">
        <v>3805</v>
      </c>
      <c r="B1599" s="228" t="s">
        <v>1882</v>
      </c>
      <c r="C1599" s="228" t="s">
        <v>3880</v>
      </c>
      <c r="D1599" s="228" t="s">
        <v>4913</v>
      </c>
      <c r="E1599" s="229"/>
      <c r="F1599" s="229" t="s">
        <v>136</v>
      </c>
      <c r="G1599" s="229" t="s">
        <v>82</v>
      </c>
      <c r="H1599" s="229"/>
      <c r="I1599" s="229">
        <v>0</v>
      </c>
      <c r="J1599" s="229">
        <v>-1600</v>
      </c>
      <c r="K1599" s="230">
        <v>1600</v>
      </c>
      <c r="L1599" s="229" t="s">
        <v>1865</v>
      </c>
      <c r="M1599" s="229"/>
      <c r="N1599" s="229" t="s">
        <v>268</v>
      </c>
      <c r="O1599" s="229" t="s">
        <v>261</v>
      </c>
      <c r="P1599" s="231"/>
    </row>
    <row r="1600" spans="1:16" x14ac:dyDescent="0.25">
      <c r="A1600" s="227" t="s">
        <v>2454</v>
      </c>
      <c r="B1600" s="228" t="s">
        <v>2455</v>
      </c>
      <c r="C1600" s="228" t="s">
        <v>3880</v>
      </c>
      <c r="D1600" s="228" t="s">
        <v>4913</v>
      </c>
      <c r="E1600" s="229"/>
      <c r="F1600" s="229" t="s">
        <v>136</v>
      </c>
      <c r="G1600" s="229" t="s">
        <v>82</v>
      </c>
      <c r="H1600" s="229"/>
      <c r="I1600" s="229">
        <v>0</v>
      </c>
      <c r="J1600" s="229">
        <v>-1440.11</v>
      </c>
      <c r="K1600" s="230">
        <v>-360</v>
      </c>
      <c r="L1600" s="229" t="s">
        <v>1865</v>
      </c>
      <c r="M1600" s="229"/>
      <c r="N1600" s="229" t="s">
        <v>268</v>
      </c>
      <c r="O1600" s="229" t="s">
        <v>261</v>
      </c>
      <c r="P1600" s="231"/>
    </row>
    <row r="1601" spans="1:16" x14ac:dyDescent="0.25">
      <c r="A1601" s="227" t="s">
        <v>2452</v>
      </c>
      <c r="B1601" s="228" t="s">
        <v>2453</v>
      </c>
      <c r="C1601" s="228" t="s">
        <v>3880</v>
      </c>
      <c r="D1601" s="228" t="s">
        <v>4913</v>
      </c>
      <c r="E1601" s="229"/>
      <c r="F1601" s="229" t="s">
        <v>136</v>
      </c>
      <c r="G1601" s="229" t="s">
        <v>82</v>
      </c>
      <c r="H1601" s="229"/>
      <c r="I1601" s="229">
        <v>0</v>
      </c>
      <c r="J1601" s="229">
        <v>360</v>
      </c>
      <c r="K1601" s="230">
        <v>1440.11</v>
      </c>
      <c r="L1601" s="229" t="s">
        <v>1865</v>
      </c>
      <c r="M1601" s="229"/>
      <c r="N1601" s="229" t="s">
        <v>268</v>
      </c>
      <c r="O1601" s="229" t="s">
        <v>261</v>
      </c>
      <c r="P1601" s="231"/>
    </row>
    <row r="1602" spans="1:16" x14ac:dyDescent="0.25">
      <c r="A1602" s="227" t="s">
        <v>5044</v>
      </c>
      <c r="B1602" s="228" t="s">
        <v>5045</v>
      </c>
      <c r="C1602" s="228" t="s">
        <v>3880</v>
      </c>
      <c r="D1602" s="228" t="s">
        <v>4913</v>
      </c>
      <c r="E1602" s="229"/>
      <c r="F1602" s="229" t="s">
        <v>136</v>
      </c>
      <c r="G1602" s="229" t="s">
        <v>82</v>
      </c>
      <c r="H1602" s="229"/>
      <c r="I1602" s="229">
        <v>0</v>
      </c>
      <c r="J1602" s="229">
        <v>0</v>
      </c>
      <c r="K1602" s="230">
        <v>1</v>
      </c>
      <c r="L1602" s="229" t="s">
        <v>1865</v>
      </c>
      <c r="M1602" s="229"/>
      <c r="N1602" s="229" t="s">
        <v>300</v>
      </c>
      <c r="O1602" s="229" t="s">
        <v>261</v>
      </c>
      <c r="P1602" s="231"/>
    </row>
    <row r="1603" spans="1:16" x14ac:dyDescent="0.25">
      <c r="A1603" s="227" t="s">
        <v>1887</v>
      </c>
      <c r="B1603" s="228" t="s">
        <v>5046</v>
      </c>
      <c r="C1603" s="228" t="s">
        <v>3880</v>
      </c>
      <c r="D1603" s="228" t="s">
        <v>4913</v>
      </c>
      <c r="E1603" s="229"/>
      <c r="F1603" s="229" t="s">
        <v>136</v>
      </c>
      <c r="G1603" s="229" t="s">
        <v>82</v>
      </c>
      <c r="H1603" s="229"/>
      <c r="I1603" s="229">
        <v>0</v>
      </c>
      <c r="J1603" s="229">
        <v>-1600</v>
      </c>
      <c r="K1603" s="230">
        <v>1600</v>
      </c>
      <c r="L1603" s="229" t="s">
        <v>1865</v>
      </c>
      <c r="M1603" s="229"/>
      <c r="N1603" s="229" t="s">
        <v>268</v>
      </c>
      <c r="O1603" s="229" t="s">
        <v>261</v>
      </c>
      <c r="P1603" s="231"/>
    </row>
    <row r="1604" spans="1:16" x14ac:dyDescent="0.25">
      <c r="A1604" s="227" t="s">
        <v>5095</v>
      </c>
      <c r="B1604" s="228" t="s">
        <v>5096</v>
      </c>
      <c r="C1604" s="228" t="s">
        <v>3880</v>
      </c>
      <c r="D1604" s="228" t="s">
        <v>4913</v>
      </c>
      <c r="E1604" s="229"/>
      <c r="F1604" s="229" t="s">
        <v>136</v>
      </c>
      <c r="G1604" s="229" t="s">
        <v>82</v>
      </c>
      <c r="H1604" s="229"/>
      <c r="I1604" s="229">
        <v>0</v>
      </c>
      <c r="J1604" s="229">
        <v>0</v>
      </c>
      <c r="K1604" s="230">
        <v>1</v>
      </c>
      <c r="L1604" s="229" t="s">
        <v>1865</v>
      </c>
      <c r="M1604" s="229"/>
      <c r="N1604" s="229" t="s">
        <v>1353</v>
      </c>
      <c r="O1604" s="229" t="s">
        <v>261</v>
      </c>
      <c r="P1604" s="231"/>
    </row>
    <row r="1605" spans="1:16" x14ac:dyDescent="0.25">
      <c r="A1605" s="227" t="s">
        <v>5033</v>
      </c>
      <c r="B1605" s="228" t="s">
        <v>5034</v>
      </c>
      <c r="C1605" s="228" t="s">
        <v>3880</v>
      </c>
      <c r="D1605" s="228" t="s">
        <v>4913</v>
      </c>
      <c r="E1605" s="229"/>
      <c r="F1605" s="229" t="s">
        <v>138</v>
      </c>
      <c r="G1605" s="229" t="s">
        <v>82</v>
      </c>
      <c r="H1605" s="229"/>
      <c r="I1605" s="229">
        <v>0</v>
      </c>
      <c r="J1605" s="229">
        <v>-1600</v>
      </c>
      <c r="K1605" s="230">
        <v>1600</v>
      </c>
      <c r="L1605" s="229" t="s">
        <v>1865</v>
      </c>
      <c r="M1605" s="229">
        <v>0.1</v>
      </c>
      <c r="N1605" s="229" t="s">
        <v>268</v>
      </c>
      <c r="O1605" s="229" t="s">
        <v>261</v>
      </c>
      <c r="P1605" s="231"/>
    </row>
    <row r="1606" spans="1:16" x14ac:dyDescent="0.25">
      <c r="A1606" s="227" t="s">
        <v>5035</v>
      </c>
      <c r="B1606" s="228" t="s">
        <v>5036</v>
      </c>
      <c r="C1606" s="228" t="s">
        <v>3880</v>
      </c>
      <c r="D1606" s="228" t="s">
        <v>4913</v>
      </c>
      <c r="E1606" s="229"/>
      <c r="F1606" s="229" t="s">
        <v>138</v>
      </c>
      <c r="G1606" s="229" t="s">
        <v>82</v>
      </c>
      <c r="H1606" s="229"/>
      <c r="I1606" s="229">
        <v>0</v>
      </c>
      <c r="J1606" s="229">
        <v>0</v>
      </c>
      <c r="K1606" s="230">
        <v>1</v>
      </c>
      <c r="L1606" s="229" t="s">
        <v>1865</v>
      </c>
      <c r="M1606" s="229">
        <v>4.0000000000000001E-3</v>
      </c>
      <c r="N1606" s="229" t="s">
        <v>4336</v>
      </c>
      <c r="O1606" s="229" t="s">
        <v>261</v>
      </c>
      <c r="P1606" s="231"/>
    </row>
    <row r="1607" spans="1:16" ht="26.4" x14ac:dyDescent="0.25">
      <c r="A1607" s="227" t="s">
        <v>4337</v>
      </c>
      <c r="B1607" s="228"/>
      <c r="C1607" s="228" t="s">
        <v>3880</v>
      </c>
      <c r="D1607" s="228" t="s">
        <v>4913</v>
      </c>
      <c r="E1607" s="229"/>
      <c r="F1607" s="229" t="s">
        <v>139</v>
      </c>
      <c r="G1607" s="229" t="s">
        <v>82</v>
      </c>
      <c r="H1607" s="229"/>
      <c r="I1607" s="229">
        <v>0</v>
      </c>
      <c r="J1607" s="229">
        <v>-18.8</v>
      </c>
      <c r="K1607" s="230">
        <v>18.8</v>
      </c>
      <c r="L1607" s="229" t="s">
        <v>1865</v>
      </c>
      <c r="M1607" s="229" t="s">
        <v>3682</v>
      </c>
      <c r="N1607" s="229" t="s">
        <v>300</v>
      </c>
      <c r="O1607" s="229" t="s">
        <v>261</v>
      </c>
      <c r="P1607" s="231"/>
    </row>
    <row r="1608" spans="1:16" x14ac:dyDescent="0.25">
      <c r="A1608" s="227" t="s">
        <v>4338</v>
      </c>
      <c r="B1608" s="228"/>
      <c r="C1608" s="228" t="s">
        <v>3880</v>
      </c>
      <c r="D1608" s="228" t="s">
        <v>4913</v>
      </c>
      <c r="E1608" s="229"/>
      <c r="F1608" s="229" t="s">
        <v>139</v>
      </c>
      <c r="G1608" s="229" t="s">
        <v>82</v>
      </c>
      <c r="H1608" s="229"/>
      <c r="I1608" s="229">
        <v>0</v>
      </c>
      <c r="J1608" s="229">
        <v>2.5132709645658835E-6</v>
      </c>
      <c r="K1608" s="230">
        <v>1.25584782371357E-3</v>
      </c>
      <c r="L1608" s="229" t="s">
        <v>1865</v>
      </c>
      <c r="M1608" s="229">
        <v>1.2566362718180457E-6</v>
      </c>
      <c r="N1608" s="229" t="s">
        <v>300</v>
      </c>
      <c r="O1608" s="229" t="s">
        <v>261</v>
      </c>
      <c r="P1608" s="231"/>
    </row>
    <row r="1609" spans="1:16" ht="20.399999999999999" x14ac:dyDescent="0.25">
      <c r="A1609" s="227" t="s">
        <v>4339</v>
      </c>
      <c r="B1609" s="228"/>
      <c r="C1609" s="228" t="s">
        <v>3880</v>
      </c>
      <c r="D1609" s="228" t="s">
        <v>4913</v>
      </c>
      <c r="E1609" s="229"/>
      <c r="F1609" s="229" t="s">
        <v>139</v>
      </c>
      <c r="G1609" s="229" t="s">
        <v>82</v>
      </c>
      <c r="H1609" s="229"/>
      <c r="I1609" s="229">
        <v>0</v>
      </c>
      <c r="J1609" s="229">
        <v>0</v>
      </c>
      <c r="K1609" s="230">
        <v>700</v>
      </c>
      <c r="L1609" s="229" t="s">
        <v>1865</v>
      </c>
      <c r="M1609" s="229">
        <v>0.2</v>
      </c>
      <c r="N1609" s="229" t="s">
        <v>263</v>
      </c>
      <c r="O1609" s="229" t="s">
        <v>261</v>
      </c>
      <c r="P1609" s="231"/>
    </row>
    <row r="1610" spans="1:16" ht="20.399999999999999" x14ac:dyDescent="0.25">
      <c r="A1610" s="227" t="s">
        <v>4340</v>
      </c>
      <c r="B1610" s="228"/>
      <c r="C1610" s="228" t="s">
        <v>3880</v>
      </c>
      <c r="D1610" s="228" t="s">
        <v>4913</v>
      </c>
      <c r="E1610" s="229"/>
      <c r="F1610" s="229" t="s">
        <v>139</v>
      </c>
      <c r="G1610" s="229" t="s">
        <v>82</v>
      </c>
      <c r="H1610" s="229"/>
      <c r="I1610" s="229">
        <v>0</v>
      </c>
      <c r="J1610" s="229">
        <v>0</v>
      </c>
      <c r="K1610" s="230">
        <v>255</v>
      </c>
      <c r="L1610" s="229" t="s">
        <v>1865</v>
      </c>
      <c r="M1610" s="229">
        <v>0.5</v>
      </c>
      <c r="N1610" s="229" t="s">
        <v>311</v>
      </c>
      <c r="O1610" s="229" t="s">
        <v>261</v>
      </c>
      <c r="P1610" s="231"/>
    </row>
    <row r="1611" spans="1:16" ht="20.399999999999999" x14ac:dyDescent="0.25">
      <c r="A1611" s="227" t="s">
        <v>4341</v>
      </c>
      <c r="B1611" s="228"/>
      <c r="C1611" s="228" t="s">
        <v>3880</v>
      </c>
      <c r="D1611" s="228" t="s">
        <v>4913</v>
      </c>
      <c r="E1611" s="229"/>
      <c r="F1611" s="229" t="s">
        <v>139</v>
      </c>
      <c r="G1611" s="229" t="s">
        <v>82</v>
      </c>
      <c r="H1611" s="229"/>
      <c r="I1611" s="229">
        <v>0</v>
      </c>
      <c r="J1611" s="229">
        <v>0</v>
      </c>
      <c r="K1611" s="230">
        <v>20</v>
      </c>
      <c r="L1611" s="229" t="s">
        <v>1865</v>
      </c>
      <c r="M1611" s="229">
        <v>0.04</v>
      </c>
      <c r="N1611" s="229" t="s">
        <v>265</v>
      </c>
      <c r="O1611" s="229" t="s">
        <v>261</v>
      </c>
      <c r="P1611" s="231"/>
    </row>
    <row r="1612" spans="1:16" ht="20.399999999999999" x14ac:dyDescent="0.25">
      <c r="A1612" s="227" t="s">
        <v>4342</v>
      </c>
      <c r="B1612" s="228"/>
      <c r="C1612" s="228" t="s">
        <v>3880</v>
      </c>
      <c r="D1612" s="228" t="s">
        <v>4913</v>
      </c>
      <c r="E1612" s="229"/>
      <c r="F1612" s="229" t="s">
        <v>139</v>
      </c>
      <c r="G1612" s="229" t="s">
        <v>82</v>
      </c>
      <c r="H1612" s="229"/>
      <c r="I1612" s="229">
        <v>0</v>
      </c>
      <c r="J1612" s="229">
        <v>0</v>
      </c>
      <c r="K1612" s="230">
        <v>100</v>
      </c>
      <c r="L1612" s="229" t="s">
        <v>1865</v>
      </c>
      <c r="M1612" s="229">
        <v>6.25E-2</v>
      </c>
      <c r="N1612" s="229" t="s">
        <v>268</v>
      </c>
      <c r="O1612" s="229" t="s">
        <v>261</v>
      </c>
      <c r="P1612" s="231"/>
    </row>
    <row r="1613" spans="1:16" ht="20.399999999999999" x14ac:dyDescent="0.25">
      <c r="A1613" s="227" t="s">
        <v>4343</v>
      </c>
      <c r="B1613" s="228"/>
      <c r="C1613" s="228" t="s">
        <v>3880</v>
      </c>
      <c r="D1613" s="228" t="s">
        <v>4913</v>
      </c>
      <c r="E1613" s="229"/>
      <c r="F1613" s="229" t="s">
        <v>139</v>
      </c>
      <c r="G1613" s="229" t="s">
        <v>82</v>
      </c>
      <c r="H1613" s="229"/>
      <c r="I1613" s="229">
        <v>0</v>
      </c>
      <c r="J1613" s="229">
        <v>0</v>
      </c>
      <c r="K1613" s="230">
        <v>60000</v>
      </c>
      <c r="L1613" s="229">
        <v>1</v>
      </c>
      <c r="M1613" s="229">
        <v>2</v>
      </c>
      <c r="N1613" s="229" t="s">
        <v>273</v>
      </c>
      <c r="O1613" s="229" t="s">
        <v>267</v>
      </c>
      <c r="P1613" s="231"/>
    </row>
    <row r="1614" spans="1:16" ht="20.399999999999999" x14ac:dyDescent="0.25">
      <c r="A1614" s="227" t="s">
        <v>4344</v>
      </c>
      <c r="B1614" s="228"/>
      <c r="C1614" s="228" t="s">
        <v>3880</v>
      </c>
      <c r="D1614" s="228" t="s">
        <v>4913</v>
      </c>
      <c r="E1614" s="229"/>
      <c r="F1614" s="229" t="s">
        <v>139</v>
      </c>
      <c r="G1614" s="229" t="s">
        <v>82</v>
      </c>
      <c r="H1614" s="229"/>
      <c r="I1614" s="229">
        <v>0</v>
      </c>
      <c r="J1614" s="229">
        <v>0</v>
      </c>
      <c r="K1614" s="230">
        <v>60000</v>
      </c>
      <c r="L1614" s="229">
        <v>1</v>
      </c>
      <c r="M1614" s="229">
        <v>2</v>
      </c>
      <c r="N1614" s="229" t="s">
        <v>273</v>
      </c>
      <c r="O1614" s="229" t="s">
        <v>267</v>
      </c>
      <c r="P1614" s="231"/>
    </row>
    <row r="1615" spans="1:16" ht="20.399999999999999" x14ac:dyDescent="0.25">
      <c r="A1615" s="227" t="s">
        <v>4345</v>
      </c>
      <c r="B1615" s="228"/>
      <c r="C1615" s="228" t="s">
        <v>3880</v>
      </c>
      <c r="D1615" s="228" t="s">
        <v>4913</v>
      </c>
      <c r="E1615" s="229"/>
      <c r="F1615" s="229" t="s">
        <v>139</v>
      </c>
      <c r="G1615" s="229" t="s">
        <v>82</v>
      </c>
      <c r="H1615" s="229"/>
      <c r="I1615" s="229">
        <v>0</v>
      </c>
      <c r="J1615" s="229">
        <v>0</v>
      </c>
      <c r="K1615" s="230">
        <v>4294967295</v>
      </c>
      <c r="L1615" s="229">
        <v>1</v>
      </c>
      <c r="M1615" s="229">
        <v>0</v>
      </c>
      <c r="N1615" s="229" t="s">
        <v>273</v>
      </c>
      <c r="O1615" s="229" t="s">
        <v>321</v>
      </c>
      <c r="P1615" s="231"/>
    </row>
    <row r="1616" spans="1:16" ht="20.399999999999999" x14ac:dyDescent="0.25">
      <c r="A1616" s="227" t="s">
        <v>4346</v>
      </c>
      <c r="B1616" s="228"/>
      <c r="C1616" s="228" t="s">
        <v>3880</v>
      </c>
      <c r="D1616" s="228" t="s">
        <v>4913</v>
      </c>
      <c r="E1616" s="229"/>
      <c r="F1616" s="229" t="s">
        <v>139</v>
      </c>
      <c r="G1616" s="229" t="s">
        <v>82</v>
      </c>
      <c r="H1616" s="229"/>
      <c r="I1616" s="229">
        <v>0</v>
      </c>
      <c r="J1616" s="229">
        <v>0</v>
      </c>
      <c r="K1616" s="230">
        <v>4294967295</v>
      </c>
      <c r="L1616" s="229">
        <v>1</v>
      </c>
      <c r="M1616" s="229">
        <v>0</v>
      </c>
      <c r="N1616" s="229" t="s">
        <v>273</v>
      </c>
      <c r="O1616" s="229" t="s">
        <v>321</v>
      </c>
      <c r="P1616" s="231"/>
    </row>
    <row r="1617" spans="1:16" ht="30.6" x14ac:dyDescent="0.25">
      <c r="A1617" s="227" t="s">
        <v>4347</v>
      </c>
      <c r="B1617" s="228"/>
      <c r="C1617" s="228" t="s">
        <v>3880</v>
      </c>
      <c r="D1617" s="228" t="s">
        <v>4913</v>
      </c>
      <c r="E1617" s="229"/>
      <c r="F1617" s="229" t="s">
        <v>139</v>
      </c>
      <c r="G1617" s="229" t="s">
        <v>82</v>
      </c>
      <c r="H1617" s="229"/>
      <c r="I1617" s="229">
        <v>0</v>
      </c>
      <c r="J1617" s="229">
        <v>-1600</v>
      </c>
      <c r="K1617" s="230">
        <v>1600</v>
      </c>
      <c r="L1617" s="229" t="s">
        <v>1865</v>
      </c>
      <c r="M1617" s="229" t="s">
        <v>3682</v>
      </c>
      <c r="N1617" s="229" t="s">
        <v>300</v>
      </c>
      <c r="O1617" s="229" t="s">
        <v>261</v>
      </c>
      <c r="P1617" s="231"/>
    </row>
    <row r="1618" spans="1:16" ht="20.399999999999999" x14ac:dyDescent="0.25">
      <c r="A1618" s="227" t="s">
        <v>4348</v>
      </c>
      <c r="B1618" s="228"/>
      <c r="C1618" s="228" t="s">
        <v>3880</v>
      </c>
      <c r="D1618" s="228" t="s">
        <v>4913</v>
      </c>
      <c r="E1618" s="229"/>
      <c r="F1618" s="229" t="s">
        <v>139</v>
      </c>
      <c r="G1618" s="229" t="s">
        <v>82</v>
      </c>
      <c r="H1618" s="229"/>
      <c r="I1618" s="229">
        <v>0</v>
      </c>
      <c r="J1618" s="229">
        <v>2.5132709645658801E-6</v>
      </c>
      <c r="K1618" s="230">
        <v>1.255847823713574E-3</v>
      </c>
      <c r="L1618" s="229" t="s">
        <v>1865</v>
      </c>
      <c r="M1618" s="229">
        <v>1.2566362718180457E-6</v>
      </c>
      <c r="N1618" s="229" t="s">
        <v>300</v>
      </c>
      <c r="O1618" s="229" t="s">
        <v>261</v>
      </c>
      <c r="P1618" s="231"/>
    </row>
    <row r="1619" spans="1:16" ht="30.6" x14ac:dyDescent="0.25">
      <c r="A1619" s="227" t="s">
        <v>4349</v>
      </c>
      <c r="B1619" s="228"/>
      <c r="C1619" s="228" t="s">
        <v>3880</v>
      </c>
      <c r="D1619" s="228" t="s">
        <v>4913</v>
      </c>
      <c r="E1619" s="229"/>
      <c r="F1619" s="229" t="s">
        <v>139</v>
      </c>
      <c r="G1619" s="229" t="s">
        <v>82</v>
      </c>
      <c r="H1619" s="229"/>
      <c r="I1619" s="229">
        <v>0</v>
      </c>
      <c r="J1619" s="229">
        <v>-1600</v>
      </c>
      <c r="K1619" s="230">
        <v>1600</v>
      </c>
      <c r="L1619" s="229" t="s">
        <v>1865</v>
      </c>
      <c r="M1619" s="229" t="s">
        <v>3682</v>
      </c>
      <c r="N1619" s="229" t="s">
        <v>300</v>
      </c>
      <c r="O1619" s="229" t="s">
        <v>261</v>
      </c>
      <c r="P1619" s="231"/>
    </row>
    <row r="1620" spans="1:16" ht="20.399999999999999" x14ac:dyDescent="0.25">
      <c r="A1620" s="227" t="s">
        <v>4350</v>
      </c>
      <c r="B1620" s="228"/>
      <c r="C1620" s="228" t="s">
        <v>3880</v>
      </c>
      <c r="D1620" s="228" t="s">
        <v>4913</v>
      </c>
      <c r="E1620" s="229"/>
      <c r="F1620" s="229" t="s">
        <v>139</v>
      </c>
      <c r="G1620" s="229" t="s">
        <v>82</v>
      </c>
      <c r="H1620" s="229"/>
      <c r="I1620" s="229">
        <v>0</v>
      </c>
      <c r="J1620" s="229">
        <v>2.5132709645658835E-6</v>
      </c>
      <c r="K1620" s="230">
        <v>1.255847823713574E-3</v>
      </c>
      <c r="L1620" s="229" t="s">
        <v>1865</v>
      </c>
      <c r="M1620" s="229">
        <v>1.2566362718180457E-6</v>
      </c>
      <c r="N1620" s="229" t="s">
        <v>300</v>
      </c>
      <c r="O1620" s="229" t="s">
        <v>261</v>
      </c>
      <c r="P1620" s="231"/>
    </row>
    <row r="1621" spans="1:16" ht="20.399999999999999" x14ac:dyDescent="0.25">
      <c r="A1621" s="227" t="s">
        <v>4351</v>
      </c>
      <c r="B1621" s="228"/>
      <c r="C1621" s="228" t="s">
        <v>3880</v>
      </c>
      <c r="D1621" s="228" t="s">
        <v>4913</v>
      </c>
      <c r="E1621" s="229"/>
      <c r="F1621" s="229" t="s">
        <v>139</v>
      </c>
      <c r="G1621" s="229" t="s">
        <v>82</v>
      </c>
      <c r="H1621" s="229"/>
      <c r="I1621" s="229" t="b">
        <v>0</v>
      </c>
      <c r="J1621" s="229" t="b">
        <v>0</v>
      </c>
      <c r="K1621" s="230" t="b">
        <v>1</v>
      </c>
      <c r="L1621" s="229" t="s">
        <v>1883</v>
      </c>
      <c r="M1621" s="229" t="s">
        <v>1883</v>
      </c>
      <c r="N1621" s="229" t="s">
        <v>424</v>
      </c>
      <c r="O1621" s="229" t="s">
        <v>501</v>
      </c>
      <c r="P1621" s="231"/>
    </row>
    <row r="1622" spans="1:16" ht="20.399999999999999" x14ac:dyDescent="0.25">
      <c r="A1622" s="227" t="s">
        <v>4352</v>
      </c>
      <c r="B1622" s="228"/>
      <c r="C1622" s="228" t="s">
        <v>3880</v>
      </c>
      <c r="D1622" s="228" t="s">
        <v>4913</v>
      </c>
      <c r="E1622" s="229"/>
      <c r="F1622" s="229" t="s">
        <v>139</v>
      </c>
      <c r="G1622" s="229" t="s">
        <v>82</v>
      </c>
      <c r="H1622" s="229"/>
      <c r="I1622" s="229" t="b">
        <v>0</v>
      </c>
      <c r="J1622" s="229" t="b">
        <v>0</v>
      </c>
      <c r="K1622" s="230" t="b">
        <v>1</v>
      </c>
      <c r="L1622" s="229" t="s">
        <v>1883</v>
      </c>
      <c r="M1622" s="229" t="s">
        <v>1883</v>
      </c>
      <c r="N1622" s="229" t="s">
        <v>424</v>
      </c>
      <c r="O1622" s="229" t="s">
        <v>501</v>
      </c>
      <c r="P1622" s="231"/>
    </row>
    <row r="1623" spans="1:16" ht="20.399999999999999" x14ac:dyDescent="0.25">
      <c r="A1623" s="227" t="s">
        <v>4353</v>
      </c>
      <c r="B1623" s="228"/>
      <c r="C1623" s="228" t="s">
        <v>3880</v>
      </c>
      <c r="D1623" s="228" t="s">
        <v>4913</v>
      </c>
      <c r="E1623" s="229"/>
      <c r="F1623" s="229" t="s">
        <v>139</v>
      </c>
      <c r="G1623" s="229" t="s">
        <v>82</v>
      </c>
      <c r="H1623" s="229"/>
      <c r="I1623" s="229" t="b">
        <v>0</v>
      </c>
      <c r="J1623" s="229" t="b">
        <v>0</v>
      </c>
      <c r="K1623" s="230" t="b">
        <v>1</v>
      </c>
      <c r="L1623" s="229" t="s">
        <v>1883</v>
      </c>
      <c r="M1623" s="229" t="s">
        <v>1883</v>
      </c>
      <c r="N1623" s="229" t="s">
        <v>424</v>
      </c>
      <c r="O1623" s="229" t="s">
        <v>501</v>
      </c>
      <c r="P1623" s="231"/>
    </row>
    <row r="1624" spans="1:16" ht="20.399999999999999" x14ac:dyDescent="0.25">
      <c r="A1624" s="227" t="s">
        <v>4354</v>
      </c>
      <c r="B1624" s="228"/>
      <c r="C1624" s="228" t="s">
        <v>3880</v>
      </c>
      <c r="D1624" s="228" t="s">
        <v>4913</v>
      </c>
      <c r="E1624" s="229"/>
      <c r="F1624" s="229" t="s">
        <v>139</v>
      </c>
      <c r="G1624" s="229" t="s">
        <v>82</v>
      </c>
      <c r="H1624" s="229"/>
      <c r="I1624" s="229" t="b">
        <v>0</v>
      </c>
      <c r="J1624" s="229" t="b">
        <v>0</v>
      </c>
      <c r="K1624" s="230" t="b">
        <v>1</v>
      </c>
      <c r="L1624" s="229" t="s">
        <v>1883</v>
      </c>
      <c r="M1624" s="229" t="s">
        <v>1883</v>
      </c>
      <c r="N1624" s="229" t="s">
        <v>424</v>
      </c>
      <c r="O1624" s="229" t="s">
        <v>501</v>
      </c>
      <c r="P1624" s="231"/>
    </row>
    <row r="1625" spans="1:16" ht="20.399999999999999" x14ac:dyDescent="0.25">
      <c r="A1625" s="227" t="s">
        <v>4355</v>
      </c>
      <c r="B1625" s="228"/>
      <c r="C1625" s="228" t="s">
        <v>3880</v>
      </c>
      <c r="D1625" s="228" t="s">
        <v>4913</v>
      </c>
      <c r="E1625" s="229"/>
      <c r="F1625" s="229" t="s">
        <v>139</v>
      </c>
      <c r="G1625" s="229" t="s">
        <v>82</v>
      </c>
      <c r="H1625" s="229"/>
      <c r="I1625" s="229">
        <v>0</v>
      </c>
      <c r="J1625" s="229">
        <v>0</v>
      </c>
      <c r="K1625" s="230">
        <v>700</v>
      </c>
      <c r="L1625" s="229" t="s">
        <v>1865</v>
      </c>
      <c r="M1625" s="229">
        <v>0.2</v>
      </c>
      <c r="N1625" s="229" t="s">
        <v>263</v>
      </c>
      <c r="O1625" s="229" t="s">
        <v>261</v>
      </c>
      <c r="P1625" s="231"/>
    </row>
    <row r="1626" spans="1:16" ht="20.399999999999999" x14ac:dyDescent="0.25">
      <c r="A1626" s="227" t="s">
        <v>4356</v>
      </c>
      <c r="B1626" s="228"/>
      <c r="C1626" s="228" t="s">
        <v>3880</v>
      </c>
      <c r="D1626" s="228" t="s">
        <v>4913</v>
      </c>
      <c r="E1626" s="229"/>
      <c r="F1626" s="229" t="s">
        <v>139</v>
      </c>
      <c r="G1626" s="229" t="s">
        <v>82</v>
      </c>
      <c r="H1626" s="229"/>
      <c r="I1626" s="229">
        <v>0</v>
      </c>
      <c r="J1626" s="229">
        <v>0</v>
      </c>
      <c r="K1626" s="230">
        <v>255</v>
      </c>
      <c r="L1626" s="229" t="s">
        <v>1865</v>
      </c>
      <c r="M1626" s="229">
        <v>0.5</v>
      </c>
      <c r="N1626" s="229" t="s">
        <v>311</v>
      </c>
      <c r="O1626" s="229" t="s">
        <v>261</v>
      </c>
      <c r="P1626" s="231"/>
    </row>
    <row r="1627" spans="1:16" ht="20.399999999999999" x14ac:dyDescent="0.25">
      <c r="A1627" s="227" t="s">
        <v>4357</v>
      </c>
      <c r="B1627" s="228"/>
      <c r="C1627" s="228" t="s">
        <v>3880</v>
      </c>
      <c r="D1627" s="228" t="s">
        <v>4913</v>
      </c>
      <c r="E1627" s="229"/>
      <c r="F1627" s="229" t="s">
        <v>139</v>
      </c>
      <c r="G1627" s="229" t="s">
        <v>82</v>
      </c>
      <c r="H1627" s="229"/>
      <c r="I1627" s="229">
        <v>0</v>
      </c>
      <c r="J1627" s="229">
        <v>0</v>
      </c>
      <c r="K1627" s="230">
        <v>20</v>
      </c>
      <c r="L1627" s="229" t="s">
        <v>1865</v>
      </c>
      <c r="M1627" s="229">
        <v>0.04</v>
      </c>
      <c r="N1627" s="229" t="s">
        <v>265</v>
      </c>
      <c r="O1627" s="229" t="s">
        <v>261</v>
      </c>
      <c r="P1627" s="231"/>
    </row>
    <row r="1628" spans="1:16" ht="20.399999999999999" x14ac:dyDescent="0.25">
      <c r="A1628" s="227" t="s">
        <v>4358</v>
      </c>
      <c r="B1628" s="228"/>
      <c r="C1628" s="228" t="s">
        <v>3880</v>
      </c>
      <c r="D1628" s="228" t="s">
        <v>4913</v>
      </c>
      <c r="E1628" s="229"/>
      <c r="F1628" s="229" t="s">
        <v>139</v>
      </c>
      <c r="G1628" s="229" t="s">
        <v>82</v>
      </c>
      <c r="H1628" s="229"/>
      <c r="I1628" s="229">
        <v>0</v>
      </c>
      <c r="J1628" s="229">
        <v>0</v>
      </c>
      <c r="K1628" s="230">
        <v>100</v>
      </c>
      <c r="L1628" s="229" t="s">
        <v>1865</v>
      </c>
      <c r="M1628" s="229">
        <v>6.25E-2</v>
      </c>
      <c r="N1628" s="229" t="s">
        <v>268</v>
      </c>
      <c r="O1628" s="229" t="s">
        <v>261</v>
      </c>
      <c r="P1628" s="231"/>
    </row>
    <row r="1629" spans="1:16" ht="20.399999999999999" x14ac:dyDescent="0.25">
      <c r="A1629" s="227" t="s">
        <v>4359</v>
      </c>
      <c r="B1629" s="228"/>
      <c r="C1629" s="228" t="s">
        <v>3880</v>
      </c>
      <c r="D1629" s="228" t="s">
        <v>4913</v>
      </c>
      <c r="E1629" s="229"/>
      <c r="F1629" s="229" t="s">
        <v>139</v>
      </c>
      <c r="G1629" s="229" t="s">
        <v>82</v>
      </c>
      <c r="H1629" s="229"/>
      <c r="I1629" s="229">
        <v>0</v>
      </c>
      <c r="J1629" s="229">
        <v>0</v>
      </c>
      <c r="K1629" s="230">
        <v>60000</v>
      </c>
      <c r="L1629" s="229">
        <v>1</v>
      </c>
      <c r="M1629" s="229">
        <v>2</v>
      </c>
      <c r="N1629" s="229" t="s">
        <v>273</v>
      </c>
      <c r="O1629" s="229" t="s">
        <v>267</v>
      </c>
      <c r="P1629" s="231"/>
    </row>
    <row r="1630" spans="1:16" ht="20.399999999999999" x14ac:dyDescent="0.25">
      <c r="A1630" s="227" t="s">
        <v>4360</v>
      </c>
      <c r="B1630" s="228"/>
      <c r="C1630" s="228" t="s">
        <v>3880</v>
      </c>
      <c r="D1630" s="228" t="s">
        <v>4913</v>
      </c>
      <c r="E1630" s="229"/>
      <c r="F1630" s="229" t="s">
        <v>139</v>
      </c>
      <c r="G1630" s="229" t="s">
        <v>82</v>
      </c>
      <c r="H1630" s="229"/>
      <c r="I1630" s="229">
        <v>0</v>
      </c>
      <c r="J1630" s="229">
        <v>0</v>
      </c>
      <c r="K1630" s="230">
        <v>60000</v>
      </c>
      <c r="L1630" s="229">
        <v>1</v>
      </c>
      <c r="M1630" s="229">
        <v>2</v>
      </c>
      <c r="N1630" s="229" t="s">
        <v>273</v>
      </c>
      <c r="O1630" s="229" t="s">
        <v>267</v>
      </c>
      <c r="P1630" s="231"/>
    </row>
    <row r="1631" spans="1:16" ht="20.399999999999999" x14ac:dyDescent="0.25">
      <c r="A1631" s="227" t="s">
        <v>4361</v>
      </c>
      <c r="B1631" s="228"/>
      <c r="C1631" s="228" t="s">
        <v>3880</v>
      </c>
      <c r="D1631" s="228" t="s">
        <v>4913</v>
      </c>
      <c r="E1631" s="229"/>
      <c r="F1631" s="229" t="s">
        <v>139</v>
      </c>
      <c r="G1631" s="229" t="s">
        <v>82</v>
      </c>
      <c r="H1631" s="229"/>
      <c r="I1631" s="229">
        <v>0</v>
      </c>
      <c r="J1631" s="229">
        <v>0</v>
      </c>
      <c r="K1631" s="230">
        <v>4294967295</v>
      </c>
      <c r="L1631" s="229">
        <v>1</v>
      </c>
      <c r="M1631" s="229">
        <v>0</v>
      </c>
      <c r="N1631" s="229" t="s">
        <v>273</v>
      </c>
      <c r="O1631" s="229" t="s">
        <v>321</v>
      </c>
      <c r="P1631" s="231"/>
    </row>
    <row r="1632" spans="1:16" ht="20.399999999999999" x14ac:dyDescent="0.25">
      <c r="A1632" s="227" t="s">
        <v>4362</v>
      </c>
      <c r="B1632" s="228"/>
      <c r="C1632" s="228" t="s">
        <v>3880</v>
      </c>
      <c r="D1632" s="228" t="s">
        <v>4913</v>
      </c>
      <c r="E1632" s="229"/>
      <c r="F1632" s="229" t="s">
        <v>139</v>
      </c>
      <c r="G1632" s="229" t="s">
        <v>82</v>
      </c>
      <c r="H1632" s="229"/>
      <c r="I1632" s="229">
        <v>0</v>
      </c>
      <c r="J1632" s="229">
        <v>0</v>
      </c>
      <c r="K1632" s="230">
        <v>4294967295</v>
      </c>
      <c r="L1632" s="229">
        <v>1</v>
      </c>
      <c r="M1632" s="229">
        <v>0</v>
      </c>
      <c r="N1632" s="229" t="s">
        <v>273</v>
      </c>
      <c r="O1632" s="229" t="s">
        <v>321</v>
      </c>
      <c r="P1632" s="231"/>
    </row>
    <row r="1633" spans="1:16" ht="30.6" x14ac:dyDescent="0.25">
      <c r="A1633" s="227" t="s">
        <v>4363</v>
      </c>
      <c r="B1633" s="228"/>
      <c r="C1633" s="228" t="s">
        <v>3880</v>
      </c>
      <c r="D1633" s="228" t="s">
        <v>4913</v>
      </c>
      <c r="E1633" s="229"/>
      <c r="F1633" s="229" t="s">
        <v>139</v>
      </c>
      <c r="G1633" s="229" t="s">
        <v>82</v>
      </c>
      <c r="H1633" s="229"/>
      <c r="I1633" s="229">
        <v>0</v>
      </c>
      <c r="J1633" s="229">
        <v>-1600</v>
      </c>
      <c r="K1633" s="230">
        <v>1600</v>
      </c>
      <c r="L1633" s="229" t="s">
        <v>1865</v>
      </c>
      <c r="M1633" s="229" t="s">
        <v>3682</v>
      </c>
      <c r="N1633" s="229" t="s">
        <v>300</v>
      </c>
      <c r="O1633" s="229" t="s">
        <v>261</v>
      </c>
      <c r="P1633" s="231"/>
    </row>
    <row r="1634" spans="1:16" ht="20.399999999999999" x14ac:dyDescent="0.25">
      <c r="A1634" s="227" t="s">
        <v>4364</v>
      </c>
      <c r="B1634" s="228"/>
      <c r="C1634" s="228" t="s">
        <v>3880</v>
      </c>
      <c r="D1634" s="228" t="s">
        <v>4913</v>
      </c>
      <c r="E1634" s="229"/>
      <c r="F1634" s="229" t="s">
        <v>139</v>
      </c>
      <c r="G1634" s="229" t="s">
        <v>82</v>
      </c>
      <c r="H1634" s="229"/>
      <c r="I1634" s="229">
        <v>0</v>
      </c>
      <c r="J1634" s="229">
        <v>2.5132709645658835E-6</v>
      </c>
      <c r="K1634" s="230">
        <v>1.255847823713574E-3</v>
      </c>
      <c r="L1634" s="229" t="s">
        <v>1865</v>
      </c>
      <c r="M1634" s="229">
        <v>1.2566362718180457E-6</v>
      </c>
      <c r="N1634" s="229" t="s">
        <v>300</v>
      </c>
      <c r="O1634" s="229" t="s">
        <v>261</v>
      </c>
      <c r="P1634" s="231"/>
    </row>
    <row r="1635" spans="1:16" ht="30.6" x14ac:dyDescent="0.25">
      <c r="A1635" s="227" t="s">
        <v>4365</v>
      </c>
      <c r="B1635" s="228"/>
      <c r="C1635" s="228" t="s">
        <v>3880</v>
      </c>
      <c r="D1635" s="228" t="s">
        <v>4913</v>
      </c>
      <c r="E1635" s="229"/>
      <c r="F1635" s="229" t="s">
        <v>139</v>
      </c>
      <c r="G1635" s="229" t="s">
        <v>82</v>
      </c>
      <c r="H1635" s="229"/>
      <c r="I1635" s="229">
        <v>0</v>
      </c>
      <c r="J1635" s="229">
        <v>-1600</v>
      </c>
      <c r="K1635" s="230">
        <v>1600</v>
      </c>
      <c r="L1635" s="229" t="s">
        <v>1865</v>
      </c>
      <c r="M1635" s="229" t="s">
        <v>3682</v>
      </c>
      <c r="N1635" s="229" t="s">
        <v>300</v>
      </c>
      <c r="O1635" s="229" t="s">
        <v>261</v>
      </c>
      <c r="P1635" s="231"/>
    </row>
    <row r="1636" spans="1:16" ht="20.399999999999999" x14ac:dyDescent="0.25">
      <c r="A1636" s="227" t="s">
        <v>4366</v>
      </c>
      <c r="B1636" s="228"/>
      <c r="C1636" s="228" t="s">
        <v>3880</v>
      </c>
      <c r="D1636" s="228" t="s">
        <v>4913</v>
      </c>
      <c r="E1636" s="229"/>
      <c r="F1636" s="229" t="s">
        <v>139</v>
      </c>
      <c r="G1636" s="229" t="s">
        <v>82</v>
      </c>
      <c r="H1636" s="229"/>
      <c r="I1636" s="229">
        <v>0</v>
      </c>
      <c r="J1636" s="229">
        <v>2.5132709645658835E-6</v>
      </c>
      <c r="K1636" s="230">
        <v>1.255847823713574E-3</v>
      </c>
      <c r="L1636" s="229" t="s">
        <v>1865</v>
      </c>
      <c r="M1636" s="229">
        <v>1.2566362718180457E-6</v>
      </c>
      <c r="N1636" s="229" t="s">
        <v>300</v>
      </c>
      <c r="O1636" s="229" t="s">
        <v>261</v>
      </c>
      <c r="P1636" s="231"/>
    </row>
    <row r="1637" spans="1:16" ht="20.399999999999999" x14ac:dyDescent="0.25">
      <c r="A1637" s="227" t="s">
        <v>4367</v>
      </c>
      <c r="B1637" s="228"/>
      <c r="C1637" s="228" t="s">
        <v>3880</v>
      </c>
      <c r="D1637" s="228" t="s">
        <v>4913</v>
      </c>
      <c r="E1637" s="229"/>
      <c r="F1637" s="229" t="s">
        <v>139</v>
      </c>
      <c r="G1637" s="229" t="s">
        <v>82</v>
      </c>
      <c r="H1637" s="229"/>
      <c r="I1637" s="229" t="b">
        <v>0</v>
      </c>
      <c r="J1637" s="229" t="b">
        <v>0</v>
      </c>
      <c r="K1637" s="230" t="b">
        <v>1</v>
      </c>
      <c r="L1637" s="229" t="s">
        <v>1883</v>
      </c>
      <c r="M1637" s="229" t="s">
        <v>1883</v>
      </c>
      <c r="N1637" s="229" t="s">
        <v>424</v>
      </c>
      <c r="O1637" s="229" t="s">
        <v>501</v>
      </c>
      <c r="P1637" s="231"/>
    </row>
    <row r="1638" spans="1:16" ht="20.399999999999999" x14ac:dyDescent="0.25">
      <c r="A1638" s="227" t="s">
        <v>4368</v>
      </c>
      <c r="B1638" s="228"/>
      <c r="C1638" s="228" t="s">
        <v>3880</v>
      </c>
      <c r="D1638" s="228" t="s">
        <v>4913</v>
      </c>
      <c r="E1638" s="229"/>
      <c r="F1638" s="229" t="s">
        <v>139</v>
      </c>
      <c r="G1638" s="229" t="s">
        <v>82</v>
      </c>
      <c r="H1638" s="229"/>
      <c r="I1638" s="229" t="b">
        <v>0</v>
      </c>
      <c r="J1638" s="229" t="b">
        <v>0</v>
      </c>
      <c r="K1638" s="230" t="b">
        <v>1</v>
      </c>
      <c r="L1638" s="229" t="s">
        <v>1883</v>
      </c>
      <c r="M1638" s="229" t="s">
        <v>1883</v>
      </c>
      <c r="N1638" s="229" t="s">
        <v>424</v>
      </c>
      <c r="O1638" s="229" t="s">
        <v>501</v>
      </c>
      <c r="P1638" s="231"/>
    </row>
    <row r="1639" spans="1:16" ht="20.399999999999999" x14ac:dyDescent="0.25">
      <c r="A1639" s="227" t="s">
        <v>4369</v>
      </c>
      <c r="B1639" s="228"/>
      <c r="C1639" s="228" t="s">
        <v>3880</v>
      </c>
      <c r="D1639" s="228" t="s">
        <v>4913</v>
      </c>
      <c r="E1639" s="229"/>
      <c r="F1639" s="229" t="s">
        <v>139</v>
      </c>
      <c r="G1639" s="229" t="s">
        <v>82</v>
      </c>
      <c r="H1639" s="229"/>
      <c r="I1639" s="229" t="b">
        <v>0</v>
      </c>
      <c r="J1639" s="229" t="b">
        <v>0</v>
      </c>
      <c r="K1639" s="230" t="b">
        <v>1</v>
      </c>
      <c r="L1639" s="229" t="s">
        <v>1883</v>
      </c>
      <c r="M1639" s="229" t="s">
        <v>1883</v>
      </c>
      <c r="N1639" s="229" t="s">
        <v>424</v>
      </c>
      <c r="O1639" s="229" t="s">
        <v>501</v>
      </c>
      <c r="P1639" s="231"/>
    </row>
    <row r="1640" spans="1:16" ht="20.399999999999999" x14ac:dyDescent="0.25">
      <c r="A1640" s="227" t="s">
        <v>4370</v>
      </c>
      <c r="B1640" s="228"/>
      <c r="C1640" s="228" t="s">
        <v>3880</v>
      </c>
      <c r="D1640" s="228" t="s">
        <v>4913</v>
      </c>
      <c r="E1640" s="229"/>
      <c r="F1640" s="229" t="s">
        <v>139</v>
      </c>
      <c r="G1640" s="229" t="s">
        <v>82</v>
      </c>
      <c r="H1640" s="229"/>
      <c r="I1640" s="229" t="b">
        <v>0</v>
      </c>
      <c r="J1640" s="229" t="b">
        <v>0</v>
      </c>
      <c r="K1640" s="230" t="b">
        <v>1</v>
      </c>
      <c r="L1640" s="229" t="s">
        <v>1883</v>
      </c>
      <c r="M1640" s="229" t="s">
        <v>1883</v>
      </c>
      <c r="N1640" s="229" t="s">
        <v>424</v>
      </c>
      <c r="O1640" s="229" t="s">
        <v>501</v>
      </c>
      <c r="P1640" s="231"/>
    </row>
    <row r="1641" spans="1:16" ht="20.399999999999999" x14ac:dyDescent="0.25">
      <c r="A1641" s="227" t="s">
        <v>4371</v>
      </c>
      <c r="B1641" s="228"/>
      <c r="C1641" s="228" t="s">
        <v>3880</v>
      </c>
      <c r="D1641" s="228" t="s">
        <v>4913</v>
      </c>
      <c r="E1641" s="229"/>
      <c r="F1641" s="229" t="s">
        <v>139</v>
      </c>
      <c r="G1641" s="229" t="s">
        <v>82</v>
      </c>
      <c r="H1641" s="229"/>
      <c r="I1641" s="229">
        <v>0</v>
      </c>
      <c r="J1641" s="229">
        <v>0</v>
      </c>
      <c r="K1641" s="230">
        <v>700</v>
      </c>
      <c r="L1641" s="229" t="s">
        <v>1865</v>
      </c>
      <c r="M1641" s="229">
        <v>0.2</v>
      </c>
      <c r="N1641" s="229" t="s">
        <v>263</v>
      </c>
      <c r="O1641" s="229" t="s">
        <v>261</v>
      </c>
      <c r="P1641" s="231"/>
    </row>
    <row r="1642" spans="1:16" ht="20.399999999999999" x14ac:dyDescent="0.25">
      <c r="A1642" s="227" t="s">
        <v>4372</v>
      </c>
      <c r="B1642" s="228"/>
      <c r="C1642" s="228" t="s">
        <v>3880</v>
      </c>
      <c r="D1642" s="228" t="s">
        <v>4913</v>
      </c>
      <c r="E1642" s="229"/>
      <c r="F1642" s="229" t="s">
        <v>139</v>
      </c>
      <c r="G1642" s="229" t="s">
        <v>82</v>
      </c>
      <c r="H1642" s="229"/>
      <c r="I1642" s="229">
        <v>0</v>
      </c>
      <c r="J1642" s="229">
        <v>0</v>
      </c>
      <c r="K1642" s="230">
        <v>255</v>
      </c>
      <c r="L1642" s="229" t="s">
        <v>1865</v>
      </c>
      <c r="M1642" s="229">
        <v>0.5</v>
      </c>
      <c r="N1642" s="229" t="s">
        <v>311</v>
      </c>
      <c r="O1642" s="229" t="s">
        <v>261</v>
      </c>
      <c r="P1642" s="231"/>
    </row>
    <row r="1643" spans="1:16" ht="20.399999999999999" x14ac:dyDescent="0.25">
      <c r="A1643" s="227" t="s">
        <v>4373</v>
      </c>
      <c r="B1643" s="228"/>
      <c r="C1643" s="228" t="s">
        <v>3880</v>
      </c>
      <c r="D1643" s="228" t="s">
        <v>4913</v>
      </c>
      <c r="E1643" s="229"/>
      <c r="F1643" s="229" t="s">
        <v>139</v>
      </c>
      <c r="G1643" s="229" t="s">
        <v>82</v>
      </c>
      <c r="H1643" s="229"/>
      <c r="I1643" s="229">
        <v>0</v>
      </c>
      <c r="J1643" s="229">
        <v>0</v>
      </c>
      <c r="K1643" s="230">
        <v>20</v>
      </c>
      <c r="L1643" s="229" t="s">
        <v>1865</v>
      </c>
      <c r="M1643" s="229">
        <v>0.04</v>
      </c>
      <c r="N1643" s="229" t="s">
        <v>265</v>
      </c>
      <c r="O1643" s="229" t="s">
        <v>261</v>
      </c>
      <c r="P1643" s="231"/>
    </row>
    <row r="1644" spans="1:16" ht="20.399999999999999" x14ac:dyDescent="0.25">
      <c r="A1644" s="227" t="s">
        <v>4374</v>
      </c>
      <c r="B1644" s="228"/>
      <c r="C1644" s="228" t="s">
        <v>3880</v>
      </c>
      <c r="D1644" s="228" t="s">
        <v>4913</v>
      </c>
      <c r="E1644" s="229"/>
      <c r="F1644" s="229" t="s">
        <v>139</v>
      </c>
      <c r="G1644" s="229" t="s">
        <v>82</v>
      </c>
      <c r="H1644" s="229"/>
      <c r="I1644" s="229">
        <v>0</v>
      </c>
      <c r="J1644" s="229">
        <v>0</v>
      </c>
      <c r="K1644" s="230">
        <v>100</v>
      </c>
      <c r="L1644" s="229" t="s">
        <v>1865</v>
      </c>
      <c r="M1644" s="229">
        <v>6.25E-2</v>
      </c>
      <c r="N1644" s="229" t="s">
        <v>268</v>
      </c>
      <c r="O1644" s="229" t="s">
        <v>261</v>
      </c>
      <c r="P1644" s="231"/>
    </row>
    <row r="1645" spans="1:16" ht="20.399999999999999" x14ac:dyDescent="0.25">
      <c r="A1645" s="227" t="s">
        <v>4375</v>
      </c>
      <c r="B1645" s="228"/>
      <c r="C1645" s="228" t="s">
        <v>3880</v>
      </c>
      <c r="D1645" s="228" t="s">
        <v>4913</v>
      </c>
      <c r="E1645" s="229"/>
      <c r="F1645" s="229" t="s">
        <v>139</v>
      </c>
      <c r="G1645" s="229" t="s">
        <v>82</v>
      </c>
      <c r="H1645" s="229"/>
      <c r="I1645" s="229">
        <v>0</v>
      </c>
      <c r="J1645" s="229">
        <v>0</v>
      </c>
      <c r="K1645" s="230">
        <v>60000</v>
      </c>
      <c r="L1645" s="229">
        <v>1</v>
      </c>
      <c r="M1645" s="229">
        <v>2</v>
      </c>
      <c r="N1645" s="229" t="s">
        <v>273</v>
      </c>
      <c r="O1645" s="229" t="s">
        <v>267</v>
      </c>
      <c r="P1645" s="231"/>
    </row>
    <row r="1646" spans="1:16" ht="20.399999999999999" x14ac:dyDescent="0.25">
      <c r="A1646" s="227" t="s">
        <v>4376</v>
      </c>
      <c r="B1646" s="228"/>
      <c r="C1646" s="228" t="s">
        <v>3880</v>
      </c>
      <c r="D1646" s="228" t="s">
        <v>4913</v>
      </c>
      <c r="E1646" s="229"/>
      <c r="F1646" s="229" t="s">
        <v>139</v>
      </c>
      <c r="G1646" s="229" t="s">
        <v>82</v>
      </c>
      <c r="H1646" s="229"/>
      <c r="I1646" s="229">
        <v>0</v>
      </c>
      <c r="J1646" s="229">
        <v>0</v>
      </c>
      <c r="K1646" s="230">
        <v>60000</v>
      </c>
      <c r="L1646" s="229">
        <v>1</v>
      </c>
      <c r="M1646" s="229">
        <v>2</v>
      </c>
      <c r="N1646" s="229" t="s">
        <v>273</v>
      </c>
      <c r="O1646" s="229" t="s">
        <v>267</v>
      </c>
      <c r="P1646" s="231"/>
    </row>
    <row r="1647" spans="1:16" ht="20.399999999999999" x14ac:dyDescent="0.25">
      <c r="A1647" s="227" t="s">
        <v>4377</v>
      </c>
      <c r="B1647" s="228"/>
      <c r="C1647" s="228" t="s">
        <v>3880</v>
      </c>
      <c r="D1647" s="228" t="s">
        <v>4913</v>
      </c>
      <c r="E1647" s="229"/>
      <c r="F1647" s="229" t="s">
        <v>139</v>
      </c>
      <c r="G1647" s="229" t="s">
        <v>82</v>
      </c>
      <c r="H1647" s="229"/>
      <c r="I1647" s="229">
        <v>0</v>
      </c>
      <c r="J1647" s="229">
        <v>0</v>
      </c>
      <c r="K1647" s="230">
        <v>4294967295</v>
      </c>
      <c r="L1647" s="229">
        <v>1</v>
      </c>
      <c r="M1647" s="229">
        <v>0</v>
      </c>
      <c r="N1647" s="229" t="s">
        <v>273</v>
      </c>
      <c r="O1647" s="229" t="s">
        <v>321</v>
      </c>
      <c r="P1647" s="231"/>
    </row>
    <row r="1648" spans="1:16" ht="20.399999999999999" x14ac:dyDescent="0.25">
      <c r="A1648" s="227" t="s">
        <v>4378</v>
      </c>
      <c r="B1648" s="228"/>
      <c r="C1648" s="228" t="s">
        <v>3880</v>
      </c>
      <c r="D1648" s="228" t="s">
        <v>4913</v>
      </c>
      <c r="E1648" s="229"/>
      <c r="F1648" s="229" t="s">
        <v>139</v>
      </c>
      <c r="G1648" s="229" t="s">
        <v>82</v>
      </c>
      <c r="H1648" s="229"/>
      <c r="I1648" s="229">
        <v>0</v>
      </c>
      <c r="J1648" s="229">
        <v>0</v>
      </c>
      <c r="K1648" s="230">
        <v>4294967295</v>
      </c>
      <c r="L1648" s="229">
        <v>1</v>
      </c>
      <c r="M1648" s="229">
        <v>0</v>
      </c>
      <c r="N1648" s="229" t="s">
        <v>273</v>
      </c>
      <c r="O1648" s="229" t="s">
        <v>321</v>
      </c>
      <c r="P1648" s="231"/>
    </row>
    <row r="1649" spans="1:16" ht="30.6" x14ac:dyDescent="0.25">
      <c r="A1649" s="227" t="s">
        <v>4379</v>
      </c>
      <c r="B1649" s="228"/>
      <c r="C1649" s="228" t="s">
        <v>3880</v>
      </c>
      <c r="D1649" s="228" t="s">
        <v>4913</v>
      </c>
      <c r="E1649" s="229"/>
      <c r="F1649" s="229" t="s">
        <v>139</v>
      </c>
      <c r="G1649" s="229" t="s">
        <v>82</v>
      </c>
      <c r="H1649" s="229"/>
      <c r="I1649" s="229">
        <v>0</v>
      </c>
      <c r="J1649" s="229">
        <v>-1600</v>
      </c>
      <c r="K1649" s="230">
        <v>1600</v>
      </c>
      <c r="L1649" s="229" t="s">
        <v>1865</v>
      </c>
      <c r="M1649" s="229" t="s">
        <v>3682</v>
      </c>
      <c r="N1649" s="229" t="s">
        <v>300</v>
      </c>
      <c r="O1649" s="229" t="s">
        <v>261</v>
      </c>
      <c r="P1649" s="231"/>
    </row>
    <row r="1650" spans="1:16" ht="20.399999999999999" x14ac:dyDescent="0.25">
      <c r="A1650" s="227" t="s">
        <v>4380</v>
      </c>
      <c r="B1650" s="228"/>
      <c r="C1650" s="228" t="s">
        <v>3880</v>
      </c>
      <c r="D1650" s="228" t="s">
        <v>4913</v>
      </c>
      <c r="E1650" s="229"/>
      <c r="F1650" s="229" t="s">
        <v>139</v>
      </c>
      <c r="G1650" s="229" t="s">
        <v>82</v>
      </c>
      <c r="H1650" s="229"/>
      <c r="I1650" s="229">
        <v>0</v>
      </c>
      <c r="J1650" s="229">
        <v>2.5132709645658835E-6</v>
      </c>
      <c r="K1650" s="230">
        <v>1.255847823713574E-3</v>
      </c>
      <c r="L1650" s="229" t="s">
        <v>1865</v>
      </c>
      <c r="M1650" s="229">
        <v>1.2566362718180457E-6</v>
      </c>
      <c r="N1650" s="229" t="s">
        <v>300</v>
      </c>
      <c r="O1650" s="229" t="s">
        <v>261</v>
      </c>
      <c r="P1650" s="231"/>
    </row>
    <row r="1651" spans="1:16" ht="30.6" x14ac:dyDescent="0.25">
      <c r="A1651" s="227" t="s">
        <v>4381</v>
      </c>
      <c r="B1651" s="228"/>
      <c r="C1651" s="228" t="s">
        <v>3880</v>
      </c>
      <c r="D1651" s="228" t="s">
        <v>4913</v>
      </c>
      <c r="E1651" s="229"/>
      <c r="F1651" s="229" t="s">
        <v>139</v>
      </c>
      <c r="G1651" s="229" t="s">
        <v>82</v>
      </c>
      <c r="H1651" s="229"/>
      <c r="I1651" s="229">
        <v>0</v>
      </c>
      <c r="J1651" s="229">
        <v>-1600</v>
      </c>
      <c r="K1651" s="230">
        <v>1600</v>
      </c>
      <c r="L1651" s="229" t="s">
        <v>1865</v>
      </c>
      <c r="M1651" s="229" t="s">
        <v>3682</v>
      </c>
      <c r="N1651" s="229" t="s">
        <v>300</v>
      </c>
      <c r="O1651" s="229" t="s">
        <v>261</v>
      </c>
      <c r="P1651" s="231"/>
    </row>
    <row r="1652" spans="1:16" ht="20.399999999999999" x14ac:dyDescent="0.25">
      <c r="A1652" s="227" t="s">
        <v>4382</v>
      </c>
      <c r="B1652" s="228"/>
      <c r="C1652" s="228" t="s">
        <v>3880</v>
      </c>
      <c r="D1652" s="228" t="s">
        <v>4913</v>
      </c>
      <c r="E1652" s="229"/>
      <c r="F1652" s="229" t="s">
        <v>139</v>
      </c>
      <c r="G1652" s="229" t="s">
        <v>82</v>
      </c>
      <c r="H1652" s="229"/>
      <c r="I1652" s="229">
        <v>0</v>
      </c>
      <c r="J1652" s="229">
        <v>2.5132709645658835E-6</v>
      </c>
      <c r="K1652" s="230">
        <v>1.255847823713574E-3</v>
      </c>
      <c r="L1652" s="229" t="s">
        <v>1865</v>
      </c>
      <c r="M1652" s="229">
        <v>1.2566362718180457E-6</v>
      </c>
      <c r="N1652" s="229" t="s">
        <v>300</v>
      </c>
      <c r="O1652" s="229" t="s">
        <v>261</v>
      </c>
      <c r="P1652" s="231"/>
    </row>
    <row r="1653" spans="1:16" ht="20.399999999999999" x14ac:dyDescent="0.25">
      <c r="A1653" s="227" t="s">
        <v>4383</v>
      </c>
      <c r="B1653" s="228"/>
      <c r="C1653" s="228" t="s">
        <v>3880</v>
      </c>
      <c r="D1653" s="228" t="s">
        <v>4913</v>
      </c>
      <c r="E1653" s="229"/>
      <c r="F1653" s="229" t="s">
        <v>139</v>
      </c>
      <c r="G1653" s="229" t="s">
        <v>82</v>
      </c>
      <c r="H1653" s="229"/>
      <c r="I1653" s="229" t="b">
        <v>0</v>
      </c>
      <c r="J1653" s="229" t="b">
        <v>0</v>
      </c>
      <c r="K1653" s="230" t="b">
        <v>1</v>
      </c>
      <c r="L1653" s="229" t="s">
        <v>1883</v>
      </c>
      <c r="M1653" s="229" t="s">
        <v>1883</v>
      </c>
      <c r="N1653" s="229" t="s">
        <v>424</v>
      </c>
      <c r="O1653" s="229" t="s">
        <v>501</v>
      </c>
      <c r="P1653" s="231"/>
    </row>
    <row r="1654" spans="1:16" ht="20.399999999999999" x14ac:dyDescent="0.25">
      <c r="A1654" s="227" t="s">
        <v>4384</v>
      </c>
      <c r="B1654" s="228"/>
      <c r="C1654" s="228" t="s">
        <v>3880</v>
      </c>
      <c r="D1654" s="228" t="s">
        <v>4913</v>
      </c>
      <c r="E1654" s="229"/>
      <c r="F1654" s="229" t="s">
        <v>139</v>
      </c>
      <c r="G1654" s="229" t="s">
        <v>82</v>
      </c>
      <c r="H1654" s="229"/>
      <c r="I1654" s="229" t="b">
        <v>0</v>
      </c>
      <c r="J1654" s="229" t="b">
        <v>0</v>
      </c>
      <c r="K1654" s="230" t="b">
        <v>1</v>
      </c>
      <c r="L1654" s="229" t="s">
        <v>1883</v>
      </c>
      <c r="M1654" s="229" t="s">
        <v>1883</v>
      </c>
      <c r="N1654" s="229" t="s">
        <v>424</v>
      </c>
      <c r="O1654" s="229" t="s">
        <v>501</v>
      </c>
      <c r="P1654" s="231"/>
    </row>
    <row r="1655" spans="1:16" ht="20.399999999999999" x14ac:dyDescent="0.25">
      <c r="A1655" s="227" t="s">
        <v>4385</v>
      </c>
      <c r="B1655" s="228"/>
      <c r="C1655" s="228" t="s">
        <v>3880</v>
      </c>
      <c r="D1655" s="228" t="s">
        <v>4913</v>
      </c>
      <c r="E1655" s="229"/>
      <c r="F1655" s="229" t="s">
        <v>139</v>
      </c>
      <c r="G1655" s="229" t="s">
        <v>82</v>
      </c>
      <c r="H1655" s="229"/>
      <c r="I1655" s="229" t="b">
        <v>0</v>
      </c>
      <c r="J1655" s="229" t="b">
        <v>0</v>
      </c>
      <c r="K1655" s="230" t="b">
        <v>1</v>
      </c>
      <c r="L1655" s="229" t="s">
        <v>1883</v>
      </c>
      <c r="M1655" s="229" t="s">
        <v>1883</v>
      </c>
      <c r="N1655" s="229" t="s">
        <v>424</v>
      </c>
      <c r="O1655" s="229" t="s">
        <v>501</v>
      </c>
      <c r="P1655" s="231"/>
    </row>
    <row r="1656" spans="1:16" ht="20.399999999999999" x14ac:dyDescent="0.25">
      <c r="A1656" s="227" t="s">
        <v>4386</v>
      </c>
      <c r="B1656" s="228"/>
      <c r="C1656" s="228" t="s">
        <v>3880</v>
      </c>
      <c r="D1656" s="228" t="s">
        <v>4913</v>
      </c>
      <c r="E1656" s="229"/>
      <c r="F1656" s="229" t="s">
        <v>139</v>
      </c>
      <c r="G1656" s="229" t="s">
        <v>82</v>
      </c>
      <c r="H1656" s="229"/>
      <c r="I1656" s="229" t="b">
        <v>0</v>
      </c>
      <c r="J1656" s="229" t="b">
        <v>0</v>
      </c>
      <c r="K1656" s="230" t="b">
        <v>1</v>
      </c>
      <c r="L1656" s="229" t="s">
        <v>1883</v>
      </c>
      <c r="M1656" s="229" t="s">
        <v>1883</v>
      </c>
      <c r="N1656" s="229" t="s">
        <v>424</v>
      </c>
      <c r="O1656" s="229" t="s">
        <v>501</v>
      </c>
      <c r="P1656" s="231"/>
    </row>
    <row r="1657" spans="1:16" x14ac:dyDescent="0.25">
      <c r="A1657" s="227" t="s">
        <v>4387</v>
      </c>
      <c r="B1657" s="228"/>
      <c r="C1657" s="228" t="s">
        <v>3880</v>
      </c>
      <c r="D1657" s="228" t="s">
        <v>4913</v>
      </c>
      <c r="E1657" s="229"/>
      <c r="F1657" s="229" t="s">
        <v>139</v>
      </c>
      <c r="G1657" s="229" t="s">
        <v>82</v>
      </c>
      <c r="H1657" s="229"/>
      <c r="I1657" s="229" t="b">
        <v>0</v>
      </c>
      <c r="J1657" s="229" t="b">
        <v>0</v>
      </c>
      <c r="K1657" s="230" t="b">
        <v>1</v>
      </c>
      <c r="L1657" s="229" t="s">
        <v>1883</v>
      </c>
      <c r="M1657" s="229" t="s">
        <v>1883</v>
      </c>
      <c r="N1657" s="229" t="s">
        <v>424</v>
      </c>
      <c r="O1657" s="229" t="s">
        <v>501</v>
      </c>
      <c r="P1657" s="231"/>
    </row>
    <row r="1658" spans="1:16" x14ac:dyDescent="0.25">
      <c r="A1658" s="227" t="s">
        <v>4388</v>
      </c>
      <c r="B1658" s="228"/>
      <c r="C1658" s="228" t="s">
        <v>3880</v>
      </c>
      <c r="D1658" s="228" t="s">
        <v>4913</v>
      </c>
      <c r="E1658" s="229"/>
      <c r="F1658" s="229" t="s">
        <v>139</v>
      </c>
      <c r="G1658" s="229" t="s">
        <v>82</v>
      </c>
      <c r="H1658" s="229"/>
      <c r="I1658" s="229" t="b">
        <v>0</v>
      </c>
      <c r="J1658" s="229" t="b">
        <v>0</v>
      </c>
      <c r="K1658" s="230" t="b">
        <v>1</v>
      </c>
      <c r="L1658" s="229" t="s">
        <v>1883</v>
      </c>
      <c r="M1658" s="229" t="s">
        <v>1883</v>
      </c>
      <c r="N1658" s="229" t="s">
        <v>424</v>
      </c>
      <c r="O1658" s="229" t="s">
        <v>501</v>
      </c>
      <c r="P1658" s="231"/>
    </row>
    <row r="1659" spans="1:16" x14ac:dyDescent="0.25">
      <c r="A1659" s="227" t="s">
        <v>4389</v>
      </c>
      <c r="B1659" s="228"/>
      <c r="C1659" s="228" t="s">
        <v>3880</v>
      </c>
      <c r="D1659" s="228" t="s">
        <v>4913</v>
      </c>
      <c r="E1659" s="229"/>
      <c r="F1659" s="229" t="s">
        <v>139</v>
      </c>
      <c r="G1659" s="229" t="s">
        <v>82</v>
      </c>
      <c r="H1659" s="229"/>
      <c r="I1659" s="229" t="b">
        <v>0</v>
      </c>
      <c r="J1659" s="229" t="b">
        <v>0</v>
      </c>
      <c r="K1659" s="230" t="b">
        <v>1</v>
      </c>
      <c r="L1659" s="229" t="s">
        <v>1883</v>
      </c>
      <c r="M1659" s="229" t="s">
        <v>1883</v>
      </c>
      <c r="N1659" s="229" t="s">
        <v>424</v>
      </c>
      <c r="O1659" s="229" t="s">
        <v>501</v>
      </c>
      <c r="P1659" s="231"/>
    </row>
    <row r="1660" spans="1:16" x14ac:dyDescent="0.25">
      <c r="A1660" s="227" t="s">
        <v>5047</v>
      </c>
      <c r="B1660" s="228"/>
      <c r="C1660" s="228" t="s">
        <v>3880</v>
      </c>
      <c r="D1660" s="228" t="s">
        <v>4913</v>
      </c>
      <c r="E1660" s="229"/>
      <c r="F1660" s="229" t="s">
        <v>139</v>
      </c>
      <c r="G1660" s="229" t="s">
        <v>82</v>
      </c>
      <c r="H1660" s="229"/>
      <c r="I1660" s="229">
        <v>0</v>
      </c>
      <c r="J1660" s="229">
        <v>-1600</v>
      </c>
      <c r="K1660" s="230">
        <v>1600</v>
      </c>
      <c r="L1660" s="229" t="s">
        <v>1883</v>
      </c>
      <c r="M1660" s="229" t="s">
        <v>1883</v>
      </c>
      <c r="N1660" s="229" t="s">
        <v>268</v>
      </c>
      <c r="O1660" s="229" t="s">
        <v>261</v>
      </c>
      <c r="P1660" s="231"/>
    </row>
    <row r="1661" spans="1:16" x14ac:dyDescent="0.25">
      <c r="A1661" s="227" t="s">
        <v>5048</v>
      </c>
      <c r="B1661" s="228"/>
      <c r="C1661" s="228" t="s">
        <v>3880</v>
      </c>
      <c r="D1661" s="228" t="s">
        <v>4913</v>
      </c>
      <c r="E1661" s="229"/>
      <c r="F1661" s="229" t="s">
        <v>139</v>
      </c>
      <c r="G1661" s="229" t="s">
        <v>82</v>
      </c>
      <c r="H1661" s="229"/>
      <c r="I1661" s="229">
        <v>0</v>
      </c>
      <c r="J1661" s="229">
        <v>0</v>
      </c>
      <c r="K1661" s="230">
        <v>1</v>
      </c>
      <c r="L1661" s="229" t="s">
        <v>1883</v>
      </c>
      <c r="M1661" s="229" t="s">
        <v>1883</v>
      </c>
      <c r="N1661" s="229" t="s">
        <v>300</v>
      </c>
      <c r="O1661" s="229" t="s">
        <v>261</v>
      </c>
      <c r="P1661" s="231"/>
    </row>
    <row r="1662" spans="1:16" x14ac:dyDescent="0.25">
      <c r="A1662" s="227" t="s">
        <v>5049</v>
      </c>
      <c r="B1662" s="228"/>
      <c r="C1662" s="228" t="s">
        <v>3880</v>
      </c>
      <c r="D1662" s="228" t="s">
        <v>4913</v>
      </c>
      <c r="E1662" s="229"/>
      <c r="F1662" s="229" t="s">
        <v>139</v>
      </c>
      <c r="G1662" s="229" t="s">
        <v>82</v>
      </c>
      <c r="H1662" s="229"/>
      <c r="I1662" s="229">
        <v>0</v>
      </c>
      <c r="J1662" s="229">
        <v>-1440.11</v>
      </c>
      <c r="K1662" s="230">
        <v>2840</v>
      </c>
      <c r="L1662" s="229" t="s">
        <v>1883</v>
      </c>
      <c r="M1662" s="229" t="s">
        <v>1883</v>
      </c>
      <c r="N1662" s="229" t="s">
        <v>268</v>
      </c>
      <c r="O1662" s="229" t="s">
        <v>261</v>
      </c>
      <c r="P1662" s="231"/>
    </row>
    <row r="1663" spans="1:16" x14ac:dyDescent="0.25">
      <c r="A1663" s="227" t="s">
        <v>5050</v>
      </c>
      <c r="B1663" s="228"/>
      <c r="C1663" s="228" t="s">
        <v>3880</v>
      </c>
      <c r="D1663" s="228" t="s">
        <v>4913</v>
      </c>
      <c r="E1663" s="229"/>
      <c r="F1663" s="229" t="s">
        <v>139</v>
      </c>
      <c r="G1663" s="229" t="s">
        <v>82</v>
      </c>
      <c r="H1663" s="229"/>
      <c r="I1663" s="229">
        <v>0</v>
      </c>
      <c r="J1663" s="229">
        <v>-1440.11</v>
      </c>
      <c r="K1663" s="230">
        <v>-360</v>
      </c>
      <c r="L1663" s="229" t="s">
        <v>1883</v>
      </c>
      <c r="M1663" s="229" t="s">
        <v>1883</v>
      </c>
      <c r="N1663" s="229" t="s">
        <v>268</v>
      </c>
      <c r="O1663" s="229" t="s">
        <v>261</v>
      </c>
      <c r="P1663" s="231"/>
    </row>
    <row r="1664" spans="1:16" x14ac:dyDescent="0.25">
      <c r="A1664" s="227" t="s">
        <v>5051</v>
      </c>
      <c r="B1664" s="228"/>
      <c r="C1664" s="228" t="s">
        <v>3880</v>
      </c>
      <c r="D1664" s="228" t="s">
        <v>4913</v>
      </c>
      <c r="E1664" s="229"/>
      <c r="F1664" s="229" t="s">
        <v>139</v>
      </c>
      <c r="G1664" s="229" t="s">
        <v>82</v>
      </c>
      <c r="H1664" s="229"/>
      <c r="I1664" s="229">
        <v>0</v>
      </c>
      <c r="J1664" s="229">
        <v>-2840</v>
      </c>
      <c r="K1664" s="230">
        <v>1440.11</v>
      </c>
      <c r="L1664" s="229" t="s">
        <v>1883</v>
      </c>
      <c r="M1664" s="229" t="s">
        <v>1883</v>
      </c>
      <c r="N1664" s="229" t="s">
        <v>5052</v>
      </c>
      <c r="O1664" s="229" t="s">
        <v>261</v>
      </c>
      <c r="P1664" s="231"/>
    </row>
    <row r="1665" spans="1:16" x14ac:dyDescent="0.25">
      <c r="A1665" s="227" t="s">
        <v>5053</v>
      </c>
      <c r="B1665" s="228"/>
      <c r="C1665" s="228" t="s">
        <v>3880</v>
      </c>
      <c r="D1665" s="228" t="s">
        <v>4913</v>
      </c>
      <c r="E1665" s="229"/>
      <c r="F1665" s="229" t="s">
        <v>139</v>
      </c>
      <c r="G1665" s="229" t="s">
        <v>82</v>
      </c>
      <c r="H1665" s="229"/>
      <c r="I1665" s="229">
        <v>0</v>
      </c>
      <c r="J1665" s="229">
        <v>360</v>
      </c>
      <c r="K1665" s="230">
        <v>1440.11</v>
      </c>
      <c r="L1665" s="229" t="s">
        <v>1883</v>
      </c>
      <c r="M1665" s="229" t="s">
        <v>1883</v>
      </c>
      <c r="N1665" s="229" t="s">
        <v>268</v>
      </c>
      <c r="O1665" s="229" t="s">
        <v>261</v>
      </c>
      <c r="P1665" s="231"/>
    </row>
    <row r="1666" spans="1:16" x14ac:dyDescent="0.25">
      <c r="A1666" s="227" t="s">
        <v>5054</v>
      </c>
      <c r="B1666" s="228"/>
      <c r="C1666" s="228" t="s">
        <v>3880</v>
      </c>
      <c r="D1666" s="228" t="s">
        <v>4913</v>
      </c>
      <c r="E1666" s="229"/>
      <c r="F1666" s="229" t="s">
        <v>139</v>
      </c>
      <c r="G1666" s="229" t="s">
        <v>82</v>
      </c>
      <c r="H1666" s="229"/>
      <c r="I1666" s="229" t="b">
        <v>0</v>
      </c>
      <c r="J1666" s="229" t="b">
        <v>0</v>
      </c>
      <c r="K1666" s="230" t="b">
        <v>1</v>
      </c>
      <c r="L1666" s="229" t="s">
        <v>1883</v>
      </c>
      <c r="M1666" s="229" t="s">
        <v>1883</v>
      </c>
      <c r="N1666" s="229" t="s">
        <v>424</v>
      </c>
      <c r="O1666" s="229" t="s">
        <v>501</v>
      </c>
      <c r="P1666" s="231"/>
    </row>
    <row r="1667" spans="1:16" x14ac:dyDescent="0.25">
      <c r="A1667" s="227" t="s">
        <v>5055</v>
      </c>
      <c r="B1667" s="228"/>
      <c r="C1667" s="228" t="s">
        <v>3880</v>
      </c>
      <c r="D1667" s="228" t="s">
        <v>4913</v>
      </c>
      <c r="E1667" s="229"/>
      <c r="F1667" s="229"/>
      <c r="G1667" s="229" t="s">
        <v>82</v>
      </c>
      <c r="H1667" s="229"/>
      <c r="I1667" s="229">
        <v>0</v>
      </c>
      <c r="J1667" s="229">
        <v>-1600</v>
      </c>
      <c r="K1667" s="230">
        <v>1600</v>
      </c>
      <c r="L1667" s="229" t="s">
        <v>1883</v>
      </c>
      <c r="M1667" s="229" t="s">
        <v>1883</v>
      </c>
      <c r="N1667" s="229" t="s">
        <v>268</v>
      </c>
      <c r="O1667" s="229" t="s">
        <v>261</v>
      </c>
      <c r="P1667" s="231"/>
    </row>
    <row r="1668" spans="1:16" x14ac:dyDescent="0.25">
      <c r="A1668" s="227" t="s">
        <v>5056</v>
      </c>
      <c r="B1668" s="228"/>
      <c r="C1668" s="228" t="s">
        <v>3880</v>
      </c>
      <c r="D1668" s="228" t="s">
        <v>4913</v>
      </c>
      <c r="E1668" s="229"/>
      <c r="F1668" s="229"/>
      <c r="G1668" s="229" t="s">
        <v>82</v>
      </c>
      <c r="H1668" s="229"/>
      <c r="I1668" s="229" t="b">
        <v>0</v>
      </c>
      <c r="J1668" s="229" t="b">
        <v>0</v>
      </c>
      <c r="K1668" s="230" t="b">
        <v>1</v>
      </c>
      <c r="L1668" s="229" t="s">
        <v>1883</v>
      </c>
      <c r="M1668" s="229" t="s">
        <v>1883</v>
      </c>
      <c r="N1668" s="229" t="s">
        <v>424</v>
      </c>
      <c r="O1668" s="229" t="s">
        <v>501</v>
      </c>
      <c r="P1668" s="231"/>
    </row>
    <row r="1669" spans="1:16" x14ac:dyDescent="0.25">
      <c r="A1669" s="227" t="s">
        <v>5057</v>
      </c>
      <c r="B1669" s="228"/>
      <c r="C1669" s="228" t="s">
        <v>3880</v>
      </c>
      <c r="D1669" s="228" t="s">
        <v>4913</v>
      </c>
      <c r="E1669" s="229"/>
      <c r="F1669" s="229" t="s">
        <v>141</v>
      </c>
      <c r="G1669" s="229" t="s">
        <v>82</v>
      </c>
      <c r="H1669" s="229"/>
      <c r="I1669" s="229">
        <v>0</v>
      </c>
      <c r="J1669" s="229">
        <v>-1600</v>
      </c>
      <c r="K1669" s="230">
        <v>3200</v>
      </c>
      <c r="L1669" s="229" t="s">
        <v>1883</v>
      </c>
      <c r="M1669" s="229" t="s">
        <v>1883</v>
      </c>
      <c r="N1669" s="229" t="s">
        <v>268</v>
      </c>
      <c r="O1669" s="229" t="s">
        <v>261</v>
      </c>
      <c r="P1669" s="231"/>
    </row>
    <row r="1670" spans="1:16" ht="26.4" x14ac:dyDescent="0.25">
      <c r="A1670" s="227" t="s">
        <v>1980</v>
      </c>
      <c r="B1670" s="228" t="s">
        <v>1876</v>
      </c>
      <c r="C1670" s="228" t="s">
        <v>1854</v>
      </c>
      <c r="D1670" s="228"/>
      <c r="E1670" s="229"/>
      <c r="F1670" s="229" t="s">
        <v>136</v>
      </c>
      <c r="G1670" s="229" t="s">
        <v>82</v>
      </c>
      <c r="H1670" s="229" t="s">
        <v>3400</v>
      </c>
      <c r="I1670" s="229">
        <v>0</v>
      </c>
      <c r="J1670" s="229">
        <v>0</v>
      </c>
      <c r="K1670" s="230">
        <v>512</v>
      </c>
      <c r="L1670" s="229" t="s">
        <v>1865</v>
      </c>
      <c r="M1670" s="229"/>
      <c r="N1670" s="229" t="s">
        <v>311</v>
      </c>
      <c r="O1670" s="229" t="s">
        <v>261</v>
      </c>
      <c r="P1670" s="231"/>
    </row>
    <row r="1671" spans="1:16" x14ac:dyDescent="0.25">
      <c r="A1671" s="227" t="s">
        <v>1879</v>
      </c>
      <c r="B1671" s="228" t="s">
        <v>1880</v>
      </c>
      <c r="C1671" s="228" t="s">
        <v>1854</v>
      </c>
      <c r="D1671" s="228"/>
      <c r="E1671" s="229"/>
      <c r="F1671" s="229" t="s">
        <v>136</v>
      </c>
      <c r="G1671" s="229" t="s">
        <v>82</v>
      </c>
      <c r="H1671" s="229"/>
      <c r="I1671" s="229">
        <v>0</v>
      </c>
      <c r="J1671" s="229">
        <v>-900</v>
      </c>
      <c r="K1671" s="230">
        <v>900</v>
      </c>
      <c r="L1671" s="229" t="s">
        <v>1865</v>
      </c>
      <c r="M1671" s="229"/>
      <c r="N1671" s="229" t="s">
        <v>268</v>
      </c>
      <c r="O1671" s="229" t="s">
        <v>261</v>
      </c>
      <c r="P1671" s="231"/>
    </row>
    <row r="1672" spans="1:16" x14ac:dyDescent="0.25">
      <c r="A1672" s="227" t="s">
        <v>3401</v>
      </c>
      <c r="B1672" s="228" t="s">
        <v>1878</v>
      </c>
      <c r="C1672" s="228" t="s">
        <v>1854</v>
      </c>
      <c r="D1672" s="228"/>
      <c r="E1672" s="229"/>
      <c r="F1672" s="229" t="s">
        <v>136</v>
      </c>
      <c r="G1672" s="229" t="s">
        <v>82</v>
      </c>
      <c r="H1672" s="229"/>
      <c r="I1672" s="229">
        <v>0</v>
      </c>
      <c r="J1672" s="229">
        <v>0</v>
      </c>
      <c r="K1672" s="230">
        <v>1</v>
      </c>
      <c r="L1672" s="229" t="s">
        <v>1865</v>
      </c>
      <c r="M1672" s="229"/>
      <c r="N1672" s="229" t="s">
        <v>300</v>
      </c>
      <c r="O1672" s="229" t="s">
        <v>261</v>
      </c>
      <c r="P1672" s="231"/>
    </row>
    <row r="1673" spans="1:16" x14ac:dyDescent="0.25">
      <c r="A1673" s="227" t="s">
        <v>2685</v>
      </c>
      <c r="B1673" s="228" t="s">
        <v>2453</v>
      </c>
      <c r="C1673" s="228" t="s">
        <v>1854</v>
      </c>
      <c r="D1673" s="228"/>
      <c r="E1673" s="229"/>
      <c r="F1673" s="229" t="s">
        <v>136</v>
      </c>
      <c r="G1673" s="229" t="s">
        <v>82</v>
      </c>
      <c r="H1673" s="229"/>
      <c r="I1673" s="229">
        <v>0</v>
      </c>
      <c r="J1673" s="229">
        <v>-900</v>
      </c>
      <c r="K1673" s="230">
        <v>900</v>
      </c>
      <c r="L1673" s="229" t="s">
        <v>1865</v>
      </c>
      <c r="M1673" s="229"/>
      <c r="N1673" s="229" t="s">
        <v>268</v>
      </c>
      <c r="O1673" s="229" t="s">
        <v>261</v>
      </c>
      <c r="P1673" s="231"/>
    </row>
    <row r="1674" spans="1:16" x14ac:dyDescent="0.25">
      <c r="A1674" s="227" t="s">
        <v>2687</v>
      </c>
      <c r="B1674" s="228" t="s">
        <v>2455</v>
      </c>
      <c r="C1674" s="228" t="s">
        <v>1854</v>
      </c>
      <c r="D1674" s="228"/>
      <c r="E1674" s="229"/>
      <c r="F1674" s="229" t="s">
        <v>136</v>
      </c>
      <c r="G1674" s="229" t="s">
        <v>82</v>
      </c>
      <c r="H1674" s="229"/>
      <c r="I1674" s="229">
        <v>0</v>
      </c>
      <c r="J1674" s="229">
        <v>-900</v>
      </c>
      <c r="K1674" s="230">
        <v>900</v>
      </c>
      <c r="L1674" s="229" t="s">
        <v>1865</v>
      </c>
      <c r="M1674" s="229"/>
      <c r="N1674" s="229" t="s">
        <v>268</v>
      </c>
      <c r="O1674" s="229" t="s">
        <v>261</v>
      </c>
      <c r="P1674" s="231"/>
    </row>
    <row r="1675" spans="1:16" x14ac:dyDescent="0.25">
      <c r="A1675" s="227" t="s">
        <v>3402</v>
      </c>
      <c r="B1675" s="228" t="s">
        <v>2088</v>
      </c>
      <c r="C1675" s="228" t="s">
        <v>1854</v>
      </c>
      <c r="D1675" s="228" t="s">
        <v>206</v>
      </c>
      <c r="E1675" s="229"/>
      <c r="F1675" s="229" t="s">
        <v>138</v>
      </c>
      <c r="G1675" s="229" t="s">
        <v>82</v>
      </c>
      <c r="H1675" s="229"/>
      <c r="I1675" s="229">
        <v>8.8000000000000007</v>
      </c>
      <c r="J1675" s="229">
        <v>0</v>
      </c>
      <c r="K1675" s="230">
        <v>8.8000000000000007</v>
      </c>
      <c r="L1675" s="229" t="s">
        <v>1865</v>
      </c>
      <c r="M1675" s="229">
        <v>4.8899999999999996E-4</v>
      </c>
      <c r="N1675" s="229" t="s">
        <v>256</v>
      </c>
      <c r="O1675" s="229" t="s">
        <v>261</v>
      </c>
      <c r="P1675" s="231"/>
    </row>
    <row r="1676" spans="1:16" x14ac:dyDescent="0.25">
      <c r="A1676" s="227" t="s">
        <v>3403</v>
      </c>
      <c r="B1676" s="228" t="s">
        <v>3404</v>
      </c>
      <c r="C1676" s="228" t="s">
        <v>1854</v>
      </c>
      <c r="D1676" s="228" t="s">
        <v>206</v>
      </c>
      <c r="E1676" s="229"/>
      <c r="F1676" s="229" t="s">
        <v>141</v>
      </c>
      <c r="G1676" s="229" t="s">
        <v>82</v>
      </c>
      <c r="H1676" s="229"/>
      <c r="I1676" s="229" t="s">
        <v>1871</v>
      </c>
      <c r="J1676" s="229">
        <v>0</v>
      </c>
      <c r="K1676" s="230">
        <v>8.8000000000000007</v>
      </c>
      <c r="L1676" s="229" t="s">
        <v>2330</v>
      </c>
      <c r="M1676" s="229">
        <v>0</v>
      </c>
      <c r="N1676" s="229" t="s">
        <v>256</v>
      </c>
      <c r="O1676" s="229" t="s">
        <v>414</v>
      </c>
      <c r="P1676" s="231"/>
    </row>
    <row r="1677" spans="1:16" x14ac:dyDescent="0.25">
      <c r="A1677" s="227" t="s">
        <v>3405</v>
      </c>
      <c r="B1677" s="228" t="s">
        <v>3406</v>
      </c>
      <c r="C1677" s="228" t="s">
        <v>1854</v>
      </c>
      <c r="D1677" s="228" t="s">
        <v>206</v>
      </c>
      <c r="E1677" s="229"/>
      <c r="F1677" s="229" t="s">
        <v>141</v>
      </c>
      <c r="G1677" s="229" t="s">
        <v>82</v>
      </c>
      <c r="H1677" s="229"/>
      <c r="I1677" s="229" t="s">
        <v>1871</v>
      </c>
      <c r="J1677" s="229">
        <v>0</v>
      </c>
      <c r="K1677" s="230">
        <v>8.8000000000000007</v>
      </c>
      <c r="L1677" s="229" t="s">
        <v>2330</v>
      </c>
      <c r="M1677" s="229">
        <v>0</v>
      </c>
      <c r="N1677" s="229" t="s">
        <v>256</v>
      </c>
      <c r="O1677" s="229" t="s">
        <v>414</v>
      </c>
      <c r="P1677" s="231"/>
    </row>
    <row r="1678" spans="1:16" x14ac:dyDescent="0.25">
      <c r="A1678" s="227" t="s">
        <v>3407</v>
      </c>
      <c r="B1678" s="228" t="s">
        <v>3408</v>
      </c>
      <c r="C1678" s="228" t="s">
        <v>1854</v>
      </c>
      <c r="D1678" s="228" t="s">
        <v>206</v>
      </c>
      <c r="E1678" s="229"/>
      <c r="F1678" s="229" t="s">
        <v>141</v>
      </c>
      <c r="G1678" s="229" t="s">
        <v>82</v>
      </c>
      <c r="H1678" s="229"/>
      <c r="I1678" s="229" t="s">
        <v>1871</v>
      </c>
      <c r="J1678" s="229">
        <v>0</v>
      </c>
      <c r="K1678" s="230">
        <v>900</v>
      </c>
      <c r="L1678" s="229" t="s">
        <v>2953</v>
      </c>
      <c r="M1678" s="229">
        <v>0</v>
      </c>
      <c r="N1678" s="229" t="s">
        <v>268</v>
      </c>
      <c r="O1678" s="229" t="s">
        <v>711</v>
      </c>
      <c r="P1678" s="231"/>
    </row>
    <row r="1679" spans="1:16" x14ac:dyDescent="0.25">
      <c r="A1679" s="222" t="s">
        <v>3409</v>
      </c>
      <c r="B1679" s="223" t="s">
        <v>3410</v>
      </c>
      <c r="C1679" s="223" t="s">
        <v>1854</v>
      </c>
      <c r="D1679" s="223" t="s">
        <v>206</v>
      </c>
      <c r="E1679" s="224"/>
      <c r="F1679" s="224" t="s">
        <v>141</v>
      </c>
      <c r="G1679" s="224" t="s">
        <v>82</v>
      </c>
      <c r="H1679" s="224"/>
      <c r="I1679" s="224" t="s">
        <v>1871</v>
      </c>
      <c r="J1679" s="224">
        <v>0</v>
      </c>
      <c r="K1679" s="225">
        <v>900</v>
      </c>
      <c r="L1679" s="224" t="s">
        <v>2953</v>
      </c>
      <c r="M1679" s="224">
        <v>0</v>
      </c>
      <c r="N1679" s="224" t="s">
        <v>268</v>
      </c>
      <c r="O1679" s="224" t="s">
        <v>711</v>
      </c>
      <c r="P1679" s="226"/>
    </row>
  </sheetData>
  <sheetProtection insertColumns="0" insertRows="0" insertHyperlinks="0" deleteColumns="0" deleteRows="0" sort="0" autoFilter="0" pivotTables="0"/>
  <mergeCells count="3">
    <mergeCell ref="J3:K3"/>
    <mergeCell ref="A1:P1"/>
    <mergeCell ref="A2:P2"/>
  </mergeCells>
  <conditionalFormatting sqref="G3:I15822">
    <cfRule type="cellIs" dxfId="3384" priority="102787" stopIfTrue="1" operator="equal">
      <formula>"y"</formula>
    </cfRule>
    <cfRule type="cellIs" dxfId="3383" priority="102788" stopIfTrue="1" operator="equal">
      <formula>"Y"</formula>
    </cfRule>
  </conditionalFormatting>
  <conditionalFormatting sqref="B6:D6 F6:G6 I6:P6">
    <cfRule type="expression" dxfId="3382" priority="3348" stopIfTrue="1">
      <formula>IF($A6&lt;&gt;"",IF(B6="",TRUE,FALSE),FALSE)</formula>
    </cfRule>
  </conditionalFormatting>
  <conditionalFormatting sqref="M6">
    <cfRule type="expression" dxfId="3381" priority="3347" stopIfTrue="1">
      <formula>IF($F6="I",TRUE,FALSE)</formula>
    </cfRule>
  </conditionalFormatting>
  <conditionalFormatting sqref="B7:D7 F7:G7 I7:P7">
    <cfRule type="expression" dxfId="3380" priority="3346" stopIfTrue="1">
      <formula>IF($A7&lt;&gt;"",IF(B7="",TRUE,FALSE),FALSE)</formula>
    </cfRule>
  </conditionalFormatting>
  <conditionalFormatting sqref="M7">
    <cfRule type="expression" dxfId="3379" priority="3345" stopIfTrue="1">
      <formula>IF($F7="I",TRUE,FALSE)</formula>
    </cfRule>
  </conditionalFormatting>
  <conditionalFormatting sqref="B8:D8 F8:G8 I8:P8">
    <cfRule type="expression" dxfId="3378" priority="3344" stopIfTrue="1">
      <formula>IF($A8&lt;&gt;"",IF(B8="",TRUE,FALSE),FALSE)</formula>
    </cfRule>
  </conditionalFormatting>
  <conditionalFormatting sqref="M8">
    <cfRule type="expression" dxfId="3377" priority="3343" stopIfTrue="1">
      <formula>IF($F8="I",TRUE,FALSE)</formula>
    </cfRule>
  </conditionalFormatting>
  <conditionalFormatting sqref="B9:D9 F9:G9 I9:P9">
    <cfRule type="expression" dxfId="3376" priority="3342" stopIfTrue="1">
      <formula>IF($A9&lt;&gt;"",IF(B9="",TRUE,FALSE),FALSE)</formula>
    </cfRule>
  </conditionalFormatting>
  <conditionalFormatting sqref="M9">
    <cfRule type="expression" dxfId="3375" priority="3341" stopIfTrue="1">
      <formula>IF($F9="I",TRUE,FALSE)</formula>
    </cfRule>
  </conditionalFormatting>
  <conditionalFormatting sqref="B10:D10 F10:G10 I10:P10">
    <cfRule type="expression" dxfId="3374" priority="3340" stopIfTrue="1">
      <formula>IF($A10&lt;&gt;"",IF(B10="",TRUE,FALSE),FALSE)</formula>
    </cfRule>
  </conditionalFormatting>
  <conditionalFormatting sqref="M10">
    <cfRule type="expression" dxfId="3373" priority="3339" stopIfTrue="1">
      <formula>IF($F10="I",TRUE,FALSE)</formula>
    </cfRule>
  </conditionalFormatting>
  <conditionalFormatting sqref="B11:D11 F11:G11 I11:P11">
    <cfRule type="expression" dxfId="3372" priority="3338" stopIfTrue="1">
      <formula>IF($A11&lt;&gt;"",IF(B11="",TRUE,FALSE),FALSE)</formula>
    </cfRule>
  </conditionalFormatting>
  <conditionalFormatting sqref="M11">
    <cfRule type="expression" dxfId="3371" priority="3337" stopIfTrue="1">
      <formula>IF($F11="I",TRUE,FALSE)</formula>
    </cfRule>
  </conditionalFormatting>
  <conditionalFormatting sqref="B12:D12 F12:G12 I12:P12">
    <cfRule type="expression" dxfId="3370" priority="3336" stopIfTrue="1">
      <formula>IF($A12&lt;&gt;"",IF(B12="",TRUE,FALSE),FALSE)</formula>
    </cfRule>
  </conditionalFormatting>
  <conditionalFormatting sqref="M12">
    <cfRule type="expression" dxfId="3369" priority="3335" stopIfTrue="1">
      <formula>IF($F12="I",TRUE,FALSE)</formula>
    </cfRule>
  </conditionalFormatting>
  <conditionalFormatting sqref="B13:D13 F13:G13 I13:P13">
    <cfRule type="expression" dxfId="3368" priority="3334" stopIfTrue="1">
      <formula>IF($A13&lt;&gt;"",IF(B13="",TRUE,FALSE),FALSE)</formula>
    </cfRule>
  </conditionalFormatting>
  <conditionalFormatting sqref="M13">
    <cfRule type="expression" dxfId="3367" priority="3333" stopIfTrue="1">
      <formula>IF($F13="I",TRUE,FALSE)</formula>
    </cfRule>
  </conditionalFormatting>
  <conditionalFormatting sqref="B14:D14 F14:G14 I14:P14">
    <cfRule type="expression" dxfId="3366" priority="3332" stopIfTrue="1">
      <formula>IF($A14&lt;&gt;"",IF(B14="",TRUE,FALSE),FALSE)</formula>
    </cfRule>
  </conditionalFormatting>
  <conditionalFormatting sqref="M14">
    <cfRule type="expression" dxfId="3365" priority="3331" stopIfTrue="1">
      <formula>IF($F14="I",TRUE,FALSE)</formula>
    </cfRule>
  </conditionalFormatting>
  <conditionalFormatting sqref="B15:D15 F15:G15 I15:P15">
    <cfRule type="expression" dxfId="3364" priority="3330" stopIfTrue="1">
      <formula>IF($A15&lt;&gt;"",IF(B15="",TRUE,FALSE),FALSE)</formula>
    </cfRule>
  </conditionalFormatting>
  <conditionalFormatting sqref="M15">
    <cfRule type="expression" dxfId="3363" priority="3329" stopIfTrue="1">
      <formula>IF($F15="I",TRUE,FALSE)</formula>
    </cfRule>
  </conditionalFormatting>
  <conditionalFormatting sqref="B16:D16 F16:G16 I16:P16">
    <cfRule type="expression" dxfId="3362" priority="3328" stopIfTrue="1">
      <formula>IF($A16&lt;&gt;"",IF(B16="",TRUE,FALSE),FALSE)</formula>
    </cfRule>
  </conditionalFormatting>
  <conditionalFormatting sqref="M16">
    <cfRule type="expression" dxfId="3361" priority="3327" stopIfTrue="1">
      <formula>IF($F16="I",TRUE,FALSE)</formula>
    </cfRule>
  </conditionalFormatting>
  <conditionalFormatting sqref="B17:D17 F17:G17 I17:P17">
    <cfRule type="expression" dxfId="3360" priority="3326" stopIfTrue="1">
      <formula>IF($A17&lt;&gt;"",IF(B17="",TRUE,FALSE),FALSE)</formula>
    </cfRule>
  </conditionalFormatting>
  <conditionalFormatting sqref="M17">
    <cfRule type="expression" dxfId="3359" priority="3325" stopIfTrue="1">
      <formula>IF($F17="I",TRUE,FALSE)</formula>
    </cfRule>
  </conditionalFormatting>
  <conditionalFormatting sqref="B18:D18 F18:G18 I18:P18">
    <cfRule type="expression" dxfId="3358" priority="3324" stopIfTrue="1">
      <formula>IF($A18&lt;&gt;"",IF(B18="",TRUE,FALSE),FALSE)</formula>
    </cfRule>
  </conditionalFormatting>
  <conditionalFormatting sqref="M18">
    <cfRule type="expression" dxfId="3357" priority="3323" stopIfTrue="1">
      <formula>IF($F18="I",TRUE,FALSE)</formula>
    </cfRule>
  </conditionalFormatting>
  <conditionalFormatting sqref="B19:D19 F19:G19 I19:P19">
    <cfRule type="expression" dxfId="3356" priority="3322" stopIfTrue="1">
      <formula>IF($A19&lt;&gt;"",IF(B19="",TRUE,FALSE),FALSE)</formula>
    </cfRule>
  </conditionalFormatting>
  <conditionalFormatting sqref="M19">
    <cfRule type="expression" dxfId="3355" priority="3321" stopIfTrue="1">
      <formula>IF($F19="I",TRUE,FALSE)</formula>
    </cfRule>
  </conditionalFormatting>
  <conditionalFormatting sqref="B20:D20 F20:G20 I20:P20">
    <cfRule type="expression" dxfId="3354" priority="3320" stopIfTrue="1">
      <formula>IF($A20&lt;&gt;"",IF(B20="",TRUE,FALSE),FALSE)</formula>
    </cfRule>
  </conditionalFormatting>
  <conditionalFormatting sqref="M20">
    <cfRule type="expression" dxfId="3353" priority="3319" stopIfTrue="1">
      <formula>IF($F20="I",TRUE,FALSE)</formula>
    </cfRule>
  </conditionalFormatting>
  <conditionalFormatting sqref="B21:D21 F21:G21 I21:P21">
    <cfRule type="expression" dxfId="3352" priority="3318" stopIfTrue="1">
      <formula>IF($A21&lt;&gt;"",IF(B21="",TRUE,FALSE),FALSE)</formula>
    </cfRule>
  </conditionalFormatting>
  <conditionalFormatting sqref="M21">
    <cfRule type="expression" dxfId="3351" priority="3317" stopIfTrue="1">
      <formula>IF($F21="I",TRUE,FALSE)</formula>
    </cfRule>
  </conditionalFormatting>
  <conditionalFormatting sqref="B22:D22 F22:G22 I22:P22">
    <cfRule type="expression" dxfId="3350" priority="3316" stopIfTrue="1">
      <formula>IF($A22&lt;&gt;"",IF(B22="",TRUE,FALSE),FALSE)</formula>
    </cfRule>
  </conditionalFormatting>
  <conditionalFormatting sqref="M22">
    <cfRule type="expression" dxfId="3349" priority="3315" stopIfTrue="1">
      <formula>IF($F22="I",TRUE,FALSE)</formula>
    </cfRule>
  </conditionalFormatting>
  <conditionalFormatting sqref="B23:D23 F23:G23 I23:P23">
    <cfRule type="expression" dxfId="3348" priority="3314" stopIfTrue="1">
      <formula>IF($A23&lt;&gt;"",IF(B23="",TRUE,FALSE),FALSE)</formula>
    </cfRule>
  </conditionalFormatting>
  <conditionalFormatting sqref="M23">
    <cfRule type="expression" dxfId="3347" priority="3313" stopIfTrue="1">
      <formula>IF($F23="I",TRUE,FALSE)</formula>
    </cfRule>
  </conditionalFormatting>
  <conditionalFormatting sqref="B24:D24 F24:G24 I24:P24">
    <cfRule type="expression" dxfId="3346" priority="3312" stopIfTrue="1">
      <formula>IF($A24&lt;&gt;"",IF(B24="",TRUE,FALSE),FALSE)</formula>
    </cfRule>
  </conditionalFormatting>
  <conditionalFormatting sqref="M24">
    <cfRule type="expression" dxfId="3345" priority="3311" stopIfTrue="1">
      <formula>IF($F24="I",TRUE,FALSE)</formula>
    </cfRule>
  </conditionalFormatting>
  <conditionalFormatting sqref="B25:D25 F25:G25 I25:P25">
    <cfRule type="expression" dxfId="3344" priority="3310" stopIfTrue="1">
      <formula>IF($A25&lt;&gt;"",IF(B25="",TRUE,FALSE),FALSE)</formula>
    </cfRule>
  </conditionalFormatting>
  <conditionalFormatting sqref="M25">
    <cfRule type="expression" dxfId="3343" priority="3309" stopIfTrue="1">
      <formula>IF($F25="I",TRUE,FALSE)</formula>
    </cfRule>
  </conditionalFormatting>
  <conditionalFormatting sqref="B26:D26 F26:G26 I26:P26">
    <cfRule type="expression" dxfId="3342" priority="3308" stopIfTrue="1">
      <formula>IF($A26&lt;&gt;"",IF(B26="",TRUE,FALSE),FALSE)</formula>
    </cfRule>
  </conditionalFormatting>
  <conditionalFormatting sqref="M26">
    <cfRule type="expression" dxfId="3341" priority="3307" stopIfTrue="1">
      <formula>IF($F26="I",TRUE,FALSE)</formula>
    </cfRule>
  </conditionalFormatting>
  <conditionalFormatting sqref="B27:D27 F27:G27 I27:P27">
    <cfRule type="expression" dxfId="3340" priority="3306" stopIfTrue="1">
      <formula>IF($A27&lt;&gt;"",IF(B27="",TRUE,FALSE),FALSE)</formula>
    </cfRule>
  </conditionalFormatting>
  <conditionalFormatting sqref="M27">
    <cfRule type="expression" dxfId="3339" priority="3305" stopIfTrue="1">
      <formula>IF($F27="I",TRUE,FALSE)</formula>
    </cfRule>
  </conditionalFormatting>
  <conditionalFormatting sqref="B28:D28 F28:G28 I28:P28">
    <cfRule type="expression" dxfId="3338" priority="3304" stopIfTrue="1">
      <formula>IF($A28&lt;&gt;"",IF(B28="",TRUE,FALSE),FALSE)</formula>
    </cfRule>
  </conditionalFormatting>
  <conditionalFormatting sqref="M28">
    <cfRule type="expression" dxfId="3337" priority="3303" stopIfTrue="1">
      <formula>IF($F28="I",TRUE,FALSE)</formula>
    </cfRule>
  </conditionalFormatting>
  <conditionalFormatting sqref="B29:D29 F29:G29 I29:P29">
    <cfRule type="expression" dxfId="3336" priority="3302" stopIfTrue="1">
      <formula>IF($A29&lt;&gt;"",IF(B29="",TRUE,FALSE),FALSE)</formula>
    </cfRule>
  </conditionalFormatting>
  <conditionalFormatting sqref="M29">
    <cfRule type="expression" dxfId="3335" priority="3301" stopIfTrue="1">
      <formula>IF($F29="I",TRUE,FALSE)</formula>
    </cfRule>
  </conditionalFormatting>
  <conditionalFormatting sqref="B30:D30 F30:G30 I30:P30">
    <cfRule type="expression" dxfId="3334" priority="3300" stopIfTrue="1">
      <formula>IF($A30&lt;&gt;"",IF(B30="",TRUE,FALSE),FALSE)</formula>
    </cfRule>
  </conditionalFormatting>
  <conditionalFormatting sqref="M30">
    <cfRule type="expression" dxfId="3333" priority="3299" stopIfTrue="1">
      <formula>IF($F30="I",TRUE,FALSE)</formula>
    </cfRule>
  </conditionalFormatting>
  <conditionalFormatting sqref="B31:D31 F31:G31 I31:P31">
    <cfRule type="expression" dxfId="3332" priority="3298" stopIfTrue="1">
      <formula>IF($A31&lt;&gt;"",IF(B31="",TRUE,FALSE),FALSE)</formula>
    </cfRule>
  </conditionalFormatting>
  <conditionalFormatting sqref="M31">
    <cfRule type="expression" dxfId="3331" priority="3297" stopIfTrue="1">
      <formula>IF($F31="I",TRUE,FALSE)</formula>
    </cfRule>
  </conditionalFormatting>
  <conditionalFormatting sqref="B32:D32 F32:G32 I32:P32">
    <cfRule type="expression" dxfId="3330" priority="3296" stopIfTrue="1">
      <formula>IF($A32&lt;&gt;"",IF(B32="",TRUE,FALSE),FALSE)</formula>
    </cfRule>
  </conditionalFormatting>
  <conditionalFormatting sqref="M32">
    <cfRule type="expression" dxfId="3329" priority="3295" stopIfTrue="1">
      <formula>IF($F32="I",TRUE,FALSE)</formula>
    </cfRule>
  </conditionalFormatting>
  <conditionalFormatting sqref="B33:D33 F33:G33 I33:P33">
    <cfRule type="expression" dxfId="3328" priority="3294" stopIfTrue="1">
      <formula>IF($A33&lt;&gt;"",IF(B33="",TRUE,FALSE),FALSE)</formula>
    </cfRule>
  </conditionalFormatting>
  <conditionalFormatting sqref="M33">
    <cfRule type="expression" dxfId="3327" priority="3293" stopIfTrue="1">
      <formula>IF($F33="I",TRUE,FALSE)</formula>
    </cfRule>
  </conditionalFormatting>
  <conditionalFormatting sqref="B34:D34 F34:G34 I34:P34">
    <cfRule type="expression" dxfId="3326" priority="3292" stopIfTrue="1">
      <formula>IF($A34&lt;&gt;"",IF(B34="",TRUE,FALSE),FALSE)</formula>
    </cfRule>
  </conditionalFormatting>
  <conditionalFormatting sqref="M34">
    <cfRule type="expression" dxfId="3325" priority="3291" stopIfTrue="1">
      <formula>IF($F34="I",TRUE,FALSE)</formula>
    </cfRule>
  </conditionalFormatting>
  <conditionalFormatting sqref="B35:D35 F35:G35 I35:P35">
    <cfRule type="expression" dxfId="3324" priority="3290" stopIfTrue="1">
      <formula>IF($A35&lt;&gt;"",IF(B35="",TRUE,FALSE),FALSE)</formula>
    </cfRule>
  </conditionalFormatting>
  <conditionalFormatting sqref="M35">
    <cfRule type="expression" dxfId="3323" priority="3289" stopIfTrue="1">
      <formula>IF($F35="I",TRUE,FALSE)</formula>
    </cfRule>
  </conditionalFormatting>
  <conditionalFormatting sqref="B36:D36 F36:G36 I36:P36">
    <cfRule type="expression" dxfId="3322" priority="3288" stopIfTrue="1">
      <formula>IF($A36&lt;&gt;"",IF(B36="",TRUE,FALSE),FALSE)</formula>
    </cfRule>
  </conditionalFormatting>
  <conditionalFormatting sqref="M36">
    <cfRule type="expression" dxfId="3321" priority="3287" stopIfTrue="1">
      <formula>IF($F36="I",TRUE,FALSE)</formula>
    </cfRule>
  </conditionalFormatting>
  <conditionalFormatting sqref="B37:D37 F37:G37 I37:P37">
    <cfRule type="expression" dxfId="3320" priority="3286" stopIfTrue="1">
      <formula>IF($A37&lt;&gt;"",IF(B37="",TRUE,FALSE),FALSE)</formula>
    </cfRule>
  </conditionalFormatting>
  <conditionalFormatting sqref="M37">
    <cfRule type="expression" dxfId="3319" priority="3285" stopIfTrue="1">
      <formula>IF($F37="I",TRUE,FALSE)</formula>
    </cfRule>
  </conditionalFormatting>
  <conditionalFormatting sqref="B38:D38 F38:G38 I38:P38">
    <cfRule type="expression" dxfId="3318" priority="3284" stopIfTrue="1">
      <formula>IF($A38&lt;&gt;"",IF(B38="",TRUE,FALSE),FALSE)</formula>
    </cfRule>
  </conditionalFormatting>
  <conditionalFormatting sqref="M38">
    <cfRule type="expression" dxfId="3317" priority="3283" stopIfTrue="1">
      <formula>IF($F38="I",TRUE,FALSE)</formula>
    </cfRule>
  </conditionalFormatting>
  <conditionalFormatting sqref="B39:D39 F39:G39 I39:P39">
    <cfRule type="expression" dxfId="3316" priority="3282" stopIfTrue="1">
      <formula>IF($A39&lt;&gt;"",IF(B39="",TRUE,FALSE),FALSE)</formula>
    </cfRule>
  </conditionalFormatting>
  <conditionalFormatting sqref="M39">
    <cfRule type="expression" dxfId="3315" priority="3281" stopIfTrue="1">
      <formula>IF($F39="I",TRUE,FALSE)</formula>
    </cfRule>
  </conditionalFormatting>
  <conditionalFormatting sqref="B40:D40 F40:G40 I40:P40">
    <cfRule type="expression" dxfId="3314" priority="3280" stopIfTrue="1">
      <formula>IF($A40&lt;&gt;"",IF(B40="",TRUE,FALSE),FALSE)</formula>
    </cfRule>
  </conditionalFormatting>
  <conditionalFormatting sqref="M40">
    <cfRule type="expression" dxfId="3313" priority="3279" stopIfTrue="1">
      <formula>IF($F40="I",TRUE,FALSE)</formula>
    </cfRule>
  </conditionalFormatting>
  <conditionalFormatting sqref="B41:D41 F41:G41 I41:P41">
    <cfRule type="expression" dxfId="3312" priority="3278" stopIfTrue="1">
      <formula>IF($A41&lt;&gt;"",IF(B41="",TRUE,FALSE),FALSE)</formula>
    </cfRule>
  </conditionalFormatting>
  <conditionalFormatting sqref="M41">
    <cfRule type="expression" dxfId="3311" priority="3277" stopIfTrue="1">
      <formula>IF($F41="I",TRUE,FALSE)</formula>
    </cfRule>
  </conditionalFormatting>
  <conditionalFormatting sqref="B42:D42 F42:G42 I42:P42">
    <cfRule type="expression" dxfId="3310" priority="3276" stopIfTrue="1">
      <formula>IF($A42&lt;&gt;"",IF(B42="",TRUE,FALSE),FALSE)</formula>
    </cfRule>
  </conditionalFormatting>
  <conditionalFormatting sqref="M42">
    <cfRule type="expression" dxfId="3309" priority="3275" stopIfTrue="1">
      <formula>IF($F42="I",TRUE,FALSE)</formula>
    </cfRule>
  </conditionalFormatting>
  <conditionalFormatting sqref="B43:D43 F43:G43 I43:P43">
    <cfRule type="expression" dxfId="3308" priority="3274" stopIfTrue="1">
      <formula>IF($A43&lt;&gt;"",IF(B43="",TRUE,FALSE),FALSE)</formula>
    </cfRule>
  </conditionalFormatting>
  <conditionalFormatting sqref="M43">
    <cfRule type="expression" dxfId="3307" priority="3273" stopIfTrue="1">
      <formula>IF($F43="I",TRUE,FALSE)</formula>
    </cfRule>
  </conditionalFormatting>
  <conditionalFormatting sqref="B44:D44 F44:G44 I44:P44">
    <cfRule type="expression" dxfId="3306" priority="3272" stopIfTrue="1">
      <formula>IF($A44&lt;&gt;"",IF(B44="",TRUE,FALSE),FALSE)</formula>
    </cfRule>
  </conditionalFormatting>
  <conditionalFormatting sqref="M44">
    <cfRule type="expression" dxfId="3305" priority="3271" stopIfTrue="1">
      <formula>IF($F44="I",TRUE,FALSE)</formula>
    </cfRule>
  </conditionalFormatting>
  <conditionalFormatting sqref="B45:D45 F45:G45 I45:P45">
    <cfRule type="expression" dxfId="3304" priority="3270" stopIfTrue="1">
      <formula>IF($A45&lt;&gt;"",IF(B45="",TRUE,FALSE),FALSE)</formula>
    </cfRule>
  </conditionalFormatting>
  <conditionalFormatting sqref="M45">
    <cfRule type="expression" dxfId="3303" priority="3269" stopIfTrue="1">
      <formula>IF($F45="I",TRUE,FALSE)</formula>
    </cfRule>
  </conditionalFormatting>
  <conditionalFormatting sqref="B46:D46 F46:G46 I46:P46">
    <cfRule type="expression" dxfId="3302" priority="3268" stopIfTrue="1">
      <formula>IF($A46&lt;&gt;"",IF(B46="",TRUE,FALSE),FALSE)</formula>
    </cfRule>
  </conditionalFormatting>
  <conditionalFormatting sqref="M46">
    <cfRule type="expression" dxfId="3301" priority="3267" stopIfTrue="1">
      <formula>IF($F46="I",TRUE,FALSE)</formula>
    </cfRule>
  </conditionalFormatting>
  <conditionalFormatting sqref="B47:D47 F47:G47 I47:P47">
    <cfRule type="expression" dxfId="3300" priority="3266" stopIfTrue="1">
      <formula>IF($A47&lt;&gt;"",IF(B47="",TRUE,FALSE),FALSE)</formula>
    </cfRule>
  </conditionalFormatting>
  <conditionalFormatting sqref="M47">
    <cfRule type="expression" dxfId="3299" priority="3265" stopIfTrue="1">
      <formula>IF($F47="I",TRUE,FALSE)</formula>
    </cfRule>
  </conditionalFormatting>
  <conditionalFormatting sqref="B48:D48 F48:G48 I48:P48">
    <cfRule type="expression" dxfId="3298" priority="3264" stopIfTrue="1">
      <formula>IF($A48&lt;&gt;"",IF(B48="",TRUE,FALSE),FALSE)</formula>
    </cfRule>
  </conditionalFormatting>
  <conditionalFormatting sqref="M48">
    <cfRule type="expression" dxfId="3297" priority="3263" stopIfTrue="1">
      <formula>IF($F48="I",TRUE,FALSE)</formula>
    </cfRule>
  </conditionalFormatting>
  <conditionalFormatting sqref="B49:D49 F49:G49 I49:P49">
    <cfRule type="expression" dxfId="3296" priority="3262" stopIfTrue="1">
      <formula>IF($A49&lt;&gt;"",IF(B49="",TRUE,FALSE),FALSE)</formula>
    </cfRule>
  </conditionalFormatting>
  <conditionalFormatting sqref="M49">
    <cfRule type="expression" dxfId="3295" priority="3261" stopIfTrue="1">
      <formula>IF($F49="I",TRUE,FALSE)</formula>
    </cfRule>
  </conditionalFormatting>
  <conditionalFormatting sqref="B50:D50 F50:G50 I50:P50">
    <cfRule type="expression" dxfId="3294" priority="3260" stopIfTrue="1">
      <formula>IF($A50&lt;&gt;"",IF(B50="",TRUE,FALSE),FALSE)</formula>
    </cfRule>
  </conditionalFormatting>
  <conditionalFormatting sqref="M50">
    <cfRule type="expression" dxfId="3293" priority="3259" stopIfTrue="1">
      <formula>IF($F50="I",TRUE,FALSE)</formula>
    </cfRule>
  </conditionalFormatting>
  <conditionalFormatting sqref="B51:D51 F51:G51 I51:P51">
    <cfRule type="expression" dxfId="3292" priority="3258" stopIfTrue="1">
      <formula>IF($A51&lt;&gt;"",IF(B51="",TRUE,FALSE),FALSE)</formula>
    </cfRule>
  </conditionalFormatting>
  <conditionalFormatting sqref="M51">
    <cfRule type="expression" dxfId="3291" priority="3257" stopIfTrue="1">
      <formula>IF($F51="I",TRUE,FALSE)</formula>
    </cfRule>
  </conditionalFormatting>
  <conditionalFormatting sqref="B52:D52 F52:G52 I52:P52">
    <cfRule type="expression" dxfId="3290" priority="3256" stopIfTrue="1">
      <formula>IF($A52&lt;&gt;"",IF(B52="",TRUE,FALSE),FALSE)</formula>
    </cfRule>
  </conditionalFormatting>
  <conditionalFormatting sqref="M52">
    <cfRule type="expression" dxfId="3289" priority="3255" stopIfTrue="1">
      <formula>IF($F52="I",TRUE,FALSE)</formula>
    </cfRule>
  </conditionalFormatting>
  <conditionalFormatting sqref="B53:D53 F53:G53 I53:P53">
    <cfRule type="expression" dxfId="3288" priority="3254" stopIfTrue="1">
      <formula>IF($A53&lt;&gt;"",IF(B53="",TRUE,FALSE),FALSE)</formula>
    </cfRule>
  </conditionalFormatting>
  <conditionalFormatting sqref="M53">
    <cfRule type="expression" dxfId="3287" priority="3253" stopIfTrue="1">
      <formula>IF($F53="I",TRUE,FALSE)</formula>
    </cfRule>
  </conditionalFormatting>
  <conditionalFormatting sqref="B54:D54 F54:G54 I54:P54">
    <cfRule type="expression" dxfId="3286" priority="3252" stopIfTrue="1">
      <formula>IF($A54&lt;&gt;"",IF(B54="",TRUE,FALSE),FALSE)</formula>
    </cfRule>
  </conditionalFormatting>
  <conditionalFormatting sqref="M54">
    <cfRule type="expression" dxfId="3285" priority="3251" stopIfTrue="1">
      <formula>IF($F54="I",TRUE,FALSE)</formula>
    </cfRule>
  </conditionalFormatting>
  <conditionalFormatting sqref="B55:D55 F55:G55 I55:P55">
    <cfRule type="expression" dxfId="3284" priority="3250" stopIfTrue="1">
      <formula>IF($A55&lt;&gt;"",IF(B55="",TRUE,FALSE),FALSE)</formula>
    </cfRule>
  </conditionalFormatting>
  <conditionalFormatting sqref="M55">
    <cfRule type="expression" dxfId="3283" priority="3249" stopIfTrue="1">
      <formula>IF($F55="I",TRUE,FALSE)</formula>
    </cfRule>
  </conditionalFormatting>
  <conditionalFormatting sqref="B56:D56 F56:G56 I56:P56">
    <cfRule type="expression" dxfId="3282" priority="3248" stopIfTrue="1">
      <formula>IF($A56&lt;&gt;"",IF(B56="",TRUE,FALSE),FALSE)</formula>
    </cfRule>
  </conditionalFormatting>
  <conditionalFormatting sqref="M56">
    <cfRule type="expression" dxfId="3281" priority="3247" stopIfTrue="1">
      <formula>IF($F56="I",TRUE,FALSE)</formula>
    </cfRule>
  </conditionalFormatting>
  <conditionalFormatting sqref="B57:D57 F57:G57 I57:P57">
    <cfRule type="expression" dxfId="3280" priority="3246" stopIfTrue="1">
      <formula>IF($A57&lt;&gt;"",IF(B57="",TRUE,FALSE),FALSE)</formula>
    </cfRule>
  </conditionalFormatting>
  <conditionalFormatting sqref="M57">
    <cfRule type="expression" dxfId="3279" priority="3245" stopIfTrue="1">
      <formula>IF($F57="I",TRUE,FALSE)</formula>
    </cfRule>
  </conditionalFormatting>
  <conditionalFormatting sqref="B58:D58 F58:G58 I58:P58">
    <cfRule type="expression" dxfId="3278" priority="3244" stopIfTrue="1">
      <formula>IF($A58&lt;&gt;"",IF(B58="",TRUE,FALSE),FALSE)</formula>
    </cfRule>
  </conditionalFormatting>
  <conditionalFormatting sqref="M58">
    <cfRule type="expression" dxfId="3277" priority="3243" stopIfTrue="1">
      <formula>IF($F58="I",TRUE,FALSE)</formula>
    </cfRule>
  </conditionalFormatting>
  <conditionalFormatting sqref="B59:D59 F59:G59 I59:P59">
    <cfRule type="expression" dxfId="3276" priority="3242" stopIfTrue="1">
      <formula>IF($A59&lt;&gt;"",IF(B59="",TRUE,FALSE),FALSE)</formula>
    </cfRule>
  </conditionalFormatting>
  <conditionalFormatting sqref="M59">
    <cfRule type="expression" dxfId="3275" priority="3241" stopIfTrue="1">
      <formula>IF($F59="I",TRUE,FALSE)</formula>
    </cfRule>
  </conditionalFormatting>
  <conditionalFormatting sqref="B60:D60 F60:G60 I60:P60">
    <cfRule type="expression" dxfId="3274" priority="3240" stopIfTrue="1">
      <formula>IF($A60&lt;&gt;"",IF(B60="",TRUE,FALSE),FALSE)</formula>
    </cfRule>
  </conditionalFormatting>
  <conditionalFormatting sqref="M60">
    <cfRule type="expression" dxfId="3273" priority="3239" stopIfTrue="1">
      <formula>IF($F60="I",TRUE,FALSE)</formula>
    </cfRule>
  </conditionalFormatting>
  <conditionalFormatting sqref="B61:D61 F61:G61 I61:P61">
    <cfRule type="expression" dxfId="3272" priority="3238" stopIfTrue="1">
      <formula>IF($A61&lt;&gt;"",IF(B61="",TRUE,FALSE),FALSE)</formula>
    </cfRule>
  </conditionalFormatting>
  <conditionalFormatting sqref="M61">
    <cfRule type="expression" dxfId="3271" priority="3237" stopIfTrue="1">
      <formula>IF($F61="I",TRUE,FALSE)</formula>
    </cfRule>
  </conditionalFormatting>
  <conditionalFormatting sqref="B62:D62 F62:G62 I62:P62">
    <cfRule type="expression" dxfId="3270" priority="3236" stopIfTrue="1">
      <formula>IF($A62&lt;&gt;"",IF(B62="",TRUE,FALSE),FALSE)</formula>
    </cfRule>
  </conditionalFormatting>
  <conditionalFormatting sqref="M62">
    <cfRule type="expression" dxfId="3269" priority="3235" stopIfTrue="1">
      <formula>IF($F62="I",TRUE,FALSE)</formula>
    </cfRule>
  </conditionalFormatting>
  <conditionalFormatting sqref="B63:D63 F63:G63 I63:P63">
    <cfRule type="expression" dxfId="3268" priority="3234" stopIfTrue="1">
      <formula>IF($A63&lt;&gt;"",IF(B63="",TRUE,FALSE),FALSE)</formula>
    </cfRule>
  </conditionalFormatting>
  <conditionalFormatting sqref="M63">
    <cfRule type="expression" dxfId="3267" priority="3233" stopIfTrue="1">
      <formula>IF($F63="I",TRUE,FALSE)</formula>
    </cfRule>
  </conditionalFormatting>
  <conditionalFormatting sqref="B64:D64 F64:G64 I64:P64">
    <cfRule type="expression" dxfId="3266" priority="3232" stopIfTrue="1">
      <formula>IF($A64&lt;&gt;"",IF(B64="",TRUE,FALSE),FALSE)</formula>
    </cfRule>
  </conditionalFormatting>
  <conditionalFormatting sqref="M64">
    <cfRule type="expression" dxfId="3265" priority="3231" stopIfTrue="1">
      <formula>IF($F64="I",TRUE,FALSE)</formula>
    </cfRule>
  </conditionalFormatting>
  <conditionalFormatting sqref="B65:D65 F65:G65 I65:P65">
    <cfRule type="expression" dxfId="3264" priority="3230" stopIfTrue="1">
      <formula>IF($A65&lt;&gt;"",IF(B65="",TRUE,FALSE),FALSE)</formula>
    </cfRule>
  </conditionalFormatting>
  <conditionalFormatting sqref="M65">
    <cfRule type="expression" dxfId="3263" priority="3229" stopIfTrue="1">
      <formula>IF($F65="I",TRUE,FALSE)</formula>
    </cfRule>
  </conditionalFormatting>
  <conditionalFormatting sqref="B66:D66 F66:G66 I66:P66">
    <cfRule type="expression" dxfId="3262" priority="3228" stopIfTrue="1">
      <formula>IF($A66&lt;&gt;"",IF(B66="",TRUE,FALSE),FALSE)</formula>
    </cfRule>
  </conditionalFormatting>
  <conditionalFormatting sqref="M66">
    <cfRule type="expression" dxfId="3261" priority="3227" stopIfTrue="1">
      <formula>IF($F66="I",TRUE,FALSE)</formula>
    </cfRule>
  </conditionalFormatting>
  <conditionalFormatting sqref="B67:D67 F67:G67 I67:P67">
    <cfRule type="expression" dxfId="3260" priority="3226" stopIfTrue="1">
      <formula>IF($A67&lt;&gt;"",IF(B67="",TRUE,FALSE),FALSE)</formula>
    </cfRule>
  </conditionalFormatting>
  <conditionalFormatting sqref="M67">
    <cfRule type="expression" dxfId="3259" priority="3225" stopIfTrue="1">
      <formula>IF($F67="I",TRUE,FALSE)</formula>
    </cfRule>
  </conditionalFormatting>
  <conditionalFormatting sqref="B68:D68 F68:G68 I68:P68">
    <cfRule type="expression" dxfId="3258" priority="3224" stopIfTrue="1">
      <formula>IF($A68&lt;&gt;"",IF(B68="",TRUE,FALSE),FALSE)</formula>
    </cfRule>
  </conditionalFormatting>
  <conditionalFormatting sqref="M68">
    <cfRule type="expression" dxfId="3257" priority="3223" stopIfTrue="1">
      <formula>IF($F68="I",TRUE,FALSE)</formula>
    </cfRule>
  </conditionalFormatting>
  <conditionalFormatting sqref="B69:D69 F69:G69 I69:P69">
    <cfRule type="expression" dxfId="3256" priority="3222" stopIfTrue="1">
      <formula>IF($A69&lt;&gt;"",IF(B69="",TRUE,FALSE),FALSE)</formula>
    </cfRule>
  </conditionalFormatting>
  <conditionalFormatting sqref="M69">
    <cfRule type="expression" dxfId="3255" priority="3221" stopIfTrue="1">
      <formula>IF($F69="I",TRUE,FALSE)</formula>
    </cfRule>
  </conditionalFormatting>
  <conditionalFormatting sqref="B70:D70 F70:G70 I70:P70">
    <cfRule type="expression" dxfId="3254" priority="3220" stopIfTrue="1">
      <formula>IF($A70&lt;&gt;"",IF(B70="",TRUE,FALSE),FALSE)</formula>
    </cfRule>
  </conditionalFormatting>
  <conditionalFormatting sqref="M70">
    <cfRule type="expression" dxfId="3253" priority="3219" stopIfTrue="1">
      <formula>IF($F70="I",TRUE,FALSE)</formula>
    </cfRule>
  </conditionalFormatting>
  <conditionalFormatting sqref="B71:D71 F71:G71 I71:P71">
    <cfRule type="expression" dxfId="3252" priority="3218" stopIfTrue="1">
      <formula>IF($A71&lt;&gt;"",IF(B71="",TRUE,FALSE),FALSE)</formula>
    </cfRule>
  </conditionalFormatting>
  <conditionalFormatting sqref="M71">
    <cfRule type="expression" dxfId="3251" priority="3217" stopIfTrue="1">
      <formula>IF($F71="I",TRUE,FALSE)</formula>
    </cfRule>
  </conditionalFormatting>
  <conditionalFormatting sqref="B72:D72 F72:G72 I72:P72">
    <cfRule type="expression" dxfId="3250" priority="3216" stopIfTrue="1">
      <formula>IF($A72&lt;&gt;"",IF(B72="",TRUE,FALSE),FALSE)</formula>
    </cfRule>
  </conditionalFormatting>
  <conditionalFormatting sqref="M72">
    <cfRule type="expression" dxfId="3249" priority="3215" stopIfTrue="1">
      <formula>IF($F72="I",TRUE,FALSE)</formula>
    </cfRule>
  </conditionalFormatting>
  <conditionalFormatting sqref="B73:D73 F73:G73 I73:P73">
    <cfRule type="expression" dxfId="3248" priority="3214" stopIfTrue="1">
      <formula>IF($A73&lt;&gt;"",IF(B73="",TRUE,FALSE),FALSE)</formula>
    </cfRule>
  </conditionalFormatting>
  <conditionalFormatting sqref="M73">
    <cfRule type="expression" dxfId="3247" priority="3213" stopIfTrue="1">
      <formula>IF($F73="I",TRUE,FALSE)</formula>
    </cfRule>
  </conditionalFormatting>
  <conditionalFormatting sqref="B74:D74 F74:G74 I74:P74">
    <cfRule type="expression" dxfId="3246" priority="3212" stopIfTrue="1">
      <formula>IF($A74&lt;&gt;"",IF(B74="",TRUE,FALSE),FALSE)</formula>
    </cfRule>
  </conditionalFormatting>
  <conditionalFormatting sqref="M74">
    <cfRule type="expression" dxfId="3245" priority="3211" stopIfTrue="1">
      <formula>IF($F74="I",TRUE,FALSE)</formula>
    </cfRule>
  </conditionalFormatting>
  <conditionalFormatting sqref="B75:D75 F75:G75 I75:P75">
    <cfRule type="expression" dxfId="3244" priority="3210" stopIfTrue="1">
      <formula>IF($A75&lt;&gt;"",IF(B75="",TRUE,FALSE),FALSE)</formula>
    </cfRule>
  </conditionalFormatting>
  <conditionalFormatting sqref="M75">
    <cfRule type="expression" dxfId="3243" priority="3209" stopIfTrue="1">
      <formula>IF($F75="I",TRUE,FALSE)</formula>
    </cfRule>
  </conditionalFormatting>
  <conditionalFormatting sqref="B76:D76 F76:G76 I76:P76">
    <cfRule type="expression" dxfId="3242" priority="3208" stopIfTrue="1">
      <formula>IF($A76&lt;&gt;"",IF(B76="",TRUE,FALSE),FALSE)</formula>
    </cfRule>
  </conditionalFormatting>
  <conditionalFormatting sqref="M76">
    <cfRule type="expression" dxfId="3241" priority="3207" stopIfTrue="1">
      <formula>IF($F76="I",TRUE,FALSE)</formula>
    </cfRule>
  </conditionalFormatting>
  <conditionalFormatting sqref="B77:D77 F77:G77 I77:P77">
    <cfRule type="expression" dxfId="3240" priority="3206" stopIfTrue="1">
      <formula>IF($A77&lt;&gt;"",IF(B77="",TRUE,FALSE),FALSE)</formula>
    </cfRule>
  </conditionalFormatting>
  <conditionalFormatting sqref="M77">
    <cfRule type="expression" dxfId="3239" priority="3205" stopIfTrue="1">
      <formula>IF($F77="I",TRUE,FALSE)</formula>
    </cfRule>
  </conditionalFormatting>
  <conditionalFormatting sqref="B78:D78 F78:G78 I78:P78">
    <cfRule type="expression" dxfId="3238" priority="3204" stopIfTrue="1">
      <formula>IF($A78&lt;&gt;"",IF(B78="",TRUE,FALSE),FALSE)</formula>
    </cfRule>
  </conditionalFormatting>
  <conditionalFormatting sqref="M78">
    <cfRule type="expression" dxfId="3237" priority="3203" stopIfTrue="1">
      <formula>IF($F78="I",TRUE,FALSE)</formula>
    </cfRule>
  </conditionalFormatting>
  <conditionalFormatting sqref="B79:D79 F79:G79 I79:P79">
    <cfRule type="expression" dxfId="3236" priority="3202" stopIfTrue="1">
      <formula>IF($A79&lt;&gt;"",IF(B79="",TRUE,FALSE),FALSE)</formula>
    </cfRule>
  </conditionalFormatting>
  <conditionalFormatting sqref="M79">
    <cfRule type="expression" dxfId="3235" priority="3201" stopIfTrue="1">
      <formula>IF($F79="I",TRUE,FALSE)</formula>
    </cfRule>
  </conditionalFormatting>
  <conditionalFormatting sqref="B80:D80 F80:G80 I80:P80">
    <cfRule type="expression" dxfId="3234" priority="3200" stopIfTrue="1">
      <formula>IF($A80&lt;&gt;"",IF(B80="",TRUE,FALSE),FALSE)</formula>
    </cfRule>
  </conditionalFormatting>
  <conditionalFormatting sqref="M80">
    <cfRule type="expression" dxfId="3233" priority="3199" stopIfTrue="1">
      <formula>IF($F80="I",TRUE,FALSE)</formula>
    </cfRule>
  </conditionalFormatting>
  <conditionalFormatting sqref="B81:D81 F81:G81 I81:P81">
    <cfRule type="expression" dxfId="3232" priority="3198" stopIfTrue="1">
      <formula>IF($A81&lt;&gt;"",IF(B81="",TRUE,FALSE),FALSE)</formula>
    </cfRule>
  </conditionalFormatting>
  <conditionalFormatting sqref="M81">
    <cfRule type="expression" dxfId="3231" priority="3197" stopIfTrue="1">
      <formula>IF($F81="I",TRUE,FALSE)</formula>
    </cfRule>
  </conditionalFormatting>
  <conditionalFormatting sqref="B82:D82 F82:G82 I82:P82">
    <cfRule type="expression" dxfId="3230" priority="3196" stopIfTrue="1">
      <formula>IF($A82&lt;&gt;"",IF(B82="",TRUE,FALSE),FALSE)</formula>
    </cfRule>
  </conditionalFormatting>
  <conditionalFormatting sqref="M82">
    <cfRule type="expression" dxfId="3229" priority="3195" stopIfTrue="1">
      <formula>IF($F82="I",TRUE,FALSE)</formula>
    </cfRule>
  </conditionalFormatting>
  <conditionalFormatting sqref="B83:D83 F83:G83 I83:P83">
    <cfRule type="expression" dxfId="3228" priority="3194" stopIfTrue="1">
      <formula>IF($A83&lt;&gt;"",IF(B83="",TRUE,FALSE),FALSE)</formula>
    </cfRule>
  </conditionalFormatting>
  <conditionalFormatting sqref="M83">
    <cfRule type="expression" dxfId="3227" priority="3193" stopIfTrue="1">
      <formula>IF($F83="I",TRUE,FALSE)</formula>
    </cfRule>
  </conditionalFormatting>
  <conditionalFormatting sqref="B84:D84 F84:G84 I84:P84">
    <cfRule type="expression" dxfId="3226" priority="3192" stopIfTrue="1">
      <formula>IF($A84&lt;&gt;"",IF(B84="",TRUE,FALSE),FALSE)</formula>
    </cfRule>
  </conditionalFormatting>
  <conditionalFormatting sqref="M84">
    <cfRule type="expression" dxfId="3225" priority="3191" stopIfTrue="1">
      <formula>IF($F84="I",TRUE,FALSE)</formula>
    </cfRule>
  </conditionalFormatting>
  <conditionalFormatting sqref="B85:D85 F85:G85 I85:P85">
    <cfRule type="expression" dxfId="3224" priority="3190" stopIfTrue="1">
      <formula>IF($A85&lt;&gt;"",IF(B85="",TRUE,FALSE),FALSE)</formula>
    </cfRule>
  </conditionalFormatting>
  <conditionalFormatting sqref="M85">
    <cfRule type="expression" dxfId="3223" priority="3189" stopIfTrue="1">
      <formula>IF($F85="I",TRUE,FALSE)</formula>
    </cfRule>
  </conditionalFormatting>
  <conditionalFormatting sqref="B86:D86 F86:G86 I86:P86">
    <cfRule type="expression" dxfId="3222" priority="3188" stopIfTrue="1">
      <formula>IF($A86&lt;&gt;"",IF(B86="",TRUE,FALSE),FALSE)</formula>
    </cfRule>
  </conditionalFormatting>
  <conditionalFormatting sqref="M86">
    <cfRule type="expression" dxfId="3221" priority="3187" stopIfTrue="1">
      <formula>IF($F86="I",TRUE,FALSE)</formula>
    </cfRule>
  </conditionalFormatting>
  <conditionalFormatting sqref="B87:D87 F87:G87 I87:P87">
    <cfRule type="expression" dxfId="3220" priority="3186" stopIfTrue="1">
      <formula>IF($A87&lt;&gt;"",IF(B87="",TRUE,FALSE),FALSE)</formula>
    </cfRule>
  </conditionalFormatting>
  <conditionalFormatting sqref="M87">
    <cfRule type="expression" dxfId="3219" priority="3185" stopIfTrue="1">
      <formula>IF($F87="I",TRUE,FALSE)</formula>
    </cfRule>
  </conditionalFormatting>
  <conditionalFormatting sqref="B88:D88 F88:G88 I88:P88">
    <cfRule type="expression" dxfId="3218" priority="3184" stopIfTrue="1">
      <formula>IF($A88&lt;&gt;"",IF(B88="",TRUE,FALSE),FALSE)</formula>
    </cfRule>
  </conditionalFormatting>
  <conditionalFormatting sqref="M88">
    <cfRule type="expression" dxfId="3217" priority="3183" stopIfTrue="1">
      <formula>IF($F88="I",TRUE,FALSE)</formula>
    </cfRule>
  </conditionalFormatting>
  <conditionalFormatting sqref="B89:D89 F89:G89 I89:P89">
    <cfRule type="expression" dxfId="3216" priority="3182" stopIfTrue="1">
      <formula>IF($A89&lt;&gt;"",IF(B89="",TRUE,FALSE),FALSE)</formula>
    </cfRule>
  </conditionalFormatting>
  <conditionalFormatting sqref="M89">
    <cfRule type="expression" dxfId="3215" priority="3181" stopIfTrue="1">
      <formula>IF($F89="I",TRUE,FALSE)</formula>
    </cfRule>
  </conditionalFormatting>
  <conditionalFormatting sqref="B90:D90 F90:G90 I90:P90">
    <cfRule type="expression" dxfId="3214" priority="3180" stopIfTrue="1">
      <formula>IF($A90&lt;&gt;"",IF(B90="",TRUE,FALSE),FALSE)</formula>
    </cfRule>
  </conditionalFormatting>
  <conditionalFormatting sqref="M90">
    <cfRule type="expression" dxfId="3213" priority="3179" stopIfTrue="1">
      <formula>IF($F90="I",TRUE,FALSE)</formula>
    </cfRule>
  </conditionalFormatting>
  <conditionalFormatting sqref="B91:D91 F91:G91 I91:P91">
    <cfRule type="expression" dxfId="3212" priority="3178" stopIfTrue="1">
      <formula>IF($A91&lt;&gt;"",IF(B91="",TRUE,FALSE),FALSE)</formula>
    </cfRule>
  </conditionalFormatting>
  <conditionalFormatting sqref="M91">
    <cfRule type="expression" dxfId="3211" priority="3177" stopIfTrue="1">
      <formula>IF($F91="I",TRUE,FALSE)</formula>
    </cfRule>
  </conditionalFormatting>
  <conditionalFormatting sqref="B92:D92 F92:G92 I92:P92">
    <cfRule type="expression" dxfId="3210" priority="3176" stopIfTrue="1">
      <formula>IF($A92&lt;&gt;"",IF(B92="",TRUE,FALSE),FALSE)</formula>
    </cfRule>
  </conditionalFormatting>
  <conditionalFormatting sqref="M92">
    <cfRule type="expression" dxfId="3209" priority="3175" stopIfTrue="1">
      <formula>IF($F92="I",TRUE,FALSE)</formula>
    </cfRule>
  </conditionalFormatting>
  <conditionalFormatting sqref="B93:D93 F93:G93 I93:P93">
    <cfRule type="expression" dxfId="3208" priority="3174" stopIfTrue="1">
      <formula>IF($A93&lt;&gt;"",IF(B93="",TRUE,FALSE),FALSE)</formula>
    </cfRule>
  </conditionalFormatting>
  <conditionalFormatting sqref="M93">
    <cfRule type="expression" dxfId="3207" priority="3173" stopIfTrue="1">
      <formula>IF($F93="I",TRUE,FALSE)</formula>
    </cfRule>
  </conditionalFormatting>
  <conditionalFormatting sqref="B94:D94 F94:G94 I94:P94">
    <cfRule type="expression" dxfId="3206" priority="3172" stopIfTrue="1">
      <formula>IF($A94&lt;&gt;"",IF(B94="",TRUE,FALSE),FALSE)</formula>
    </cfRule>
  </conditionalFormatting>
  <conditionalFormatting sqref="M94">
    <cfRule type="expression" dxfId="3205" priority="3171" stopIfTrue="1">
      <formula>IF($F94="I",TRUE,FALSE)</formula>
    </cfRule>
  </conditionalFormatting>
  <conditionalFormatting sqref="B95:D95 F95:G95 I95:P95">
    <cfRule type="expression" dxfId="3204" priority="3170" stopIfTrue="1">
      <formula>IF($A95&lt;&gt;"",IF(B95="",TRUE,FALSE),FALSE)</formula>
    </cfRule>
  </conditionalFormatting>
  <conditionalFormatting sqref="M95">
    <cfRule type="expression" dxfId="3203" priority="3169" stopIfTrue="1">
      <formula>IF($F95="I",TRUE,FALSE)</formula>
    </cfRule>
  </conditionalFormatting>
  <conditionalFormatting sqref="B96:D96 F96:G96 I96:P96">
    <cfRule type="expression" dxfId="3202" priority="3168" stopIfTrue="1">
      <formula>IF($A96&lt;&gt;"",IF(B96="",TRUE,FALSE),FALSE)</formula>
    </cfRule>
  </conditionalFormatting>
  <conditionalFormatting sqref="M96">
    <cfRule type="expression" dxfId="3201" priority="3167" stopIfTrue="1">
      <formula>IF($F96="I",TRUE,FALSE)</formula>
    </cfRule>
  </conditionalFormatting>
  <conditionalFormatting sqref="B97:D97 F97:G97 I97:P97">
    <cfRule type="expression" dxfId="3200" priority="3166" stopIfTrue="1">
      <formula>IF($A97&lt;&gt;"",IF(B97="",TRUE,FALSE),FALSE)</formula>
    </cfRule>
  </conditionalFormatting>
  <conditionalFormatting sqref="M97">
    <cfRule type="expression" dxfId="3199" priority="3165" stopIfTrue="1">
      <formula>IF($F97="I",TRUE,FALSE)</formula>
    </cfRule>
  </conditionalFormatting>
  <conditionalFormatting sqref="B98:D98 F98:G98 I98:P98">
    <cfRule type="expression" dxfId="3198" priority="3164" stopIfTrue="1">
      <formula>IF($A98&lt;&gt;"",IF(B98="",TRUE,FALSE),FALSE)</formula>
    </cfRule>
  </conditionalFormatting>
  <conditionalFormatting sqref="M98">
    <cfRule type="expression" dxfId="3197" priority="3163" stopIfTrue="1">
      <formula>IF($F98="I",TRUE,FALSE)</formula>
    </cfRule>
  </conditionalFormatting>
  <conditionalFormatting sqref="B99:D99 F99:G99 I99:P99">
    <cfRule type="expression" dxfId="3196" priority="3162" stopIfTrue="1">
      <formula>IF($A99&lt;&gt;"",IF(B99="",TRUE,FALSE),FALSE)</formula>
    </cfRule>
  </conditionalFormatting>
  <conditionalFormatting sqref="M99">
    <cfRule type="expression" dxfId="3195" priority="3161" stopIfTrue="1">
      <formula>IF($F99="I",TRUE,FALSE)</formula>
    </cfRule>
  </conditionalFormatting>
  <conditionalFormatting sqref="B100:D100 F100:G100 I100:P100">
    <cfRule type="expression" dxfId="3194" priority="3160" stopIfTrue="1">
      <formula>IF($A100&lt;&gt;"",IF(B100="",TRUE,FALSE),FALSE)</formula>
    </cfRule>
  </conditionalFormatting>
  <conditionalFormatting sqref="M100">
    <cfRule type="expression" dxfId="3193" priority="3159" stopIfTrue="1">
      <formula>IF($F100="I",TRUE,FALSE)</formula>
    </cfRule>
  </conditionalFormatting>
  <conditionalFormatting sqref="B101:D101 F101:G101 I101:P101">
    <cfRule type="expression" dxfId="3192" priority="3158" stopIfTrue="1">
      <formula>IF($A101&lt;&gt;"",IF(B101="",TRUE,FALSE),FALSE)</formula>
    </cfRule>
  </conditionalFormatting>
  <conditionalFormatting sqref="M101">
    <cfRule type="expression" dxfId="3191" priority="3157" stopIfTrue="1">
      <formula>IF($F101="I",TRUE,FALSE)</formula>
    </cfRule>
  </conditionalFormatting>
  <conditionalFormatting sqref="B102:D102 F102:G102 I102:P102">
    <cfRule type="expression" dxfId="3190" priority="3156" stopIfTrue="1">
      <formula>IF($A102&lt;&gt;"",IF(B102="",TRUE,FALSE),FALSE)</formula>
    </cfRule>
  </conditionalFormatting>
  <conditionalFormatting sqref="M102">
    <cfRule type="expression" dxfId="3189" priority="3155" stopIfTrue="1">
      <formula>IF($F102="I",TRUE,FALSE)</formula>
    </cfRule>
  </conditionalFormatting>
  <conditionalFormatting sqref="B103:D103 F103:G103 I103:P103">
    <cfRule type="expression" dxfId="3188" priority="3154" stopIfTrue="1">
      <formula>IF($A103&lt;&gt;"",IF(B103="",TRUE,FALSE),FALSE)</formula>
    </cfRule>
  </conditionalFormatting>
  <conditionalFormatting sqref="M103">
    <cfRule type="expression" dxfId="3187" priority="3153" stopIfTrue="1">
      <formula>IF($F103="I",TRUE,FALSE)</formula>
    </cfRule>
  </conditionalFormatting>
  <conditionalFormatting sqref="B104:D104 F104:G104 I104:P104">
    <cfRule type="expression" dxfId="3186" priority="3152" stopIfTrue="1">
      <formula>IF($A104&lt;&gt;"",IF(B104="",TRUE,FALSE),FALSE)</formula>
    </cfRule>
  </conditionalFormatting>
  <conditionalFormatting sqref="M104">
    <cfRule type="expression" dxfId="3185" priority="3151" stopIfTrue="1">
      <formula>IF($F104="I",TRUE,FALSE)</formula>
    </cfRule>
  </conditionalFormatting>
  <conditionalFormatting sqref="B105:D105 F105:G105 I105:P105">
    <cfRule type="expression" dxfId="3184" priority="3150" stopIfTrue="1">
      <formula>IF($A105&lt;&gt;"",IF(B105="",TRUE,FALSE),FALSE)</formula>
    </cfRule>
  </conditionalFormatting>
  <conditionalFormatting sqref="M105">
    <cfRule type="expression" dxfId="3183" priority="3149" stopIfTrue="1">
      <formula>IF($F105="I",TRUE,FALSE)</formula>
    </cfRule>
  </conditionalFormatting>
  <conditionalFormatting sqref="B106:D106 F106:G106 I106:P106">
    <cfRule type="expression" dxfId="3182" priority="3148" stopIfTrue="1">
      <formula>IF($A106&lt;&gt;"",IF(B106="",TRUE,FALSE),FALSE)</formula>
    </cfRule>
  </conditionalFormatting>
  <conditionalFormatting sqref="M106">
    <cfRule type="expression" dxfId="3181" priority="3147" stopIfTrue="1">
      <formula>IF($F106="I",TRUE,FALSE)</formula>
    </cfRule>
  </conditionalFormatting>
  <conditionalFormatting sqref="B107:D107 F107:G107 I107:P107">
    <cfRule type="expression" dxfId="3180" priority="3146" stopIfTrue="1">
      <formula>IF($A107&lt;&gt;"",IF(B107="",TRUE,FALSE),FALSE)</formula>
    </cfRule>
  </conditionalFormatting>
  <conditionalFormatting sqref="M107">
    <cfRule type="expression" dxfId="3179" priority="3145" stopIfTrue="1">
      <formula>IF($F107="I",TRUE,FALSE)</formula>
    </cfRule>
  </conditionalFormatting>
  <conditionalFormatting sqref="B108:D108 F108:G108 I108:P108">
    <cfRule type="expression" dxfId="3178" priority="3144" stopIfTrue="1">
      <formula>IF($A108&lt;&gt;"",IF(B108="",TRUE,FALSE),FALSE)</formula>
    </cfRule>
  </conditionalFormatting>
  <conditionalFormatting sqref="M108">
    <cfRule type="expression" dxfId="3177" priority="3143" stopIfTrue="1">
      <formula>IF($F108="I",TRUE,FALSE)</formula>
    </cfRule>
  </conditionalFormatting>
  <conditionalFormatting sqref="B109:D109 F109:G109 I109:P109">
    <cfRule type="expression" dxfId="3176" priority="3142" stopIfTrue="1">
      <formula>IF($A109&lt;&gt;"",IF(B109="",TRUE,FALSE),FALSE)</formula>
    </cfRule>
  </conditionalFormatting>
  <conditionalFormatting sqref="M109">
    <cfRule type="expression" dxfId="3175" priority="3141" stopIfTrue="1">
      <formula>IF($F109="I",TRUE,FALSE)</formula>
    </cfRule>
  </conditionalFormatting>
  <conditionalFormatting sqref="B110:D110 F110:G110 I110:P110">
    <cfRule type="expression" dxfId="3174" priority="3140" stopIfTrue="1">
      <formula>IF($A110&lt;&gt;"",IF(B110="",TRUE,FALSE),FALSE)</formula>
    </cfRule>
  </conditionalFormatting>
  <conditionalFormatting sqref="M110">
    <cfRule type="expression" dxfId="3173" priority="3139" stopIfTrue="1">
      <formula>IF($F110="I",TRUE,FALSE)</formula>
    </cfRule>
  </conditionalFormatting>
  <conditionalFormatting sqref="B111:D111 F111:G111 I111:P111">
    <cfRule type="expression" dxfId="3172" priority="3138" stopIfTrue="1">
      <formula>IF($A111&lt;&gt;"",IF(B111="",TRUE,FALSE),FALSE)</formula>
    </cfRule>
  </conditionalFormatting>
  <conditionalFormatting sqref="M111">
    <cfRule type="expression" dxfId="3171" priority="3137" stopIfTrue="1">
      <formula>IF($F111="I",TRUE,FALSE)</formula>
    </cfRule>
  </conditionalFormatting>
  <conditionalFormatting sqref="B112:D112 F112:G112 I112:P112">
    <cfRule type="expression" dxfId="3170" priority="3136" stopIfTrue="1">
      <formula>IF($A112&lt;&gt;"",IF(B112="",TRUE,FALSE),FALSE)</formula>
    </cfRule>
  </conditionalFormatting>
  <conditionalFormatting sqref="M112">
    <cfRule type="expression" dxfId="3169" priority="3135" stopIfTrue="1">
      <formula>IF($F112="I",TRUE,FALSE)</formula>
    </cfRule>
  </conditionalFormatting>
  <conditionalFormatting sqref="B113:D113 F113:G113 I113:P113">
    <cfRule type="expression" dxfId="3168" priority="3134" stopIfTrue="1">
      <formula>IF($A113&lt;&gt;"",IF(B113="",TRUE,FALSE),FALSE)</formula>
    </cfRule>
  </conditionalFormatting>
  <conditionalFormatting sqref="M113">
    <cfRule type="expression" dxfId="3167" priority="3133" stopIfTrue="1">
      <formula>IF($F113="I",TRUE,FALSE)</formula>
    </cfRule>
  </conditionalFormatting>
  <conditionalFormatting sqref="B114:D114 F114:G114 I114:P114">
    <cfRule type="expression" dxfId="3166" priority="3132" stopIfTrue="1">
      <formula>IF($A114&lt;&gt;"",IF(B114="",TRUE,FALSE),FALSE)</formula>
    </cfRule>
  </conditionalFormatting>
  <conditionalFormatting sqref="M114">
    <cfRule type="expression" dxfId="3165" priority="3131" stopIfTrue="1">
      <formula>IF($F114="I",TRUE,FALSE)</formula>
    </cfRule>
  </conditionalFormatting>
  <conditionalFormatting sqref="B115:D115 F115:G115 I115:P115">
    <cfRule type="expression" dxfId="3164" priority="3130" stopIfTrue="1">
      <formula>IF($A115&lt;&gt;"",IF(B115="",TRUE,FALSE),FALSE)</formula>
    </cfRule>
  </conditionalFormatting>
  <conditionalFormatting sqref="M115">
    <cfRule type="expression" dxfId="3163" priority="3129" stopIfTrue="1">
      <formula>IF($F115="I",TRUE,FALSE)</formula>
    </cfRule>
  </conditionalFormatting>
  <conditionalFormatting sqref="B116:D116 F116:G116 I116:P116">
    <cfRule type="expression" dxfId="3162" priority="3128" stopIfTrue="1">
      <formula>IF($A116&lt;&gt;"",IF(B116="",TRUE,FALSE),FALSE)</formula>
    </cfRule>
  </conditionalFormatting>
  <conditionalFormatting sqref="M116">
    <cfRule type="expression" dxfId="3161" priority="3127" stopIfTrue="1">
      <formula>IF($F116="I",TRUE,FALSE)</formula>
    </cfRule>
  </conditionalFormatting>
  <conditionalFormatting sqref="B117:D117 F117:G117 I117:P117">
    <cfRule type="expression" dxfId="3160" priority="3126" stopIfTrue="1">
      <formula>IF($A117&lt;&gt;"",IF(B117="",TRUE,FALSE),FALSE)</formula>
    </cfRule>
  </conditionalFormatting>
  <conditionalFormatting sqref="M117">
    <cfRule type="expression" dxfId="3159" priority="3125" stopIfTrue="1">
      <formula>IF($F117="I",TRUE,FALSE)</formula>
    </cfRule>
  </conditionalFormatting>
  <conditionalFormatting sqref="B118:D118 F118:G118 I118:P118">
    <cfRule type="expression" dxfId="3158" priority="3124" stopIfTrue="1">
      <formula>IF($A118&lt;&gt;"",IF(B118="",TRUE,FALSE),FALSE)</formula>
    </cfRule>
  </conditionalFormatting>
  <conditionalFormatting sqref="M118">
    <cfRule type="expression" dxfId="3157" priority="3123" stopIfTrue="1">
      <formula>IF($F118="I",TRUE,FALSE)</formula>
    </cfRule>
  </conditionalFormatting>
  <conditionalFormatting sqref="B119:D119 F119:G119 I119:P119">
    <cfRule type="expression" dxfId="3156" priority="3122" stopIfTrue="1">
      <formula>IF($A119&lt;&gt;"",IF(B119="",TRUE,FALSE),FALSE)</formula>
    </cfRule>
  </conditionalFormatting>
  <conditionalFormatting sqref="M119">
    <cfRule type="expression" dxfId="3155" priority="3121" stopIfTrue="1">
      <formula>IF($F119="I",TRUE,FALSE)</formula>
    </cfRule>
  </conditionalFormatting>
  <conditionalFormatting sqref="B120:D120 F120:G120 I120:P120">
    <cfRule type="expression" dxfId="3154" priority="3120" stopIfTrue="1">
      <formula>IF($A120&lt;&gt;"",IF(B120="",TRUE,FALSE),FALSE)</formula>
    </cfRule>
  </conditionalFormatting>
  <conditionalFormatting sqref="M120">
    <cfRule type="expression" dxfId="3153" priority="3119" stopIfTrue="1">
      <formula>IF($F120="I",TRUE,FALSE)</formula>
    </cfRule>
  </conditionalFormatting>
  <conditionalFormatting sqref="B121:D121 F121:G121 I121:P121">
    <cfRule type="expression" dxfId="3152" priority="3118" stopIfTrue="1">
      <formula>IF($A121&lt;&gt;"",IF(B121="",TRUE,FALSE),FALSE)</formula>
    </cfRule>
  </conditionalFormatting>
  <conditionalFormatting sqref="M121">
    <cfRule type="expression" dxfId="3151" priority="3117" stopIfTrue="1">
      <formula>IF($F121="I",TRUE,FALSE)</formula>
    </cfRule>
  </conditionalFormatting>
  <conditionalFormatting sqref="B122:D122 F122:G122 I122:P122">
    <cfRule type="expression" dxfId="3150" priority="3116" stopIfTrue="1">
      <formula>IF($A122&lt;&gt;"",IF(B122="",TRUE,FALSE),FALSE)</formula>
    </cfRule>
  </conditionalFormatting>
  <conditionalFormatting sqref="M122">
    <cfRule type="expression" dxfId="3149" priority="3115" stopIfTrue="1">
      <formula>IF($F122="I",TRUE,FALSE)</formula>
    </cfRule>
  </conditionalFormatting>
  <conditionalFormatting sqref="B123:D123 F123:G123 I123:P123">
    <cfRule type="expression" dxfId="3148" priority="3114" stopIfTrue="1">
      <formula>IF($A123&lt;&gt;"",IF(B123="",TRUE,FALSE),FALSE)</formula>
    </cfRule>
  </conditionalFormatting>
  <conditionalFormatting sqref="M123">
    <cfRule type="expression" dxfId="3147" priority="3113" stopIfTrue="1">
      <formula>IF($F123="I",TRUE,FALSE)</formula>
    </cfRule>
  </conditionalFormatting>
  <conditionalFormatting sqref="B124:D124 F124:G124 I124:P124">
    <cfRule type="expression" dxfId="3146" priority="3112" stopIfTrue="1">
      <formula>IF($A124&lt;&gt;"",IF(B124="",TRUE,FALSE),FALSE)</formula>
    </cfRule>
  </conditionalFormatting>
  <conditionalFormatting sqref="M124">
    <cfRule type="expression" dxfId="3145" priority="3111" stopIfTrue="1">
      <formula>IF($F124="I",TRUE,FALSE)</formula>
    </cfRule>
  </conditionalFormatting>
  <conditionalFormatting sqref="B125:D125 F125:G125 I125:P125">
    <cfRule type="expression" dxfId="3144" priority="3110" stopIfTrue="1">
      <formula>IF($A125&lt;&gt;"",IF(B125="",TRUE,FALSE),FALSE)</formula>
    </cfRule>
  </conditionalFormatting>
  <conditionalFormatting sqref="M125">
    <cfRule type="expression" dxfId="3143" priority="3109" stopIfTrue="1">
      <formula>IF($F125="I",TRUE,FALSE)</formula>
    </cfRule>
  </conditionalFormatting>
  <conditionalFormatting sqref="B126:D126 F126:G126 I126:P126">
    <cfRule type="expression" dxfId="3142" priority="3108" stopIfTrue="1">
      <formula>IF($A126&lt;&gt;"",IF(B126="",TRUE,FALSE),FALSE)</formula>
    </cfRule>
  </conditionalFormatting>
  <conditionalFormatting sqref="M126">
    <cfRule type="expression" dxfId="3141" priority="3107" stopIfTrue="1">
      <formula>IF($F126="I",TRUE,FALSE)</formula>
    </cfRule>
  </conditionalFormatting>
  <conditionalFormatting sqref="B127:D127 F127:G127 I127:P127">
    <cfRule type="expression" dxfId="3140" priority="3106" stopIfTrue="1">
      <formula>IF($A127&lt;&gt;"",IF(B127="",TRUE,FALSE),FALSE)</formula>
    </cfRule>
  </conditionalFormatting>
  <conditionalFormatting sqref="M127">
    <cfRule type="expression" dxfId="3139" priority="3105" stopIfTrue="1">
      <formula>IF($F127="I",TRUE,FALSE)</formula>
    </cfRule>
  </conditionalFormatting>
  <conditionalFormatting sqref="B128:D128 F128:G128 I128:P128">
    <cfRule type="expression" dxfId="3138" priority="3104" stopIfTrue="1">
      <formula>IF($A128&lt;&gt;"",IF(B128="",TRUE,FALSE),FALSE)</formula>
    </cfRule>
  </conditionalFormatting>
  <conditionalFormatting sqref="M128">
    <cfRule type="expression" dxfId="3137" priority="3103" stopIfTrue="1">
      <formula>IF($F128="I",TRUE,FALSE)</formula>
    </cfRule>
  </conditionalFormatting>
  <conditionalFormatting sqref="B129:D129 F129:G129 I129:P129">
    <cfRule type="expression" dxfId="3136" priority="3102" stopIfTrue="1">
      <formula>IF($A129&lt;&gt;"",IF(B129="",TRUE,FALSE),FALSE)</formula>
    </cfRule>
  </conditionalFormatting>
  <conditionalFormatting sqref="M129">
    <cfRule type="expression" dxfId="3135" priority="3101" stopIfTrue="1">
      <formula>IF($F129="I",TRUE,FALSE)</formula>
    </cfRule>
  </conditionalFormatting>
  <conditionalFormatting sqref="B130:D130 F130:G130 I130:P130">
    <cfRule type="expression" dxfId="3134" priority="3100" stopIfTrue="1">
      <formula>IF($A130&lt;&gt;"",IF(B130="",TRUE,FALSE),FALSE)</formula>
    </cfRule>
  </conditionalFormatting>
  <conditionalFormatting sqref="M130">
    <cfRule type="expression" dxfId="3133" priority="3099" stopIfTrue="1">
      <formula>IF($F130="I",TRUE,FALSE)</formula>
    </cfRule>
  </conditionalFormatting>
  <conditionalFormatting sqref="B131:D131 F131:G131 I131:P131">
    <cfRule type="expression" dxfId="3132" priority="3098" stopIfTrue="1">
      <formula>IF($A131&lt;&gt;"",IF(B131="",TRUE,FALSE),FALSE)</formula>
    </cfRule>
  </conditionalFormatting>
  <conditionalFormatting sqref="M131">
    <cfRule type="expression" dxfId="3131" priority="3097" stopIfTrue="1">
      <formula>IF($F131="I",TRUE,FALSE)</formula>
    </cfRule>
  </conditionalFormatting>
  <conditionalFormatting sqref="B132:D132 F132:G132 I132:P132">
    <cfRule type="expression" dxfId="3130" priority="3096" stopIfTrue="1">
      <formula>IF($A132&lt;&gt;"",IF(B132="",TRUE,FALSE),FALSE)</formula>
    </cfRule>
  </conditionalFormatting>
  <conditionalFormatting sqref="M132">
    <cfRule type="expression" dxfId="3129" priority="3095" stopIfTrue="1">
      <formula>IF($F132="I",TRUE,FALSE)</formula>
    </cfRule>
  </conditionalFormatting>
  <conditionalFormatting sqref="B133:D133 F133:G133 I133:P133">
    <cfRule type="expression" dxfId="3128" priority="3094" stopIfTrue="1">
      <formula>IF($A133&lt;&gt;"",IF(B133="",TRUE,FALSE),FALSE)</formula>
    </cfRule>
  </conditionalFormatting>
  <conditionalFormatting sqref="M133">
    <cfRule type="expression" dxfId="3127" priority="3093" stopIfTrue="1">
      <formula>IF($F133="I",TRUE,FALSE)</formula>
    </cfRule>
  </conditionalFormatting>
  <conditionalFormatting sqref="B134:D134 F134:G134 I134:P134">
    <cfRule type="expression" dxfId="3126" priority="3092" stopIfTrue="1">
      <formula>IF($A134&lt;&gt;"",IF(B134="",TRUE,FALSE),FALSE)</formula>
    </cfRule>
  </conditionalFormatting>
  <conditionalFormatting sqref="M134">
    <cfRule type="expression" dxfId="3125" priority="3091" stopIfTrue="1">
      <formula>IF($F134="I",TRUE,FALSE)</formula>
    </cfRule>
  </conditionalFormatting>
  <conditionalFormatting sqref="B135:D135 F135:G135 I135:P135">
    <cfRule type="expression" dxfId="3124" priority="3090" stopIfTrue="1">
      <formula>IF($A135&lt;&gt;"",IF(B135="",TRUE,FALSE),FALSE)</formula>
    </cfRule>
  </conditionalFormatting>
  <conditionalFormatting sqref="M135">
    <cfRule type="expression" dxfId="3123" priority="3089" stopIfTrue="1">
      <formula>IF($F135="I",TRUE,FALSE)</formula>
    </cfRule>
  </conditionalFormatting>
  <conditionalFormatting sqref="B136:D136 F136:G136 I136:P136">
    <cfRule type="expression" dxfId="3122" priority="3088" stopIfTrue="1">
      <formula>IF($A136&lt;&gt;"",IF(B136="",TRUE,FALSE),FALSE)</formula>
    </cfRule>
  </conditionalFormatting>
  <conditionalFormatting sqref="M136">
    <cfRule type="expression" dxfId="3121" priority="3087" stopIfTrue="1">
      <formula>IF($F136="I",TRUE,FALSE)</formula>
    </cfRule>
  </conditionalFormatting>
  <conditionalFormatting sqref="B137:D137 F137:G137 I137:P137">
    <cfRule type="expression" dxfId="3120" priority="3086" stopIfTrue="1">
      <formula>IF($A137&lt;&gt;"",IF(B137="",TRUE,FALSE),FALSE)</formula>
    </cfRule>
  </conditionalFormatting>
  <conditionalFormatting sqref="M137">
    <cfRule type="expression" dxfId="3119" priority="3085" stopIfTrue="1">
      <formula>IF($F137="I",TRUE,FALSE)</formula>
    </cfRule>
  </conditionalFormatting>
  <conditionalFormatting sqref="B138:D138 F138:G138 I138:P138">
    <cfRule type="expression" dxfId="3118" priority="3084" stopIfTrue="1">
      <formula>IF($A138&lt;&gt;"",IF(B138="",TRUE,FALSE),FALSE)</formula>
    </cfRule>
  </conditionalFormatting>
  <conditionalFormatting sqref="M138">
    <cfRule type="expression" dxfId="3117" priority="3083" stopIfTrue="1">
      <formula>IF($F138="I",TRUE,FALSE)</formula>
    </cfRule>
  </conditionalFormatting>
  <conditionalFormatting sqref="B139:D139 F139:G139 I139:P139">
    <cfRule type="expression" dxfId="3116" priority="3082" stopIfTrue="1">
      <formula>IF($A139&lt;&gt;"",IF(B139="",TRUE,FALSE),FALSE)</formula>
    </cfRule>
  </conditionalFormatting>
  <conditionalFormatting sqref="M139">
    <cfRule type="expression" dxfId="3115" priority="3081" stopIfTrue="1">
      <formula>IF($F139="I",TRUE,FALSE)</formula>
    </cfRule>
  </conditionalFormatting>
  <conditionalFormatting sqref="B140:D140 F140:G140 I140:P140">
    <cfRule type="expression" dxfId="3114" priority="3080" stopIfTrue="1">
      <formula>IF($A140&lt;&gt;"",IF(B140="",TRUE,FALSE),FALSE)</formula>
    </cfRule>
  </conditionalFormatting>
  <conditionalFormatting sqref="M140">
    <cfRule type="expression" dxfId="3113" priority="3079" stopIfTrue="1">
      <formula>IF($F140="I",TRUE,FALSE)</formula>
    </cfRule>
  </conditionalFormatting>
  <conditionalFormatting sqref="B141:D141 F141:G141 I141:P141">
    <cfRule type="expression" dxfId="3112" priority="3078" stopIfTrue="1">
      <formula>IF($A141&lt;&gt;"",IF(B141="",TRUE,FALSE),FALSE)</formula>
    </cfRule>
  </conditionalFormatting>
  <conditionalFormatting sqref="M141">
    <cfRule type="expression" dxfId="3111" priority="3077" stopIfTrue="1">
      <formula>IF($F141="I",TRUE,FALSE)</formula>
    </cfRule>
  </conditionalFormatting>
  <conditionalFormatting sqref="B142:D142 F142:G142 I142:P142">
    <cfRule type="expression" dxfId="3110" priority="3076" stopIfTrue="1">
      <formula>IF($A142&lt;&gt;"",IF(B142="",TRUE,FALSE),FALSE)</formula>
    </cfRule>
  </conditionalFormatting>
  <conditionalFormatting sqref="M142">
    <cfRule type="expression" dxfId="3109" priority="3075" stopIfTrue="1">
      <formula>IF($F142="I",TRUE,FALSE)</formula>
    </cfRule>
  </conditionalFormatting>
  <conditionalFormatting sqref="B143:D143 F143:G143 I143:P143">
    <cfRule type="expression" dxfId="3108" priority="3074" stopIfTrue="1">
      <formula>IF($A143&lt;&gt;"",IF(B143="",TRUE,FALSE),FALSE)</formula>
    </cfRule>
  </conditionalFormatting>
  <conditionalFormatting sqref="M143">
    <cfRule type="expression" dxfId="3107" priority="3073" stopIfTrue="1">
      <formula>IF($F143="I",TRUE,FALSE)</formula>
    </cfRule>
  </conditionalFormatting>
  <conditionalFormatting sqref="B144:D144 F144:G144 I144:P144">
    <cfRule type="expression" dxfId="3106" priority="3072" stopIfTrue="1">
      <formula>IF($A144&lt;&gt;"",IF(B144="",TRUE,FALSE),FALSE)</formula>
    </cfRule>
  </conditionalFormatting>
  <conditionalFormatting sqref="M144">
    <cfRule type="expression" dxfId="3105" priority="3071" stopIfTrue="1">
      <formula>IF($F144="I",TRUE,FALSE)</formula>
    </cfRule>
  </conditionalFormatting>
  <conditionalFormatting sqref="B145:D145 F145:G145 I145:P145">
    <cfRule type="expression" dxfId="3104" priority="3070" stopIfTrue="1">
      <formula>IF($A145&lt;&gt;"",IF(B145="",TRUE,FALSE),FALSE)</formula>
    </cfRule>
  </conditionalFormatting>
  <conditionalFormatting sqref="M145">
    <cfRule type="expression" dxfId="3103" priority="3069" stopIfTrue="1">
      <formula>IF($F145="I",TRUE,FALSE)</formula>
    </cfRule>
  </conditionalFormatting>
  <conditionalFormatting sqref="B146:D146 F146:G146 I146:P146">
    <cfRule type="expression" dxfId="3102" priority="3068" stopIfTrue="1">
      <formula>IF($A146&lt;&gt;"",IF(B146="",TRUE,FALSE),FALSE)</formula>
    </cfRule>
  </conditionalFormatting>
  <conditionalFormatting sqref="M146">
    <cfRule type="expression" dxfId="3101" priority="3067" stopIfTrue="1">
      <formula>IF($F146="I",TRUE,FALSE)</formula>
    </cfRule>
  </conditionalFormatting>
  <conditionalFormatting sqref="B147:D147 F147:G147 I147:P147">
    <cfRule type="expression" dxfId="3100" priority="3066" stopIfTrue="1">
      <formula>IF($A147&lt;&gt;"",IF(B147="",TRUE,FALSE),FALSE)</formula>
    </cfRule>
  </conditionalFormatting>
  <conditionalFormatting sqref="M147">
    <cfRule type="expression" dxfId="3099" priority="3065" stopIfTrue="1">
      <formula>IF($F147="I",TRUE,FALSE)</formula>
    </cfRule>
  </conditionalFormatting>
  <conditionalFormatting sqref="B148:D148 F148:G148 I148:P148">
    <cfRule type="expression" dxfId="3098" priority="3064" stopIfTrue="1">
      <formula>IF($A148&lt;&gt;"",IF(B148="",TRUE,FALSE),FALSE)</formula>
    </cfRule>
  </conditionalFormatting>
  <conditionalFormatting sqref="M148">
    <cfRule type="expression" dxfId="3097" priority="3063" stopIfTrue="1">
      <formula>IF($F148="I",TRUE,FALSE)</formula>
    </cfRule>
  </conditionalFormatting>
  <conditionalFormatting sqref="B149:D149 F149:G149 I149:P149">
    <cfRule type="expression" dxfId="3096" priority="3062" stopIfTrue="1">
      <formula>IF($A149&lt;&gt;"",IF(B149="",TRUE,FALSE),FALSE)</formula>
    </cfRule>
  </conditionalFormatting>
  <conditionalFormatting sqref="M149">
    <cfRule type="expression" dxfId="3095" priority="3061" stopIfTrue="1">
      <formula>IF($F149="I",TRUE,FALSE)</formula>
    </cfRule>
  </conditionalFormatting>
  <conditionalFormatting sqref="B150:D150 F150:G150 I150:P150">
    <cfRule type="expression" dxfId="3094" priority="3060" stopIfTrue="1">
      <formula>IF($A150&lt;&gt;"",IF(B150="",TRUE,FALSE),FALSE)</formula>
    </cfRule>
  </conditionalFormatting>
  <conditionalFormatting sqref="M150">
    <cfRule type="expression" dxfId="3093" priority="3059" stopIfTrue="1">
      <formula>IF($F150="I",TRUE,FALSE)</formula>
    </cfRule>
  </conditionalFormatting>
  <conditionalFormatting sqref="B151:D151 F151:G151 I151:P151">
    <cfRule type="expression" dxfId="3092" priority="3058" stopIfTrue="1">
      <formula>IF($A151&lt;&gt;"",IF(B151="",TRUE,FALSE),FALSE)</formula>
    </cfRule>
  </conditionalFormatting>
  <conditionalFormatting sqref="M151">
    <cfRule type="expression" dxfId="3091" priority="3057" stopIfTrue="1">
      <formula>IF($F151="I",TRUE,FALSE)</formula>
    </cfRule>
  </conditionalFormatting>
  <conditionalFormatting sqref="B152:D152 F152:G152 I152:P152">
    <cfRule type="expression" dxfId="3090" priority="3056" stopIfTrue="1">
      <formula>IF($A152&lt;&gt;"",IF(B152="",TRUE,FALSE),FALSE)</formula>
    </cfRule>
  </conditionalFormatting>
  <conditionalFormatting sqref="M152">
    <cfRule type="expression" dxfId="3089" priority="3055" stopIfTrue="1">
      <formula>IF($F152="I",TRUE,FALSE)</formula>
    </cfRule>
  </conditionalFormatting>
  <conditionalFormatting sqref="B153:D153 F153:G153 I153:P153">
    <cfRule type="expression" dxfId="3088" priority="3054" stopIfTrue="1">
      <formula>IF($A153&lt;&gt;"",IF(B153="",TRUE,FALSE),FALSE)</formula>
    </cfRule>
  </conditionalFormatting>
  <conditionalFormatting sqref="M153">
    <cfRule type="expression" dxfId="3087" priority="3053" stopIfTrue="1">
      <formula>IF($F153="I",TRUE,FALSE)</formula>
    </cfRule>
  </conditionalFormatting>
  <conditionalFormatting sqref="B154:D154 F154:G154 I154:P154">
    <cfRule type="expression" dxfId="3086" priority="3052" stopIfTrue="1">
      <formula>IF($A154&lt;&gt;"",IF(B154="",TRUE,FALSE),FALSE)</formula>
    </cfRule>
  </conditionalFormatting>
  <conditionalFormatting sqref="M154">
    <cfRule type="expression" dxfId="3085" priority="3051" stopIfTrue="1">
      <formula>IF($F154="I",TRUE,FALSE)</formula>
    </cfRule>
  </conditionalFormatting>
  <conditionalFormatting sqref="B155:D155 F155:G155 I155:P155">
    <cfRule type="expression" dxfId="3084" priority="3050" stopIfTrue="1">
      <formula>IF($A155&lt;&gt;"",IF(B155="",TRUE,FALSE),FALSE)</formula>
    </cfRule>
  </conditionalFormatting>
  <conditionalFormatting sqref="M155">
    <cfRule type="expression" dxfId="3083" priority="3049" stopIfTrue="1">
      <formula>IF($F155="I",TRUE,FALSE)</formula>
    </cfRule>
  </conditionalFormatting>
  <conditionalFormatting sqref="B156:D156 F156:G156 I156:P156">
    <cfRule type="expression" dxfId="3082" priority="3048" stopIfTrue="1">
      <formula>IF($A156&lt;&gt;"",IF(B156="",TRUE,FALSE),FALSE)</formula>
    </cfRule>
  </conditionalFormatting>
  <conditionalFormatting sqref="M156">
    <cfRule type="expression" dxfId="3081" priority="3047" stopIfTrue="1">
      <formula>IF($F156="I",TRUE,FALSE)</formula>
    </cfRule>
  </conditionalFormatting>
  <conditionalFormatting sqref="B157:D157 F157:G157 I157:P157">
    <cfRule type="expression" dxfId="3080" priority="3046" stopIfTrue="1">
      <formula>IF($A157&lt;&gt;"",IF(B157="",TRUE,FALSE),FALSE)</formula>
    </cfRule>
  </conditionalFormatting>
  <conditionalFormatting sqref="M157">
    <cfRule type="expression" dxfId="3079" priority="3045" stopIfTrue="1">
      <formula>IF($F157="I",TRUE,FALSE)</formula>
    </cfRule>
  </conditionalFormatting>
  <conditionalFormatting sqref="B158:D158 F158:G158 I158:P158">
    <cfRule type="expression" dxfId="3078" priority="3044" stopIfTrue="1">
      <formula>IF($A158&lt;&gt;"",IF(B158="",TRUE,FALSE),FALSE)</formula>
    </cfRule>
  </conditionalFormatting>
  <conditionalFormatting sqref="M158">
    <cfRule type="expression" dxfId="3077" priority="3043" stopIfTrue="1">
      <formula>IF($F158="I",TRUE,FALSE)</formula>
    </cfRule>
  </conditionalFormatting>
  <conditionalFormatting sqref="B159:D159 F159:G159 I159:P159">
    <cfRule type="expression" dxfId="3076" priority="3042" stopIfTrue="1">
      <formula>IF($A159&lt;&gt;"",IF(B159="",TRUE,FALSE),FALSE)</formula>
    </cfRule>
  </conditionalFormatting>
  <conditionalFormatting sqref="M159">
    <cfRule type="expression" dxfId="3075" priority="3041" stopIfTrue="1">
      <formula>IF($F159="I",TRUE,FALSE)</formula>
    </cfRule>
  </conditionalFormatting>
  <conditionalFormatting sqref="B160:D160 F160:G160 I160:P160">
    <cfRule type="expression" dxfId="3074" priority="3040" stopIfTrue="1">
      <formula>IF($A160&lt;&gt;"",IF(B160="",TRUE,FALSE),FALSE)</formula>
    </cfRule>
  </conditionalFormatting>
  <conditionalFormatting sqref="M160">
    <cfRule type="expression" dxfId="3073" priority="3039" stopIfTrue="1">
      <formula>IF($F160="I",TRUE,FALSE)</formula>
    </cfRule>
  </conditionalFormatting>
  <conditionalFormatting sqref="B161:D161 F161:G161 I161:P161">
    <cfRule type="expression" dxfId="3072" priority="3038" stopIfTrue="1">
      <formula>IF($A161&lt;&gt;"",IF(B161="",TRUE,FALSE),FALSE)</formula>
    </cfRule>
  </conditionalFormatting>
  <conditionalFormatting sqref="M161">
    <cfRule type="expression" dxfId="3071" priority="3037" stopIfTrue="1">
      <formula>IF($F161="I",TRUE,FALSE)</formula>
    </cfRule>
  </conditionalFormatting>
  <conditionalFormatting sqref="B162:D162 F162:G162 I162:P162">
    <cfRule type="expression" dxfId="3070" priority="3036" stopIfTrue="1">
      <formula>IF($A162&lt;&gt;"",IF(B162="",TRUE,FALSE),FALSE)</formula>
    </cfRule>
  </conditionalFormatting>
  <conditionalFormatting sqref="M162">
    <cfRule type="expression" dxfId="3069" priority="3035" stopIfTrue="1">
      <formula>IF($F162="I",TRUE,FALSE)</formula>
    </cfRule>
  </conditionalFormatting>
  <conditionalFormatting sqref="B163:D163 F163:G163 I163:P163">
    <cfRule type="expression" dxfId="3068" priority="3034" stopIfTrue="1">
      <formula>IF($A163&lt;&gt;"",IF(B163="",TRUE,FALSE),FALSE)</formula>
    </cfRule>
  </conditionalFormatting>
  <conditionalFormatting sqref="M163">
    <cfRule type="expression" dxfId="3067" priority="3033" stopIfTrue="1">
      <formula>IF($F163="I",TRUE,FALSE)</formula>
    </cfRule>
  </conditionalFormatting>
  <conditionalFormatting sqref="B164:D164 F164:G164 I164:P164">
    <cfRule type="expression" dxfId="3066" priority="3032" stopIfTrue="1">
      <formula>IF($A164&lt;&gt;"",IF(B164="",TRUE,FALSE),FALSE)</formula>
    </cfRule>
  </conditionalFormatting>
  <conditionalFormatting sqref="M164">
    <cfRule type="expression" dxfId="3065" priority="3031" stopIfTrue="1">
      <formula>IF($F164="I",TRUE,FALSE)</formula>
    </cfRule>
  </conditionalFormatting>
  <conditionalFormatting sqref="B165:D165 F165:G165 I165:P165">
    <cfRule type="expression" dxfId="3064" priority="3030" stopIfTrue="1">
      <formula>IF($A165&lt;&gt;"",IF(B165="",TRUE,FALSE),FALSE)</formula>
    </cfRule>
  </conditionalFormatting>
  <conditionalFormatting sqref="M165">
    <cfRule type="expression" dxfId="3063" priority="3029" stopIfTrue="1">
      <formula>IF($F165="I",TRUE,FALSE)</formula>
    </cfRule>
  </conditionalFormatting>
  <conditionalFormatting sqref="B166:D166 F166:G166 I166:P166">
    <cfRule type="expression" dxfId="3062" priority="3028" stopIfTrue="1">
      <formula>IF($A166&lt;&gt;"",IF(B166="",TRUE,FALSE),FALSE)</formula>
    </cfRule>
  </conditionalFormatting>
  <conditionalFormatting sqref="M166">
    <cfRule type="expression" dxfId="3061" priority="3027" stopIfTrue="1">
      <formula>IF($F166="I",TRUE,FALSE)</formula>
    </cfRule>
  </conditionalFormatting>
  <conditionalFormatting sqref="B167:D167 F167:G167 I167:P167">
    <cfRule type="expression" dxfId="3060" priority="3026" stopIfTrue="1">
      <formula>IF($A167&lt;&gt;"",IF(B167="",TRUE,FALSE),FALSE)</formula>
    </cfRule>
  </conditionalFormatting>
  <conditionalFormatting sqref="M167">
    <cfRule type="expression" dxfId="3059" priority="3025" stopIfTrue="1">
      <formula>IF($F167="I",TRUE,FALSE)</formula>
    </cfRule>
  </conditionalFormatting>
  <conditionalFormatting sqref="B168:D168 F168:G168 I168:P168">
    <cfRule type="expression" dxfId="3058" priority="3024" stopIfTrue="1">
      <formula>IF($A168&lt;&gt;"",IF(B168="",TRUE,FALSE),FALSE)</formula>
    </cfRule>
  </conditionalFormatting>
  <conditionalFormatting sqref="M168">
    <cfRule type="expression" dxfId="3057" priority="3023" stopIfTrue="1">
      <formula>IF($F168="I",TRUE,FALSE)</formula>
    </cfRule>
  </conditionalFormatting>
  <conditionalFormatting sqref="B169:D169 F169:G169 I169:P169">
    <cfRule type="expression" dxfId="3056" priority="3022" stopIfTrue="1">
      <formula>IF($A169&lt;&gt;"",IF(B169="",TRUE,FALSE),FALSE)</formula>
    </cfRule>
  </conditionalFormatting>
  <conditionalFormatting sqref="M169">
    <cfRule type="expression" dxfId="3055" priority="3021" stopIfTrue="1">
      <formula>IF($F169="I",TRUE,FALSE)</formula>
    </cfRule>
  </conditionalFormatting>
  <conditionalFormatting sqref="B170:D170 F170:G170 I170:P170">
    <cfRule type="expression" dxfId="3054" priority="3020" stopIfTrue="1">
      <formula>IF($A170&lt;&gt;"",IF(B170="",TRUE,FALSE),FALSE)</formula>
    </cfRule>
  </conditionalFormatting>
  <conditionalFormatting sqref="M170">
    <cfRule type="expression" dxfId="3053" priority="3019" stopIfTrue="1">
      <formula>IF($F170="I",TRUE,FALSE)</formula>
    </cfRule>
  </conditionalFormatting>
  <conditionalFormatting sqref="B171:D171 F171:G171 I171:P171">
    <cfRule type="expression" dxfId="3052" priority="3018" stopIfTrue="1">
      <formula>IF($A171&lt;&gt;"",IF(B171="",TRUE,FALSE),FALSE)</formula>
    </cfRule>
  </conditionalFormatting>
  <conditionalFormatting sqref="M171">
    <cfRule type="expression" dxfId="3051" priority="3017" stopIfTrue="1">
      <formula>IF($F171="I",TRUE,FALSE)</formula>
    </cfRule>
  </conditionalFormatting>
  <conditionalFormatting sqref="B172:D172 F172:G172 I172:P172">
    <cfRule type="expression" dxfId="3050" priority="3016" stopIfTrue="1">
      <formula>IF($A172&lt;&gt;"",IF(B172="",TRUE,FALSE),FALSE)</formula>
    </cfRule>
  </conditionalFormatting>
  <conditionalFormatting sqref="M172">
    <cfRule type="expression" dxfId="3049" priority="3015" stopIfTrue="1">
      <formula>IF($F172="I",TRUE,FALSE)</formula>
    </cfRule>
  </conditionalFormatting>
  <conditionalFormatting sqref="B173:D173 F173:G173 I173:P173">
    <cfRule type="expression" dxfId="3048" priority="3014" stopIfTrue="1">
      <formula>IF($A173&lt;&gt;"",IF(B173="",TRUE,FALSE),FALSE)</formula>
    </cfRule>
  </conditionalFormatting>
  <conditionalFormatting sqref="M173">
    <cfRule type="expression" dxfId="3047" priority="3013" stopIfTrue="1">
      <formula>IF($F173="I",TRUE,FALSE)</formula>
    </cfRule>
  </conditionalFormatting>
  <conditionalFormatting sqref="B174:D174 F174:G174 I174:P174">
    <cfRule type="expression" dxfId="3046" priority="3012" stopIfTrue="1">
      <formula>IF($A174&lt;&gt;"",IF(B174="",TRUE,FALSE),FALSE)</formula>
    </cfRule>
  </conditionalFormatting>
  <conditionalFormatting sqref="M174">
    <cfRule type="expression" dxfId="3045" priority="3011" stopIfTrue="1">
      <formula>IF($F174="I",TRUE,FALSE)</formula>
    </cfRule>
  </conditionalFormatting>
  <conditionalFormatting sqref="B175:D175 F175:G175 I175:P175">
    <cfRule type="expression" dxfId="3044" priority="3010" stopIfTrue="1">
      <formula>IF($A175&lt;&gt;"",IF(B175="",TRUE,FALSE),FALSE)</formula>
    </cfRule>
  </conditionalFormatting>
  <conditionalFormatting sqref="M175">
    <cfRule type="expression" dxfId="3043" priority="3009" stopIfTrue="1">
      <formula>IF($F175="I",TRUE,FALSE)</formula>
    </cfRule>
  </conditionalFormatting>
  <conditionalFormatting sqref="B176:D176 F176:G176 I176:P176">
    <cfRule type="expression" dxfId="3042" priority="3008" stopIfTrue="1">
      <formula>IF($A176&lt;&gt;"",IF(B176="",TRUE,FALSE),FALSE)</formula>
    </cfRule>
  </conditionalFormatting>
  <conditionalFormatting sqref="M176">
    <cfRule type="expression" dxfId="3041" priority="3007" stopIfTrue="1">
      <formula>IF($F176="I",TRUE,FALSE)</formula>
    </cfRule>
  </conditionalFormatting>
  <conditionalFormatting sqref="B177:D177 F177:G177 I177:P177">
    <cfRule type="expression" dxfId="3040" priority="3006" stopIfTrue="1">
      <formula>IF($A177&lt;&gt;"",IF(B177="",TRUE,FALSE),FALSE)</formula>
    </cfRule>
  </conditionalFormatting>
  <conditionalFormatting sqref="M177">
    <cfRule type="expression" dxfId="3039" priority="3005" stopIfTrue="1">
      <formula>IF($F177="I",TRUE,FALSE)</formula>
    </cfRule>
  </conditionalFormatting>
  <conditionalFormatting sqref="B178:D178 F178:G178 I178:P178">
    <cfRule type="expression" dxfId="3038" priority="3004" stopIfTrue="1">
      <formula>IF($A178&lt;&gt;"",IF(B178="",TRUE,FALSE),FALSE)</formula>
    </cfRule>
  </conditionalFormatting>
  <conditionalFormatting sqref="M178">
    <cfRule type="expression" dxfId="3037" priority="3003" stopIfTrue="1">
      <formula>IF($F178="I",TRUE,FALSE)</formula>
    </cfRule>
  </conditionalFormatting>
  <conditionalFormatting sqref="B179:D179 F179:G179 I179:P179">
    <cfRule type="expression" dxfId="3036" priority="3002" stopIfTrue="1">
      <formula>IF($A179&lt;&gt;"",IF(B179="",TRUE,FALSE),FALSE)</formula>
    </cfRule>
  </conditionalFormatting>
  <conditionalFormatting sqref="M179">
    <cfRule type="expression" dxfId="3035" priority="3001" stopIfTrue="1">
      <formula>IF($F179="I",TRUE,FALSE)</formula>
    </cfRule>
  </conditionalFormatting>
  <conditionalFormatting sqref="B180:D180 F180:G180 I180:P180">
    <cfRule type="expression" dxfId="3034" priority="3000" stopIfTrue="1">
      <formula>IF($A180&lt;&gt;"",IF(B180="",TRUE,FALSE),FALSE)</formula>
    </cfRule>
  </conditionalFormatting>
  <conditionalFormatting sqref="M180">
    <cfRule type="expression" dxfId="3033" priority="2999" stopIfTrue="1">
      <formula>IF($F180="I",TRUE,FALSE)</formula>
    </cfRule>
  </conditionalFormatting>
  <conditionalFormatting sqref="B181:D181 F181:G181 I181:P181">
    <cfRule type="expression" dxfId="3032" priority="2998" stopIfTrue="1">
      <formula>IF($A181&lt;&gt;"",IF(B181="",TRUE,FALSE),FALSE)</formula>
    </cfRule>
  </conditionalFormatting>
  <conditionalFormatting sqref="M181">
    <cfRule type="expression" dxfId="3031" priority="2997" stopIfTrue="1">
      <formula>IF($F181="I",TRUE,FALSE)</formula>
    </cfRule>
  </conditionalFormatting>
  <conditionalFormatting sqref="B182:D182 F182:G182 I182:P182">
    <cfRule type="expression" dxfId="3030" priority="2996" stopIfTrue="1">
      <formula>IF($A182&lt;&gt;"",IF(B182="",TRUE,FALSE),FALSE)</formula>
    </cfRule>
  </conditionalFormatting>
  <conditionalFormatting sqref="M182">
    <cfRule type="expression" dxfId="3029" priority="2995" stopIfTrue="1">
      <formula>IF($F182="I",TRUE,FALSE)</formula>
    </cfRule>
  </conditionalFormatting>
  <conditionalFormatting sqref="B183:D183 F183:G183 I183:P183">
    <cfRule type="expression" dxfId="3028" priority="2994" stopIfTrue="1">
      <formula>IF($A183&lt;&gt;"",IF(B183="",TRUE,FALSE),FALSE)</formula>
    </cfRule>
  </conditionalFormatting>
  <conditionalFormatting sqref="M183">
    <cfRule type="expression" dxfId="3027" priority="2993" stopIfTrue="1">
      <formula>IF($F183="I",TRUE,FALSE)</formula>
    </cfRule>
  </conditionalFormatting>
  <conditionalFormatting sqref="B184:D184 F184:G184 I184:P184">
    <cfRule type="expression" dxfId="3026" priority="2992" stopIfTrue="1">
      <formula>IF($A184&lt;&gt;"",IF(B184="",TRUE,FALSE),FALSE)</formula>
    </cfRule>
  </conditionalFormatting>
  <conditionalFormatting sqref="M184">
    <cfRule type="expression" dxfId="3025" priority="2991" stopIfTrue="1">
      <formula>IF($F184="I",TRUE,FALSE)</formula>
    </cfRule>
  </conditionalFormatting>
  <conditionalFormatting sqref="B185:D185 F185:G185 I185:P185">
    <cfRule type="expression" dxfId="3024" priority="2990" stopIfTrue="1">
      <formula>IF($A185&lt;&gt;"",IF(B185="",TRUE,FALSE),FALSE)</formula>
    </cfRule>
  </conditionalFormatting>
  <conditionalFormatting sqref="M185">
    <cfRule type="expression" dxfId="3023" priority="2989" stopIfTrue="1">
      <formula>IF($F185="I",TRUE,FALSE)</formula>
    </cfRule>
  </conditionalFormatting>
  <conditionalFormatting sqref="B186:D186 F186:G186 I186:P186">
    <cfRule type="expression" dxfId="3022" priority="2988" stopIfTrue="1">
      <formula>IF($A186&lt;&gt;"",IF(B186="",TRUE,FALSE),FALSE)</formula>
    </cfRule>
  </conditionalFormatting>
  <conditionalFormatting sqref="M186">
    <cfRule type="expression" dxfId="3021" priority="2987" stopIfTrue="1">
      <formula>IF($F186="I",TRUE,FALSE)</formula>
    </cfRule>
  </conditionalFormatting>
  <conditionalFormatting sqref="B187:D187 F187:G187 I187:P187">
    <cfRule type="expression" dxfId="3020" priority="2986" stopIfTrue="1">
      <formula>IF($A187&lt;&gt;"",IF(B187="",TRUE,FALSE),FALSE)</formula>
    </cfRule>
  </conditionalFormatting>
  <conditionalFormatting sqref="M187">
    <cfRule type="expression" dxfId="3019" priority="2985" stopIfTrue="1">
      <formula>IF($F187="I",TRUE,FALSE)</formula>
    </cfRule>
  </conditionalFormatting>
  <conditionalFormatting sqref="B188:D188 F188:G188 I188:P188">
    <cfRule type="expression" dxfId="3018" priority="2984" stopIfTrue="1">
      <formula>IF($A188&lt;&gt;"",IF(B188="",TRUE,FALSE),FALSE)</formula>
    </cfRule>
  </conditionalFormatting>
  <conditionalFormatting sqref="M188">
    <cfRule type="expression" dxfId="3017" priority="2983" stopIfTrue="1">
      <formula>IF($F188="I",TRUE,FALSE)</formula>
    </cfRule>
  </conditionalFormatting>
  <conditionalFormatting sqref="B189:D189 F189:G189 I189:P189">
    <cfRule type="expression" dxfId="3016" priority="2982" stopIfTrue="1">
      <formula>IF($A189&lt;&gt;"",IF(B189="",TRUE,FALSE),FALSE)</formula>
    </cfRule>
  </conditionalFormatting>
  <conditionalFormatting sqref="M189">
    <cfRule type="expression" dxfId="3015" priority="2981" stopIfTrue="1">
      <formula>IF($F189="I",TRUE,FALSE)</formula>
    </cfRule>
  </conditionalFormatting>
  <conditionalFormatting sqref="B190:D190 F190:G190 I190:P190">
    <cfRule type="expression" dxfId="3014" priority="2980" stopIfTrue="1">
      <formula>IF($A190&lt;&gt;"",IF(B190="",TRUE,FALSE),FALSE)</formula>
    </cfRule>
  </conditionalFormatting>
  <conditionalFormatting sqref="M190">
    <cfRule type="expression" dxfId="3013" priority="2979" stopIfTrue="1">
      <formula>IF($F190="I",TRUE,FALSE)</formula>
    </cfRule>
  </conditionalFormatting>
  <conditionalFormatting sqref="B191:D191 F191:G191 I191:P191">
    <cfRule type="expression" dxfId="3012" priority="2978" stopIfTrue="1">
      <formula>IF($A191&lt;&gt;"",IF(B191="",TRUE,FALSE),FALSE)</formula>
    </cfRule>
  </conditionalFormatting>
  <conditionalFormatting sqref="M191">
    <cfRule type="expression" dxfId="3011" priority="2977" stopIfTrue="1">
      <formula>IF($F191="I",TRUE,FALSE)</formula>
    </cfRule>
  </conditionalFormatting>
  <conditionalFormatting sqref="B192:D192 F192:G192 I192:P192">
    <cfRule type="expression" dxfId="3010" priority="2976" stopIfTrue="1">
      <formula>IF($A192&lt;&gt;"",IF(B192="",TRUE,FALSE),FALSE)</formula>
    </cfRule>
  </conditionalFormatting>
  <conditionalFormatting sqref="M192">
    <cfRule type="expression" dxfId="3009" priority="2975" stopIfTrue="1">
      <formula>IF($F192="I",TRUE,FALSE)</formula>
    </cfRule>
  </conditionalFormatting>
  <conditionalFormatting sqref="B193:D193 F193:G193 I193:P193">
    <cfRule type="expression" dxfId="3008" priority="2974" stopIfTrue="1">
      <formula>IF($A193&lt;&gt;"",IF(B193="",TRUE,FALSE),FALSE)</formula>
    </cfRule>
  </conditionalFormatting>
  <conditionalFormatting sqref="M193">
    <cfRule type="expression" dxfId="3007" priority="2973" stopIfTrue="1">
      <formula>IF($F193="I",TRUE,FALSE)</formula>
    </cfRule>
  </conditionalFormatting>
  <conditionalFormatting sqref="B194:D194 F194:G194 I194:P194">
    <cfRule type="expression" dxfId="3006" priority="2972" stopIfTrue="1">
      <formula>IF($A194&lt;&gt;"",IF(B194="",TRUE,FALSE),FALSE)</formula>
    </cfRule>
  </conditionalFormatting>
  <conditionalFormatting sqref="M194">
    <cfRule type="expression" dxfId="3005" priority="2971" stopIfTrue="1">
      <formula>IF($F194="I",TRUE,FALSE)</formula>
    </cfRule>
  </conditionalFormatting>
  <conditionalFormatting sqref="B195:D195 F195:G195 I195:P195">
    <cfRule type="expression" dxfId="3004" priority="2970" stopIfTrue="1">
      <formula>IF($A195&lt;&gt;"",IF(B195="",TRUE,FALSE),FALSE)</formula>
    </cfRule>
  </conditionalFormatting>
  <conditionalFormatting sqref="M195">
    <cfRule type="expression" dxfId="3003" priority="2969" stopIfTrue="1">
      <formula>IF($F195="I",TRUE,FALSE)</formula>
    </cfRule>
  </conditionalFormatting>
  <conditionalFormatting sqref="B196:D196 F196:G196 I196:P196">
    <cfRule type="expression" dxfId="3002" priority="2968" stopIfTrue="1">
      <formula>IF($A196&lt;&gt;"",IF(B196="",TRUE,FALSE),FALSE)</formula>
    </cfRule>
  </conditionalFormatting>
  <conditionalFormatting sqref="M196">
    <cfRule type="expression" dxfId="3001" priority="2967" stopIfTrue="1">
      <formula>IF($F196="I",TRUE,FALSE)</formula>
    </cfRule>
  </conditionalFormatting>
  <conditionalFormatting sqref="B197:D197 F197:G197 I197:P197">
    <cfRule type="expression" dxfId="3000" priority="2966" stopIfTrue="1">
      <formula>IF($A197&lt;&gt;"",IF(B197="",TRUE,FALSE),FALSE)</formula>
    </cfRule>
  </conditionalFormatting>
  <conditionalFormatting sqref="M197">
    <cfRule type="expression" dxfId="2999" priority="2965" stopIfTrue="1">
      <formula>IF($F197="I",TRUE,FALSE)</formula>
    </cfRule>
  </conditionalFormatting>
  <conditionalFormatting sqref="B198:D198 F198:G198 I198:P198">
    <cfRule type="expression" dxfId="2998" priority="2964" stopIfTrue="1">
      <formula>IF($A198&lt;&gt;"",IF(B198="",TRUE,FALSE),FALSE)</formula>
    </cfRule>
  </conditionalFormatting>
  <conditionalFormatting sqref="M198">
    <cfRule type="expression" dxfId="2997" priority="2963" stopIfTrue="1">
      <formula>IF($F198="I",TRUE,FALSE)</formula>
    </cfRule>
  </conditionalFormatting>
  <conditionalFormatting sqref="B199:D199 F199:G199 I199:P199">
    <cfRule type="expression" dxfId="2996" priority="2962" stopIfTrue="1">
      <formula>IF($A199&lt;&gt;"",IF(B199="",TRUE,FALSE),FALSE)</formula>
    </cfRule>
  </conditionalFormatting>
  <conditionalFormatting sqref="M199">
    <cfRule type="expression" dxfId="2995" priority="2961" stopIfTrue="1">
      <formula>IF($F199="I",TRUE,FALSE)</formula>
    </cfRule>
  </conditionalFormatting>
  <conditionalFormatting sqref="B200:D200 F200:G200 I200:P200">
    <cfRule type="expression" dxfId="2994" priority="2960" stopIfTrue="1">
      <formula>IF($A200&lt;&gt;"",IF(B200="",TRUE,FALSE),FALSE)</formula>
    </cfRule>
  </conditionalFormatting>
  <conditionalFormatting sqref="M200">
    <cfRule type="expression" dxfId="2993" priority="2959" stopIfTrue="1">
      <formula>IF($F200="I",TRUE,FALSE)</formula>
    </cfRule>
  </conditionalFormatting>
  <conditionalFormatting sqref="B201:D201 F201:G201 I201:P201">
    <cfRule type="expression" dxfId="2992" priority="2958" stopIfTrue="1">
      <formula>IF($A201&lt;&gt;"",IF(B201="",TRUE,FALSE),FALSE)</formula>
    </cfRule>
  </conditionalFormatting>
  <conditionalFormatting sqref="M201">
    <cfRule type="expression" dxfId="2991" priority="2957" stopIfTrue="1">
      <formula>IF($F201="I",TRUE,FALSE)</formula>
    </cfRule>
  </conditionalFormatting>
  <conditionalFormatting sqref="B202:D202 F202:G202 I202:P202">
    <cfRule type="expression" dxfId="2990" priority="2956" stopIfTrue="1">
      <formula>IF($A202&lt;&gt;"",IF(B202="",TRUE,FALSE),FALSE)</formula>
    </cfRule>
  </conditionalFormatting>
  <conditionalFormatting sqref="M202">
    <cfRule type="expression" dxfId="2989" priority="2955" stopIfTrue="1">
      <formula>IF($F202="I",TRUE,FALSE)</formula>
    </cfRule>
  </conditionalFormatting>
  <conditionalFormatting sqref="B203:D203 F203:G203 I203:P203">
    <cfRule type="expression" dxfId="2988" priority="2954" stopIfTrue="1">
      <formula>IF($A203&lt;&gt;"",IF(B203="",TRUE,FALSE),FALSE)</formula>
    </cfRule>
  </conditionalFormatting>
  <conditionalFormatting sqref="M203">
    <cfRule type="expression" dxfId="2987" priority="2953" stopIfTrue="1">
      <formula>IF($F203="I",TRUE,FALSE)</formula>
    </cfRule>
  </conditionalFormatting>
  <conditionalFormatting sqref="B204:D204 F204:G204 I204:P204">
    <cfRule type="expression" dxfId="2986" priority="2952" stopIfTrue="1">
      <formula>IF($A204&lt;&gt;"",IF(B204="",TRUE,FALSE),FALSE)</formula>
    </cfRule>
  </conditionalFormatting>
  <conditionalFormatting sqref="M204">
    <cfRule type="expression" dxfId="2985" priority="2951" stopIfTrue="1">
      <formula>IF($F204="I",TRUE,FALSE)</formula>
    </cfRule>
  </conditionalFormatting>
  <conditionalFormatting sqref="B205:D205 F205:G205 I205:P205">
    <cfRule type="expression" dxfId="2984" priority="2950" stopIfTrue="1">
      <formula>IF($A205&lt;&gt;"",IF(B205="",TRUE,FALSE),FALSE)</formula>
    </cfRule>
  </conditionalFormatting>
  <conditionalFormatting sqref="M205">
    <cfRule type="expression" dxfId="2983" priority="2949" stopIfTrue="1">
      <formula>IF($F205="I",TRUE,FALSE)</formula>
    </cfRule>
  </conditionalFormatting>
  <conditionalFormatting sqref="B206:D206 F206:G206 I206:P206">
    <cfRule type="expression" dxfId="2982" priority="2948" stopIfTrue="1">
      <formula>IF($A206&lt;&gt;"",IF(B206="",TRUE,FALSE),FALSE)</formula>
    </cfRule>
  </conditionalFormatting>
  <conditionalFormatting sqref="M206">
    <cfRule type="expression" dxfId="2981" priority="2947" stopIfTrue="1">
      <formula>IF($F206="I",TRUE,FALSE)</formula>
    </cfRule>
  </conditionalFormatting>
  <conditionalFormatting sqref="B207:D207 F207:G207 I207:P207">
    <cfRule type="expression" dxfId="2980" priority="2946" stopIfTrue="1">
      <formula>IF($A207&lt;&gt;"",IF(B207="",TRUE,FALSE),FALSE)</formula>
    </cfRule>
  </conditionalFormatting>
  <conditionalFormatting sqref="M207">
    <cfRule type="expression" dxfId="2979" priority="2945" stopIfTrue="1">
      <formula>IF($F207="I",TRUE,FALSE)</formula>
    </cfRule>
  </conditionalFormatting>
  <conditionalFormatting sqref="B208:D208 F208:G208 I208:P208">
    <cfRule type="expression" dxfId="2978" priority="2944" stopIfTrue="1">
      <formula>IF($A208&lt;&gt;"",IF(B208="",TRUE,FALSE),FALSE)</formula>
    </cfRule>
  </conditionalFormatting>
  <conditionalFormatting sqref="M208">
    <cfRule type="expression" dxfId="2977" priority="2943" stopIfTrue="1">
      <formula>IF($F208="I",TRUE,FALSE)</formula>
    </cfRule>
  </conditionalFormatting>
  <conditionalFormatting sqref="B209:D209 F209:G209 I209:P209">
    <cfRule type="expression" dxfId="2976" priority="2942" stopIfTrue="1">
      <formula>IF($A209&lt;&gt;"",IF(B209="",TRUE,FALSE),FALSE)</formula>
    </cfRule>
  </conditionalFormatting>
  <conditionalFormatting sqref="M209">
    <cfRule type="expression" dxfId="2975" priority="2941" stopIfTrue="1">
      <formula>IF($F209="I",TRUE,FALSE)</formula>
    </cfRule>
  </conditionalFormatting>
  <conditionalFormatting sqref="B210:D210 F210:G210 I210:P210">
    <cfRule type="expression" dxfId="2974" priority="2940" stopIfTrue="1">
      <formula>IF($A210&lt;&gt;"",IF(B210="",TRUE,FALSE),FALSE)</formula>
    </cfRule>
  </conditionalFormatting>
  <conditionalFormatting sqref="M210">
    <cfRule type="expression" dxfId="2973" priority="2939" stopIfTrue="1">
      <formula>IF($F210="I",TRUE,FALSE)</formula>
    </cfRule>
  </conditionalFormatting>
  <conditionalFormatting sqref="B211:D211 F211:G211 I211:P211">
    <cfRule type="expression" dxfId="2972" priority="2938" stopIfTrue="1">
      <formula>IF($A211&lt;&gt;"",IF(B211="",TRUE,FALSE),FALSE)</formula>
    </cfRule>
  </conditionalFormatting>
  <conditionalFormatting sqref="M211">
    <cfRule type="expression" dxfId="2971" priority="2937" stopIfTrue="1">
      <formula>IF($F211="I",TRUE,FALSE)</formula>
    </cfRule>
  </conditionalFormatting>
  <conditionalFormatting sqref="B212:D212 F212:G212 I212:P212">
    <cfRule type="expression" dxfId="2970" priority="2936" stopIfTrue="1">
      <formula>IF($A212&lt;&gt;"",IF(B212="",TRUE,FALSE),FALSE)</formula>
    </cfRule>
  </conditionalFormatting>
  <conditionalFormatting sqref="M212">
    <cfRule type="expression" dxfId="2969" priority="2935" stopIfTrue="1">
      <formula>IF($F212="I",TRUE,FALSE)</formula>
    </cfRule>
  </conditionalFormatting>
  <conditionalFormatting sqref="B213:D213 F213:G213 I213:P213">
    <cfRule type="expression" dxfId="2968" priority="2934" stopIfTrue="1">
      <formula>IF($A213&lt;&gt;"",IF(B213="",TRUE,FALSE),FALSE)</formula>
    </cfRule>
  </conditionalFormatting>
  <conditionalFormatting sqref="M213">
    <cfRule type="expression" dxfId="2967" priority="2933" stopIfTrue="1">
      <formula>IF($F213="I",TRUE,FALSE)</formula>
    </cfRule>
  </conditionalFormatting>
  <conditionalFormatting sqref="B214:D214 F214:G214 I214:P214">
    <cfRule type="expression" dxfId="2966" priority="2932" stopIfTrue="1">
      <formula>IF($A214&lt;&gt;"",IF(B214="",TRUE,FALSE),FALSE)</formula>
    </cfRule>
  </conditionalFormatting>
  <conditionalFormatting sqref="M214">
    <cfRule type="expression" dxfId="2965" priority="2931" stopIfTrue="1">
      <formula>IF($F214="I",TRUE,FALSE)</formula>
    </cfRule>
  </conditionalFormatting>
  <conditionalFormatting sqref="B215:D215 F215:G215 I215:P215">
    <cfRule type="expression" dxfId="2964" priority="2930" stopIfTrue="1">
      <formula>IF($A215&lt;&gt;"",IF(B215="",TRUE,FALSE),FALSE)</formula>
    </cfRule>
  </conditionalFormatting>
  <conditionalFormatting sqref="M215">
    <cfRule type="expression" dxfId="2963" priority="2929" stopIfTrue="1">
      <formula>IF($F215="I",TRUE,FALSE)</formula>
    </cfRule>
  </conditionalFormatting>
  <conditionalFormatting sqref="B216:D216 F216:G216 I216:P216">
    <cfRule type="expression" dxfId="2962" priority="2928" stopIfTrue="1">
      <formula>IF($A216&lt;&gt;"",IF(B216="",TRUE,FALSE),FALSE)</formula>
    </cfRule>
  </conditionalFormatting>
  <conditionalFormatting sqref="M216">
    <cfRule type="expression" dxfId="2961" priority="2927" stopIfTrue="1">
      <formula>IF($F216="I",TRUE,FALSE)</formula>
    </cfRule>
  </conditionalFormatting>
  <conditionalFormatting sqref="B217:D217 F217:G217 I217:P217">
    <cfRule type="expression" dxfId="2960" priority="2926" stopIfTrue="1">
      <formula>IF($A217&lt;&gt;"",IF(B217="",TRUE,FALSE),FALSE)</formula>
    </cfRule>
  </conditionalFormatting>
  <conditionalFormatting sqref="M217">
    <cfRule type="expression" dxfId="2959" priority="2925" stopIfTrue="1">
      <formula>IF($F217="I",TRUE,FALSE)</formula>
    </cfRule>
  </conditionalFormatting>
  <conditionalFormatting sqref="B218:D218 F218:G218 I218:P218">
    <cfRule type="expression" dxfId="2958" priority="2924" stopIfTrue="1">
      <formula>IF($A218&lt;&gt;"",IF(B218="",TRUE,FALSE),FALSE)</formula>
    </cfRule>
  </conditionalFormatting>
  <conditionalFormatting sqref="M218">
    <cfRule type="expression" dxfId="2957" priority="2923" stopIfTrue="1">
      <formula>IF($F218="I",TRUE,FALSE)</formula>
    </cfRule>
  </conditionalFormatting>
  <conditionalFormatting sqref="B219:D219 F219:G219 I219:P219">
    <cfRule type="expression" dxfId="2956" priority="2922" stopIfTrue="1">
      <formula>IF($A219&lt;&gt;"",IF(B219="",TRUE,FALSE),FALSE)</formula>
    </cfRule>
  </conditionalFormatting>
  <conditionalFormatting sqref="M219">
    <cfRule type="expression" dxfId="2955" priority="2921" stopIfTrue="1">
      <formula>IF($F219="I",TRUE,FALSE)</formula>
    </cfRule>
  </conditionalFormatting>
  <conditionalFormatting sqref="B220:D220 F220:G220 I220:P220">
    <cfRule type="expression" dxfId="2954" priority="2920" stopIfTrue="1">
      <formula>IF($A220&lt;&gt;"",IF(B220="",TRUE,FALSE),FALSE)</formula>
    </cfRule>
  </conditionalFormatting>
  <conditionalFormatting sqref="M220">
    <cfRule type="expression" dxfId="2953" priority="2919" stopIfTrue="1">
      <formula>IF($F220="I",TRUE,FALSE)</formula>
    </cfRule>
  </conditionalFormatting>
  <conditionalFormatting sqref="B221:D221 F221:G221 I221:P221">
    <cfRule type="expression" dxfId="2952" priority="2918" stopIfTrue="1">
      <formula>IF($A221&lt;&gt;"",IF(B221="",TRUE,FALSE),FALSE)</formula>
    </cfRule>
  </conditionalFormatting>
  <conditionalFormatting sqref="M221">
    <cfRule type="expression" dxfId="2951" priority="2917" stopIfTrue="1">
      <formula>IF($F221="I",TRUE,FALSE)</formula>
    </cfRule>
  </conditionalFormatting>
  <conditionalFormatting sqref="B222:D222 F222:G222 I222:P222">
    <cfRule type="expression" dxfId="2950" priority="2916" stopIfTrue="1">
      <formula>IF($A222&lt;&gt;"",IF(B222="",TRUE,FALSE),FALSE)</formula>
    </cfRule>
  </conditionalFormatting>
  <conditionalFormatting sqref="M222">
    <cfRule type="expression" dxfId="2949" priority="2915" stopIfTrue="1">
      <formula>IF($F222="I",TRUE,FALSE)</formula>
    </cfRule>
  </conditionalFormatting>
  <conditionalFormatting sqref="B223:D223 F223:G223 I223:P223">
    <cfRule type="expression" dxfId="2948" priority="2914" stopIfTrue="1">
      <formula>IF($A223&lt;&gt;"",IF(B223="",TRUE,FALSE),FALSE)</formula>
    </cfRule>
  </conditionalFormatting>
  <conditionalFormatting sqref="M223">
    <cfRule type="expression" dxfId="2947" priority="2913" stopIfTrue="1">
      <formula>IF($F223="I",TRUE,FALSE)</formula>
    </cfRule>
  </conditionalFormatting>
  <conditionalFormatting sqref="B224:D224 F224:G224 I224:P224">
    <cfRule type="expression" dxfId="2946" priority="2912" stopIfTrue="1">
      <formula>IF($A224&lt;&gt;"",IF(B224="",TRUE,FALSE),FALSE)</formula>
    </cfRule>
  </conditionalFormatting>
  <conditionalFormatting sqref="M224">
    <cfRule type="expression" dxfId="2945" priority="2911" stopIfTrue="1">
      <formula>IF($F224="I",TRUE,FALSE)</formula>
    </cfRule>
  </conditionalFormatting>
  <conditionalFormatting sqref="B225:D225 F225:G225 I225:P225">
    <cfRule type="expression" dxfId="2944" priority="2910" stopIfTrue="1">
      <formula>IF($A225&lt;&gt;"",IF(B225="",TRUE,FALSE),FALSE)</formula>
    </cfRule>
  </conditionalFormatting>
  <conditionalFormatting sqref="M225">
    <cfRule type="expression" dxfId="2943" priority="2909" stopIfTrue="1">
      <formula>IF($F225="I",TRUE,FALSE)</formula>
    </cfRule>
  </conditionalFormatting>
  <conditionalFormatting sqref="B226:D226 F226:G226 I226:P226">
    <cfRule type="expression" dxfId="2942" priority="2908" stopIfTrue="1">
      <formula>IF($A226&lt;&gt;"",IF(B226="",TRUE,FALSE),FALSE)</formula>
    </cfRule>
  </conditionalFormatting>
  <conditionalFormatting sqref="M226">
    <cfRule type="expression" dxfId="2941" priority="2907" stopIfTrue="1">
      <formula>IF($F226="I",TRUE,FALSE)</formula>
    </cfRule>
  </conditionalFormatting>
  <conditionalFormatting sqref="B227:D227 F227:G227 I227:P227">
    <cfRule type="expression" dxfId="2940" priority="2906" stopIfTrue="1">
      <formula>IF($A227&lt;&gt;"",IF(B227="",TRUE,FALSE),FALSE)</formula>
    </cfRule>
  </conditionalFormatting>
  <conditionalFormatting sqref="M227">
    <cfRule type="expression" dxfId="2939" priority="2905" stopIfTrue="1">
      <formula>IF($F227="I",TRUE,FALSE)</formula>
    </cfRule>
  </conditionalFormatting>
  <conditionalFormatting sqref="B228:D228 F228:G228 I228:P228">
    <cfRule type="expression" dxfId="2938" priority="2904" stopIfTrue="1">
      <formula>IF($A228&lt;&gt;"",IF(B228="",TRUE,FALSE),FALSE)</formula>
    </cfRule>
  </conditionalFormatting>
  <conditionalFormatting sqref="M228">
    <cfRule type="expression" dxfId="2937" priority="2903" stopIfTrue="1">
      <formula>IF($F228="I",TRUE,FALSE)</formula>
    </cfRule>
  </conditionalFormatting>
  <conditionalFormatting sqref="B229:D229 F229:G229 I229:P229">
    <cfRule type="expression" dxfId="2936" priority="2902" stopIfTrue="1">
      <formula>IF($A229&lt;&gt;"",IF(B229="",TRUE,FALSE),FALSE)</formula>
    </cfRule>
  </conditionalFormatting>
  <conditionalFormatting sqref="M229">
    <cfRule type="expression" dxfId="2935" priority="2901" stopIfTrue="1">
      <formula>IF($F229="I",TRUE,FALSE)</formula>
    </cfRule>
  </conditionalFormatting>
  <conditionalFormatting sqref="B230:D230 F230:G230 I230:P230">
    <cfRule type="expression" dxfId="2934" priority="2900" stopIfTrue="1">
      <formula>IF($A230&lt;&gt;"",IF(B230="",TRUE,FALSE),FALSE)</formula>
    </cfRule>
  </conditionalFormatting>
  <conditionalFormatting sqref="M230">
    <cfRule type="expression" dxfId="2933" priority="2899" stopIfTrue="1">
      <formula>IF($F230="I",TRUE,FALSE)</formula>
    </cfRule>
  </conditionalFormatting>
  <conditionalFormatting sqref="B231:D231 F231:G231 I231:P231">
    <cfRule type="expression" dxfId="2932" priority="2898" stopIfTrue="1">
      <formula>IF($A231&lt;&gt;"",IF(B231="",TRUE,FALSE),FALSE)</formula>
    </cfRule>
  </conditionalFormatting>
  <conditionalFormatting sqref="M231">
    <cfRule type="expression" dxfId="2931" priority="2897" stopIfTrue="1">
      <formula>IF($F231="I",TRUE,FALSE)</formula>
    </cfRule>
  </conditionalFormatting>
  <conditionalFormatting sqref="B232:D232 F232:G232 I232:P232">
    <cfRule type="expression" dxfId="2930" priority="2896" stopIfTrue="1">
      <formula>IF($A232&lt;&gt;"",IF(B232="",TRUE,FALSE),FALSE)</formula>
    </cfRule>
  </conditionalFormatting>
  <conditionalFormatting sqref="M232">
    <cfRule type="expression" dxfId="2929" priority="2895" stopIfTrue="1">
      <formula>IF($F232="I",TRUE,FALSE)</formula>
    </cfRule>
  </conditionalFormatting>
  <conditionalFormatting sqref="B233:D233 F233:G233 I233:P233">
    <cfRule type="expression" dxfId="2928" priority="2894" stopIfTrue="1">
      <formula>IF($A233&lt;&gt;"",IF(B233="",TRUE,FALSE),FALSE)</formula>
    </cfRule>
  </conditionalFormatting>
  <conditionalFormatting sqref="M233">
    <cfRule type="expression" dxfId="2927" priority="2893" stopIfTrue="1">
      <formula>IF($F233="I",TRUE,FALSE)</formula>
    </cfRule>
  </conditionalFormatting>
  <conditionalFormatting sqref="B234:D234 F234:G234 I234:P234">
    <cfRule type="expression" dxfId="2926" priority="2892" stopIfTrue="1">
      <formula>IF($A234&lt;&gt;"",IF(B234="",TRUE,FALSE),FALSE)</formula>
    </cfRule>
  </conditionalFormatting>
  <conditionalFormatting sqref="M234">
    <cfRule type="expression" dxfId="2925" priority="2891" stopIfTrue="1">
      <formula>IF($F234="I",TRUE,FALSE)</formula>
    </cfRule>
  </conditionalFormatting>
  <conditionalFormatting sqref="B235:D235 F235:G235 I235:P235">
    <cfRule type="expression" dxfId="2924" priority="2890" stopIfTrue="1">
      <formula>IF($A235&lt;&gt;"",IF(B235="",TRUE,FALSE),FALSE)</formula>
    </cfRule>
  </conditionalFormatting>
  <conditionalFormatting sqref="M235">
    <cfRule type="expression" dxfId="2923" priority="2889" stopIfTrue="1">
      <formula>IF($F235="I",TRUE,FALSE)</formula>
    </cfRule>
  </conditionalFormatting>
  <conditionalFormatting sqref="B236:D236 F236:G236 I236:P236">
    <cfRule type="expression" dxfId="2922" priority="2888" stopIfTrue="1">
      <formula>IF($A236&lt;&gt;"",IF(B236="",TRUE,FALSE),FALSE)</formula>
    </cfRule>
  </conditionalFormatting>
  <conditionalFormatting sqref="M236">
    <cfRule type="expression" dxfId="2921" priority="2887" stopIfTrue="1">
      <formula>IF($F236="I",TRUE,FALSE)</formula>
    </cfRule>
  </conditionalFormatting>
  <conditionalFormatting sqref="B237:D237 F237:G237 I237:P237">
    <cfRule type="expression" dxfId="2920" priority="2886" stopIfTrue="1">
      <formula>IF($A237&lt;&gt;"",IF(B237="",TRUE,FALSE),FALSE)</formula>
    </cfRule>
  </conditionalFormatting>
  <conditionalFormatting sqref="M237">
    <cfRule type="expression" dxfId="2919" priority="2885" stopIfTrue="1">
      <formula>IF($F237="I",TRUE,FALSE)</formula>
    </cfRule>
  </conditionalFormatting>
  <conditionalFormatting sqref="B238:D238 F238:G238 I238:P238">
    <cfRule type="expression" dxfId="2918" priority="2884" stopIfTrue="1">
      <formula>IF($A238&lt;&gt;"",IF(B238="",TRUE,FALSE),FALSE)</formula>
    </cfRule>
  </conditionalFormatting>
  <conditionalFormatting sqref="M238">
    <cfRule type="expression" dxfId="2917" priority="2883" stopIfTrue="1">
      <formula>IF($F238="I",TRUE,FALSE)</formula>
    </cfRule>
  </conditionalFormatting>
  <conditionalFormatting sqref="B239:D239 F239:G239 I239:P239">
    <cfRule type="expression" dxfId="2916" priority="2882" stopIfTrue="1">
      <formula>IF($A239&lt;&gt;"",IF(B239="",TRUE,FALSE),FALSE)</formula>
    </cfRule>
  </conditionalFormatting>
  <conditionalFormatting sqref="M239">
    <cfRule type="expression" dxfId="2915" priority="2881" stopIfTrue="1">
      <formula>IF($F239="I",TRUE,FALSE)</formula>
    </cfRule>
  </conditionalFormatting>
  <conditionalFormatting sqref="B240:D240 F240:G240 I240:P240">
    <cfRule type="expression" dxfId="2914" priority="2880" stopIfTrue="1">
      <formula>IF($A240&lt;&gt;"",IF(B240="",TRUE,FALSE),FALSE)</formula>
    </cfRule>
  </conditionalFormatting>
  <conditionalFormatting sqref="M240">
    <cfRule type="expression" dxfId="2913" priority="2879" stopIfTrue="1">
      <formula>IF($F240="I",TRUE,FALSE)</formula>
    </cfRule>
  </conditionalFormatting>
  <conditionalFormatting sqref="B241:D241 F241:G241 I241:P241">
    <cfRule type="expression" dxfId="2912" priority="2878" stopIfTrue="1">
      <formula>IF($A241&lt;&gt;"",IF(B241="",TRUE,FALSE),FALSE)</formula>
    </cfRule>
  </conditionalFormatting>
  <conditionalFormatting sqref="M241">
    <cfRule type="expression" dxfId="2911" priority="2877" stopIfTrue="1">
      <formula>IF($F241="I",TRUE,FALSE)</formula>
    </cfRule>
  </conditionalFormatting>
  <conditionalFormatting sqref="B242:D242 F242:G242 I242:P242">
    <cfRule type="expression" dxfId="2910" priority="2876" stopIfTrue="1">
      <formula>IF($A242&lt;&gt;"",IF(B242="",TRUE,FALSE),FALSE)</formula>
    </cfRule>
  </conditionalFormatting>
  <conditionalFormatting sqref="M242">
    <cfRule type="expression" dxfId="2909" priority="2875" stopIfTrue="1">
      <formula>IF($F242="I",TRUE,FALSE)</formula>
    </cfRule>
  </conditionalFormatting>
  <conditionalFormatting sqref="B243:D243 F243:G243 I243:P243">
    <cfRule type="expression" dxfId="2908" priority="2874" stopIfTrue="1">
      <formula>IF($A243&lt;&gt;"",IF(B243="",TRUE,FALSE),FALSE)</formula>
    </cfRule>
  </conditionalFormatting>
  <conditionalFormatting sqref="M243">
    <cfRule type="expression" dxfId="2907" priority="2873" stopIfTrue="1">
      <formula>IF($F243="I",TRUE,FALSE)</formula>
    </cfRule>
  </conditionalFormatting>
  <conditionalFormatting sqref="B244:D244 F244:G244 I244:P244">
    <cfRule type="expression" dxfId="2906" priority="2872" stopIfTrue="1">
      <formula>IF($A244&lt;&gt;"",IF(B244="",TRUE,FALSE),FALSE)</formula>
    </cfRule>
  </conditionalFormatting>
  <conditionalFormatting sqref="M244">
    <cfRule type="expression" dxfId="2905" priority="2871" stopIfTrue="1">
      <formula>IF($F244="I",TRUE,FALSE)</formula>
    </cfRule>
  </conditionalFormatting>
  <conditionalFormatting sqref="B245:D245 F245:G245 I245:P245">
    <cfRule type="expression" dxfId="2904" priority="2870" stopIfTrue="1">
      <formula>IF($A245&lt;&gt;"",IF(B245="",TRUE,FALSE),FALSE)</formula>
    </cfRule>
  </conditionalFormatting>
  <conditionalFormatting sqref="M245">
    <cfRule type="expression" dxfId="2903" priority="2869" stopIfTrue="1">
      <formula>IF($F245="I",TRUE,FALSE)</formula>
    </cfRule>
  </conditionalFormatting>
  <conditionalFormatting sqref="B246:D246 F246:G246 I246:P246">
    <cfRule type="expression" dxfId="2902" priority="2868" stopIfTrue="1">
      <formula>IF($A246&lt;&gt;"",IF(B246="",TRUE,FALSE),FALSE)</formula>
    </cfRule>
  </conditionalFormatting>
  <conditionalFormatting sqref="M246">
    <cfRule type="expression" dxfId="2901" priority="2867" stopIfTrue="1">
      <formula>IF($F246="I",TRUE,FALSE)</formula>
    </cfRule>
  </conditionalFormatting>
  <conditionalFormatting sqref="B247:D247 F247:G247 I247:P247">
    <cfRule type="expression" dxfId="2900" priority="2866" stopIfTrue="1">
      <formula>IF($A247&lt;&gt;"",IF(B247="",TRUE,FALSE),FALSE)</formula>
    </cfRule>
  </conditionalFormatting>
  <conditionalFormatting sqref="M247">
    <cfRule type="expression" dxfId="2899" priority="2865" stopIfTrue="1">
      <formula>IF($F247="I",TRUE,FALSE)</formula>
    </cfRule>
  </conditionalFormatting>
  <conditionalFormatting sqref="B248:D248 F248:G248 I248:P248">
    <cfRule type="expression" dxfId="2898" priority="2864" stopIfTrue="1">
      <formula>IF($A248&lt;&gt;"",IF(B248="",TRUE,FALSE),FALSE)</formula>
    </cfRule>
  </conditionalFormatting>
  <conditionalFormatting sqref="M248">
    <cfRule type="expression" dxfId="2897" priority="2863" stopIfTrue="1">
      <formula>IF($F248="I",TRUE,FALSE)</formula>
    </cfRule>
  </conditionalFormatting>
  <conditionalFormatting sqref="B249:D249 F249:G249 I249:P249">
    <cfRule type="expression" dxfId="2896" priority="2862" stopIfTrue="1">
      <formula>IF($A249&lt;&gt;"",IF(B249="",TRUE,FALSE),FALSE)</formula>
    </cfRule>
  </conditionalFormatting>
  <conditionalFormatting sqref="M249">
    <cfRule type="expression" dxfId="2895" priority="2861" stopIfTrue="1">
      <formula>IF($F249="I",TRUE,FALSE)</formula>
    </cfRule>
  </conditionalFormatting>
  <conditionalFormatting sqref="B250:D250 F250:G250 I250:P250">
    <cfRule type="expression" dxfId="2894" priority="2860" stopIfTrue="1">
      <formula>IF($A250&lt;&gt;"",IF(B250="",TRUE,FALSE),FALSE)</formula>
    </cfRule>
  </conditionalFormatting>
  <conditionalFormatting sqref="M250">
    <cfRule type="expression" dxfId="2893" priority="2859" stopIfTrue="1">
      <formula>IF($F250="I",TRUE,FALSE)</formula>
    </cfRule>
  </conditionalFormatting>
  <conditionalFormatting sqref="B251:D251 F251:G251 I251:P251">
    <cfRule type="expression" dxfId="2892" priority="2858" stopIfTrue="1">
      <formula>IF($A251&lt;&gt;"",IF(B251="",TRUE,FALSE),FALSE)</formula>
    </cfRule>
  </conditionalFormatting>
  <conditionalFormatting sqref="M251">
    <cfRule type="expression" dxfId="2891" priority="2857" stopIfTrue="1">
      <formula>IF($F251="I",TRUE,FALSE)</formula>
    </cfRule>
  </conditionalFormatting>
  <conditionalFormatting sqref="B252:D252 F252:G252 I252:P252">
    <cfRule type="expression" dxfId="2890" priority="2856" stopIfTrue="1">
      <formula>IF($A252&lt;&gt;"",IF(B252="",TRUE,FALSE),FALSE)</formula>
    </cfRule>
  </conditionalFormatting>
  <conditionalFormatting sqref="M252">
    <cfRule type="expression" dxfId="2889" priority="2855" stopIfTrue="1">
      <formula>IF($F252="I",TRUE,FALSE)</formula>
    </cfRule>
  </conditionalFormatting>
  <conditionalFormatting sqref="B253:D253 F253:G253 I253:P253">
    <cfRule type="expression" dxfId="2888" priority="2854" stopIfTrue="1">
      <formula>IF($A253&lt;&gt;"",IF(B253="",TRUE,FALSE),FALSE)</formula>
    </cfRule>
  </conditionalFormatting>
  <conditionalFormatting sqref="M253">
    <cfRule type="expression" dxfId="2887" priority="2853" stopIfTrue="1">
      <formula>IF($F253="I",TRUE,FALSE)</formula>
    </cfRule>
  </conditionalFormatting>
  <conditionalFormatting sqref="B254:D254 F254:G254 I254:P254">
    <cfRule type="expression" dxfId="2886" priority="2852" stopIfTrue="1">
      <formula>IF($A254&lt;&gt;"",IF(B254="",TRUE,FALSE),FALSE)</formula>
    </cfRule>
  </conditionalFormatting>
  <conditionalFormatting sqref="M254">
    <cfRule type="expression" dxfId="2885" priority="2851" stopIfTrue="1">
      <formula>IF($F254="I",TRUE,FALSE)</formula>
    </cfRule>
  </conditionalFormatting>
  <conditionalFormatting sqref="B255:D255 F255:G255 I255:P255">
    <cfRule type="expression" dxfId="2884" priority="2850" stopIfTrue="1">
      <formula>IF($A255&lt;&gt;"",IF(B255="",TRUE,FALSE),FALSE)</formula>
    </cfRule>
  </conditionalFormatting>
  <conditionalFormatting sqref="M255">
    <cfRule type="expression" dxfId="2883" priority="2849" stopIfTrue="1">
      <formula>IF($F255="I",TRUE,FALSE)</formula>
    </cfRule>
  </conditionalFormatting>
  <conditionalFormatting sqref="B256:D256 F256:G256 I256:P256">
    <cfRule type="expression" dxfId="2882" priority="2848" stopIfTrue="1">
      <formula>IF($A256&lt;&gt;"",IF(B256="",TRUE,FALSE),FALSE)</formula>
    </cfRule>
  </conditionalFormatting>
  <conditionalFormatting sqref="M256">
    <cfRule type="expression" dxfId="2881" priority="2847" stopIfTrue="1">
      <formula>IF($F256="I",TRUE,FALSE)</formula>
    </cfRule>
  </conditionalFormatting>
  <conditionalFormatting sqref="B257:D257 F257:G257 I257:P257">
    <cfRule type="expression" dxfId="2880" priority="2846" stopIfTrue="1">
      <formula>IF($A257&lt;&gt;"",IF(B257="",TRUE,FALSE),FALSE)</formula>
    </cfRule>
  </conditionalFormatting>
  <conditionalFormatting sqref="M257">
    <cfRule type="expression" dxfId="2879" priority="2845" stopIfTrue="1">
      <formula>IF($F257="I",TRUE,FALSE)</formula>
    </cfRule>
  </conditionalFormatting>
  <conditionalFormatting sqref="B258:D258 F258:G258 I258:P258">
    <cfRule type="expression" dxfId="2878" priority="2844" stopIfTrue="1">
      <formula>IF($A258&lt;&gt;"",IF(B258="",TRUE,FALSE),FALSE)</formula>
    </cfRule>
  </conditionalFormatting>
  <conditionalFormatting sqref="M258">
    <cfRule type="expression" dxfId="2877" priority="2843" stopIfTrue="1">
      <formula>IF($F258="I",TRUE,FALSE)</formula>
    </cfRule>
  </conditionalFormatting>
  <conditionalFormatting sqref="B259:D259 F259:G259 I259:P259">
    <cfRule type="expression" dxfId="2876" priority="2842" stopIfTrue="1">
      <formula>IF($A259&lt;&gt;"",IF(B259="",TRUE,FALSE),FALSE)</formula>
    </cfRule>
  </conditionalFormatting>
  <conditionalFormatting sqref="M259">
    <cfRule type="expression" dxfId="2875" priority="2841" stopIfTrue="1">
      <formula>IF($F259="I",TRUE,FALSE)</formula>
    </cfRule>
  </conditionalFormatting>
  <conditionalFormatting sqref="B260:D260 F260:G260 I260:P260">
    <cfRule type="expression" dxfId="2874" priority="2840" stopIfTrue="1">
      <formula>IF($A260&lt;&gt;"",IF(B260="",TRUE,FALSE),FALSE)</formula>
    </cfRule>
  </conditionalFormatting>
  <conditionalFormatting sqref="M260">
    <cfRule type="expression" dxfId="2873" priority="2839" stopIfTrue="1">
      <formula>IF($F260="I",TRUE,FALSE)</formula>
    </cfRule>
  </conditionalFormatting>
  <conditionalFormatting sqref="B261:D261 F261:G261 I261:P261">
    <cfRule type="expression" dxfId="2872" priority="2838" stopIfTrue="1">
      <formula>IF($A261&lt;&gt;"",IF(B261="",TRUE,FALSE),FALSE)</formula>
    </cfRule>
  </conditionalFormatting>
  <conditionalFormatting sqref="M261">
    <cfRule type="expression" dxfId="2871" priority="2837" stopIfTrue="1">
      <formula>IF($F261="I",TRUE,FALSE)</formula>
    </cfRule>
  </conditionalFormatting>
  <conditionalFormatting sqref="B262:D262 F262:G262 I262:P262">
    <cfRule type="expression" dxfId="2870" priority="2836" stopIfTrue="1">
      <formula>IF($A262&lt;&gt;"",IF(B262="",TRUE,FALSE),FALSE)</formula>
    </cfRule>
  </conditionalFormatting>
  <conditionalFormatting sqref="M262">
    <cfRule type="expression" dxfId="2869" priority="2835" stopIfTrue="1">
      <formula>IF($F262="I",TRUE,FALSE)</formula>
    </cfRule>
  </conditionalFormatting>
  <conditionalFormatting sqref="B263:D263 F263:G263 I263:P263">
    <cfRule type="expression" dxfId="2868" priority="2834" stopIfTrue="1">
      <formula>IF($A263&lt;&gt;"",IF(B263="",TRUE,FALSE),FALSE)</formula>
    </cfRule>
  </conditionalFormatting>
  <conditionalFormatting sqref="M263">
    <cfRule type="expression" dxfId="2867" priority="2833" stopIfTrue="1">
      <formula>IF($F263="I",TRUE,FALSE)</formula>
    </cfRule>
  </conditionalFormatting>
  <conditionalFormatting sqref="B264:D264 F264:G264 I264:P264">
    <cfRule type="expression" dxfId="2866" priority="2832" stopIfTrue="1">
      <formula>IF($A264&lt;&gt;"",IF(B264="",TRUE,FALSE),FALSE)</formula>
    </cfRule>
  </conditionalFormatting>
  <conditionalFormatting sqref="M264">
    <cfRule type="expression" dxfId="2865" priority="2831" stopIfTrue="1">
      <formula>IF($F264="I",TRUE,FALSE)</formula>
    </cfRule>
  </conditionalFormatting>
  <conditionalFormatting sqref="B265:D265 F265:G265 I265:P265">
    <cfRule type="expression" dxfId="2864" priority="2830" stopIfTrue="1">
      <formula>IF($A265&lt;&gt;"",IF(B265="",TRUE,FALSE),FALSE)</formula>
    </cfRule>
  </conditionalFormatting>
  <conditionalFormatting sqref="M265">
    <cfRule type="expression" dxfId="2863" priority="2829" stopIfTrue="1">
      <formula>IF($F265="I",TRUE,FALSE)</formula>
    </cfRule>
  </conditionalFormatting>
  <conditionalFormatting sqref="B266:D266 F266:G266 I266:P266">
    <cfRule type="expression" dxfId="2862" priority="2828" stopIfTrue="1">
      <formula>IF($A266&lt;&gt;"",IF(B266="",TRUE,FALSE),FALSE)</formula>
    </cfRule>
  </conditionalFormatting>
  <conditionalFormatting sqref="M266">
    <cfRule type="expression" dxfId="2861" priority="2827" stopIfTrue="1">
      <formula>IF($F266="I",TRUE,FALSE)</formula>
    </cfRule>
  </conditionalFormatting>
  <conditionalFormatting sqref="B267:D267 F267:G267 I267:P267">
    <cfRule type="expression" dxfId="2860" priority="2826" stopIfTrue="1">
      <formula>IF($A267&lt;&gt;"",IF(B267="",TRUE,FALSE),FALSE)</formula>
    </cfRule>
  </conditionalFormatting>
  <conditionalFormatting sqref="M267">
    <cfRule type="expression" dxfId="2859" priority="2825" stopIfTrue="1">
      <formula>IF($F267="I",TRUE,FALSE)</formula>
    </cfRule>
  </conditionalFormatting>
  <conditionalFormatting sqref="B268:D268 F268:G268 I268:P268">
    <cfRule type="expression" dxfId="2858" priority="2824" stopIfTrue="1">
      <formula>IF($A268&lt;&gt;"",IF(B268="",TRUE,FALSE),FALSE)</formula>
    </cfRule>
  </conditionalFormatting>
  <conditionalFormatting sqref="M268">
    <cfRule type="expression" dxfId="2857" priority="2823" stopIfTrue="1">
      <formula>IF($F268="I",TRUE,FALSE)</formula>
    </cfRule>
  </conditionalFormatting>
  <conditionalFormatting sqref="B269:D269 F269:G269 I269:P269">
    <cfRule type="expression" dxfId="2856" priority="2822" stopIfTrue="1">
      <formula>IF($A269&lt;&gt;"",IF(B269="",TRUE,FALSE),FALSE)</formula>
    </cfRule>
  </conditionalFormatting>
  <conditionalFormatting sqref="M269">
    <cfRule type="expression" dxfId="2855" priority="2821" stopIfTrue="1">
      <formula>IF($F269="I",TRUE,FALSE)</formula>
    </cfRule>
  </conditionalFormatting>
  <conditionalFormatting sqref="B270:D270 F270:G270 I270:P270">
    <cfRule type="expression" dxfId="2854" priority="2820" stopIfTrue="1">
      <formula>IF($A270&lt;&gt;"",IF(B270="",TRUE,FALSE),FALSE)</formula>
    </cfRule>
  </conditionalFormatting>
  <conditionalFormatting sqref="M270">
    <cfRule type="expression" dxfId="2853" priority="2819" stopIfTrue="1">
      <formula>IF($F270="I",TRUE,FALSE)</formula>
    </cfRule>
  </conditionalFormatting>
  <conditionalFormatting sqref="B271:D271 F271:G271 I271:P271">
    <cfRule type="expression" dxfId="2852" priority="2818" stopIfTrue="1">
      <formula>IF($A271&lt;&gt;"",IF(B271="",TRUE,FALSE),FALSE)</formula>
    </cfRule>
  </conditionalFormatting>
  <conditionalFormatting sqref="M271">
    <cfRule type="expression" dxfId="2851" priority="2817" stopIfTrue="1">
      <formula>IF($F271="I",TRUE,FALSE)</formula>
    </cfRule>
  </conditionalFormatting>
  <conditionalFormatting sqref="B272:D272 F272:G272 I272:P272">
    <cfRule type="expression" dxfId="2850" priority="2816" stopIfTrue="1">
      <formula>IF($A272&lt;&gt;"",IF(B272="",TRUE,FALSE),FALSE)</formula>
    </cfRule>
  </conditionalFormatting>
  <conditionalFormatting sqref="M272">
    <cfRule type="expression" dxfId="2849" priority="2815" stopIfTrue="1">
      <formula>IF($F272="I",TRUE,FALSE)</formula>
    </cfRule>
  </conditionalFormatting>
  <conditionalFormatting sqref="B273:D273 F273:G273 I273:P273">
    <cfRule type="expression" dxfId="2848" priority="2814" stopIfTrue="1">
      <formula>IF($A273&lt;&gt;"",IF(B273="",TRUE,FALSE),FALSE)</formula>
    </cfRule>
  </conditionalFormatting>
  <conditionalFormatting sqref="M273">
    <cfRule type="expression" dxfId="2847" priority="2813" stopIfTrue="1">
      <formula>IF($F273="I",TRUE,FALSE)</formula>
    </cfRule>
  </conditionalFormatting>
  <conditionalFormatting sqref="B274:D274 F274:G274 I274:P274">
    <cfRule type="expression" dxfId="2846" priority="2812" stopIfTrue="1">
      <formula>IF($A274&lt;&gt;"",IF(B274="",TRUE,FALSE),FALSE)</formula>
    </cfRule>
  </conditionalFormatting>
  <conditionalFormatting sqref="M274">
    <cfRule type="expression" dxfId="2845" priority="2811" stopIfTrue="1">
      <formula>IF($F274="I",TRUE,FALSE)</formula>
    </cfRule>
  </conditionalFormatting>
  <conditionalFormatting sqref="B275:D275 F275:G275 I275:P275">
    <cfRule type="expression" dxfId="2844" priority="2810" stopIfTrue="1">
      <formula>IF($A275&lt;&gt;"",IF(B275="",TRUE,FALSE),FALSE)</formula>
    </cfRule>
  </conditionalFormatting>
  <conditionalFormatting sqref="M275">
    <cfRule type="expression" dxfId="2843" priority="2809" stopIfTrue="1">
      <formula>IF($F275="I",TRUE,FALSE)</formula>
    </cfRule>
  </conditionalFormatting>
  <conditionalFormatting sqref="B276:D276 F276:G276 I276:P276">
    <cfRule type="expression" dxfId="2842" priority="2808" stopIfTrue="1">
      <formula>IF($A276&lt;&gt;"",IF(B276="",TRUE,FALSE),FALSE)</formula>
    </cfRule>
  </conditionalFormatting>
  <conditionalFormatting sqref="M276">
    <cfRule type="expression" dxfId="2841" priority="2807" stopIfTrue="1">
      <formula>IF($F276="I",TRUE,FALSE)</formula>
    </cfRule>
  </conditionalFormatting>
  <conditionalFormatting sqref="B277:D277 F277:G277 I277:P277">
    <cfRule type="expression" dxfId="2840" priority="2806" stopIfTrue="1">
      <formula>IF($A277&lt;&gt;"",IF(B277="",TRUE,FALSE),FALSE)</formula>
    </cfRule>
  </conditionalFormatting>
  <conditionalFormatting sqref="M277">
    <cfRule type="expression" dxfId="2839" priority="2805" stopIfTrue="1">
      <formula>IF($F277="I",TRUE,FALSE)</formula>
    </cfRule>
  </conditionalFormatting>
  <conditionalFormatting sqref="B278:D278 F278:G278 I278:P278">
    <cfRule type="expression" dxfId="2838" priority="2804" stopIfTrue="1">
      <formula>IF($A278&lt;&gt;"",IF(B278="",TRUE,FALSE),FALSE)</formula>
    </cfRule>
  </conditionalFormatting>
  <conditionalFormatting sqref="M278">
    <cfRule type="expression" dxfId="2837" priority="2803" stopIfTrue="1">
      <formula>IF($F278="I",TRUE,FALSE)</formula>
    </cfRule>
  </conditionalFormatting>
  <conditionalFormatting sqref="B279:D279 F279:G279 I279:P279">
    <cfRule type="expression" dxfId="2836" priority="2802" stopIfTrue="1">
      <formula>IF($A279&lt;&gt;"",IF(B279="",TRUE,FALSE),FALSE)</formula>
    </cfRule>
  </conditionalFormatting>
  <conditionalFormatting sqref="M279">
    <cfRule type="expression" dxfId="2835" priority="2801" stopIfTrue="1">
      <formula>IF($F279="I",TRUE,FALSE)</formula>
    </cfRule>
  </conditionalFormatting>
  <conditionalFormatting sqref="B280:D280 F280:G280 I280:P280">
    <cfRule type="expression" dxfId="2834" priority="2800" stopIfTrue="1">
      <formula>IF($A280&lt;&gt;"",IF(B280="",TRUE,FALSE),FALSE)</formula>
    </cfRule>
  </conditionalFormatting>
  <conditionalFormatting sqref="M280">
    <cfRule type="expression" dxfId="2833" priority="2799" stopIfTrue="1">
      <formula>IF($F280="I",TRUE,FALSE)</formula>
    </cfRule>
  </conditionalFormatting>
  <conditionalFormatting sqref="B281:D281 F281:G281 I281:P281">
    <cfRule type="expression" dxfId="2832" priority="2798" stopIfTrue="1">
      <formula>IF($A281&lt;&gt;"",IF(B281="",TRUE,FALSE),FALSE)</formula>
    </cfRule>
  </conditionalFormatting>
  <conditionalFormatting sqref="M281">
    <cfRule type="expression" dxfId="2831" priority="2797" stopIfTrue="1">
      <formula>IF($F281="I",TRUE,FALSE)</formula>
    </cfRule>
  </conditionalFormatting>
  <conditionalFormatting sqref="B282:D282 F282:G282 I282:P282">
    <cfRule type="expression" dxfId="2830" priority="2796" stopIfTrue="1">
      <formula>IF($A282&lt;&gt;"",IF(B282="",TRUE,FALSE),FALSE)</formula>
    </cfRule>
  </conditionalFormatting>
  <conditionalFormatting sqref="M282">
    <cfRule type="expression" dxfId="2829" priority="2795" stopIfTrue="1">
      <formula>IF($F282="I",TRUE,FALSE)</formula>
    </cfRule>
  </conditionalFormatting>
  <conditionalFormatting sqref="B283:D283 F283:G283 I283:P283">
    <cfRule type="expression" dxfId="2828" priority="2794" stopIfTrue="1">
      <formula>IF($A283&lt;&gt;"",IF(B283="",TRUE,FALSE),FALSE)</formula>
    </cfRule>
  </conditionalFormatting>
  <conditionalFormatting sqref="M283">
    <cfRule type="expression" dxfId="2827" priority="2793" stopIfTrue="1">
      <formula>IF($F283="I",TRUE,FALSE)</formula>
    </cfRule>
  </conditionalFormatting>
  <conditionalFormatting sqref="B284:D284 F284:G284 I284:P284">
    <cfRule type="expression" dxfId="2826" priority="2792" stopIfTrue="1">
      <formula>IF($A284&lt;&gt;"",IF(B284="",TRUE,FALSE),FALSE)</formula>
    </cfRule>
  </conditionalFormatting>
  <conditionalFormatting sqref="M284">
    <cfRule type="expression" dxfId="2825" priority="2791" stopIfTrue="1">
      <formula>IF($F284="I",TRUE,FALSE)</formula>
    </cfRule>
  </conditionalFormatting>
  <conditionalFormatting sqref="B285:D285 F285:G285 I285:P285">
    <cfRule type="expression" dxfId="2824" priority="2790" stopIfTrue="1">
      <formula>IF($A285&lt;&gt;"",IF(B285="",TRUE,FALSE),FALSE)</formula>
    </cfRule>
  </conditionalFormatting>
  <conditionalFormatting sqref="M285">
    <cfRule type="expression" dxfId="2823" priority="2789" stopIfTrue="1">
      <formula>IF($F285="I",TRUE,FALSE)</formula>
    </cfRule>
  </conditionalFormatting>
  <conditionalFormatting sqref="B286:D286 F286:G286 I286:P286">
    <cfRule type="expression" dxfId="2822" priority="2788" stopIfTrue="1">
      <formula>IF($A286&lt;&gt;"",IF(B286="",TRUE,FALSE),FALSE)</formula>
    </cfRule>
  </conditionalFormatting>
  <conditionalFormatting sqref="M286">
    <cfRule type="expression" dxfId="2821" priority="2787" stopIfTrue="1">
      <formula>IF($F286="I",TRUE,FALSE)</formula>
    </cfRule>
  </conditionalFormatting>
  <conditionalFormatting sqref="B287:D287 F287:G287 I287:P287">
    <cfRule type="expression" dxfId="2820" priority="2786" stopIfTrue="1">
      <formula>IF($A287&lt;&gt;"",IF(B287="",TRUE,FALSE),FALSE)</formula>
    </cfRule>
  </conditionalFormatting>
  <conditionalFormatting sqref="M287">
    <cfRule type="expression" dxfId="2819" priority="2785" stopIfTrue="1">
      <formula>IF($F287="I",TRUE,FALSE)</formula>
    </cfRule>
  </conditionalFormatting>
  <conditionalFormatting sqref="B288:D288 F288:G288 I288:P288">
    <cfRule type="expression" dxfId="2818" priority="2784" stopIfTrue="1">
      <formula>IF($A288&lt;&gt;"",IF(B288="",TRUE,FALSE),FALSE)</formula>
    </cfRule>
  </conditionalFormatting>
  <conditionalFormatting sqref="M288">
    <cfRule type="expression" dxfId="2817" priority="2783" stopIfTrue="1">
      <formula>IF($F288="I",TRUE,FALSE)</formula>
    </cfRule>
  </conditionalFormatting>
  <conditionalFormatting sqref="B289:D289 F289:G289 I289:P289">
    <cfRule type="expression" dxfId="2816" priority="2782" stopIfTrue="1">
      <formula>IF($A289&lt;&gt;"",IF(B289="",TRUE,FALSE),FALSE)</formula>
    </cfRule>
  </conditionalFormatting>
  <conditionalFormatting sqref="M289">
    <cfRule type="expression" dxfId="2815" priority="2781" stopIfTrue="1">
      <formula>IF($F289="I",TRUE,FALSE)</formula>
    </cfRule>
  </conditionalFormatting>
  <conditionalFormatting sqref="B290:D290 F290:G290 I290:P290">
    <cfRule type="expression" dxfId="2814" priority="2780" stopIfTrue="1">
      <formula>IF($A290&lt;&gt;"",IF(B290="",TRUE,FALSE),FALSE)</formula>
    </cfRule>
  </conditionalFormatting>
  <conditionalFormatting sqref="M290">
    <cfRule type="expression" dxfId="2813" priority="2779" stopIfTrue="1">
      <formula>IF($F290="I",TRUE,FALSE)</formula>
    </cfRule>
  </conditionalFormatting>
  <conditionalFormatting sqref="B291:D291 F291:G291 I291:P291">
    <cfRule type="expression" dxfId="2812" priority="2778" stopIfTrue="1">
      <formula>IF($A291&lt;&gt;"",IF(B291="",TRUE,FALSE),FALSE)</formula>
    </cfRule>
  </conditionalFormatting>
  <conditionalFormatting sqref="M291">
    <cfRule type="expression" dxfId="2811" priority="2777" stopIfTrue="1">
      <formula>IF($F291="I",TRUE,FALSE)</formula>
    </cfRule>
  </conditionalFormatting>
  <conditionalFormatting sqref="B292:D292 F292:G292 I292:P292">
    <cfRule type="expression" dxfId="2810" priority="2776" stopIfTrue="1">
      <formula>IF($A292&lt;&gt;"",IF(B292="",TRUE,FALSE),FALSE)</formula>
    </cfRule>
  </conditionalFormatting>
  <conditionalFormatting sqref="M292">
    <cfRule type="expression" dxfId="2809" priority="2775" stopIfTrue="1">
      <formula>IF($F292="I",TRUE,FALSE)</formula>
    </cfRule>
  </conditionalFormatting>
  <conditionalFormatting sqref="B293:D293 F293:G293 I293:P293">
    <cfRule type="expression" dxfId="2808" priority="2774" stopIfTrue="1">
      <formula>IF($A293&lt;&gt;"",IF(B293="",TRUE,FALSE),FALSE)</formula>
    </cfRule>
  </conditionalFormatting>
  <conditionalFormatting sqref="M293">
    <cfRule type="expression" dxfId="2807" priority="2773" stopIfTrue="1">
      <formula>IF($F293="I",TRUE,FALSE)</formula>
    </cfRule>
  </conditionalFormatting>
  <conditionalFormatting sqref="B294:D294 F294:G294 I294:P294">
    <cfRule type="expression" dxfId="2806" priority="2772" stopIfTrue="1">
      <formula>IF($A294&lt;&gt;"",IF(B294="",TRUE,FALSE),FALSE)</formula>
    </cfRule>
  </conditionalFormatting>
  <conditionalFormatting sqref="M294">
    <cfRule type="expression" dxfId="2805" priority="2771" stopIfTrue="1">
      <formula>IF($F294="I",TRUE,FALSE)</formula>
    </cfRule>
  </conditionalFormatting>
  <conditionalFormatting sqref="B295:D295 F295:G295 I295:P295">
    <cfRule type="expression" dxfId="2804" priority="2770" stopIfTrue="1">
      <formula>IF($A295&lt;&gt;"",IF(B295="",TRUE,FALSE),FALSE)</formula>
    </cfRule>
  </conditionalFormatting>
  <conditionalFormatting sqref="M295">
    <cfRule type="expression" dxfId="2803" priority="2769" stopIfTrue="1">
      <formula>IF($F295="I",TRUE,FALSE)</formula>
    </cfRule>
  </conditionalFormatting>
  <conditionalFormatting sqref="B296:D296 F296:G296 I296:P296">
    <cfRule type="expression" dxfId="2802" priority="2768" stopIfTrue="1">
      <formula>IF($A296&lt;&gt;"",IF(B296="",TRUE,FALSE),FALSE)</formula>
    </cfRule>
  </conditionalFormatting>
  <conditionalFormatting sqref="M296">
    <cfRule type="expression" dxfId="2801" priority="2767" stopIfTrue="1">
      <formula>IF($F296="I",TRUE,FALSE)</formula>
    </cfRule>
  </conditionalFormatting>
  <conditionalFormatting sqref="B297:D297 F297:G297 I297:P297">
    <cfRule type="expression" dxfId="2800" priority="2766" stopIfTrue="1">
      <formula>IF($A297&lt;&gt;"",IF(B297="",TRUE,FALSE),FALSE)</formula>
    </cfRule>
  </conditionalFormatting>
  <conditionalFormatting sqref="M297">
    <cfRule type="expression" dxfId="2799" priority="2765" stopIfTrue="1">
      <formula>IF($F297="I",TRUE,FALSE)</formula>
    </cfRule>
  </conditionalFormatting>
  <conditionalFormatting sqref="B298:D298 F298:G298 I298:P298">
    <cfRule type="expression" dxfId="2798" priority="2764" stopIfTrue="1">
      <formula>IF($A298&lt;&gt;"",IF(B298="",TRUE,FALSE),FALSE)</formula>
    </cfRule>
  </conditionalFormatting>
  <conditionalFormatting sqref="M298">
    <cfRule type="expression" dxfId="2797" priority="2763" stopIfTrue="1">
      <formula>IF($F298="I",TRUE,FALSE)</formula>
    </cfRule>
  </conditionalFormatting>
  <conditionalFormatting sqref="B299:D299 F299:G299 I299:P299">
    <cfRule type="expression" dxfId="2796" priority="2762" stopIfTrue="1">
      <formula>IF($A299&lt;&gt;"",IF(B299="",TRUE,FALSE),FALSE)</formula>
    </cfRule>
  </conditionalFormatting>
  <conditionalFormatting sqref="M299">
    <cfRule type="expression" dxfId="2795" priority="2761" stopIfTrue="1">
      <formula>IF($F299="I",TRUE,FALSE)</formula>
    </cfRule>
  </conditionalFormatting>
  <conditionalFormatting sqref="B300:D300 F300:G300 I300:P300">
    <cfRule type="expression" dxfId="2794" priority="2760" stopIfTrue="1">
      <formula>IF($A300&lt;&gt;"",IF(B300="",TRUE,FALSE),FALSE)</formula>
    </cfRule>
  </conditionalFormatting>
  <conditionalFormatting sqref="M300">
    <cfRule type="expression" dxfId="2793" priority="2759" stopIfTrue="1">
      <formula>IF($F300="I",TRUE,FALSE)</formula>
    </cfRule>
  </conditionalFormatting>
  <conditionalFormatting sqref="B301:D301 F301:G301 I301:P301">
    <cfRule type="expression" dxfId="2792" priority="2758" stopIfTrue="1">
      <formula>IF($A301&lt;&gt;"",IF(B301="",TRUE,FALSE),FALSE)</formula>
    </cfRule>
  </conditionalFormatting>
  <conditionalFormatting sqref="M301">
    <cfRule type="expression" dxfId="2791" priority="2757" stopIfTrue="1">
      <formula>IF($F301="I",TRUE,FALSE)</formula>
    </cfRule>
  </conditionalFormatting>
  <conditionalFormatting sqref="B302:D302 F302:G302 I302:P302">
    <cfRule type="expression" dxfId="2790" priority="2756" stopIfTrue="1">
      <formula>IF($A302&lt;&gt;"",IF(B302="",TRUE,FALSE),FALSE)</formula>
    </cfRule>
  </conditionalFormatting>
  <conditionalFormatting sqref="M302">
    <cfRule type="expression" dxfId="2789" priority="2755" stopIfTrue="1">
      <formula>IF($F302="I",TRUE,FALSE)</formula>
    </cfRule>
  </conditionalFormatting>
  <conditionalFormatting sqref="B303:D303 F303:G303 I303:P303">
    <cfRule type="expression" dxfId="2788" priority="2754" stopIfTrue="1">
      <formula>IF($A303&lt;&gt;"",IF(B303="",TRUE,FALSE),FALSE)</formula>
    </cfRule>
  </conditionalFormatting>
  <conditionalFormatting sqref="M303">
    <cfRule type="expression" dxfId="2787" priority="2753" stopIfTrue="1">
      <formula>IF($F303="I",TRUE,FALSE)</formula>
    </cfRule>
  </conditionalFormatting>
  <conditionalFormatting sqref="B304:D304 F304:G304 I304:P304">
    <cfRule type="expression" dxfId="2786" priority="2752" stopIfTrue="1">
      <formula>IF($A304&lt;&gt;"",IF(B304="",TRUE,FALSE),FALSE)</formula>
    </cfRule>
  </conditionalFormatting>
  <conditionalFormatting sqref="M304">
    <cfRule type="expression" dxfId="2785" priority="2751" stopIfTrue="1">
      <formula>IF($F304="I",TRUE,FALSE)</formula>
    </cfRule>
  </conditionalFormatting>
  <conditionalFormatting sqref="B305:D305 F305:G305 I305:P305">
    <cfRule type="expression" dxfId="2784" priority="2750" stopIfTrue="1">
      <formula>IF($A305&lt;&gt;"",IF(B305="",TRUE,FALSE),FALSE)</formula>
    </cfRule>
  </conditionalFormatting>
  <conditionalFormatting sqref="M305">
    <cfRule type="expression" dxfId="2783" priority="2749" stopIfTrue="1">
      <formula>IF($F305="I",TRUE,FALSE)</formula>
    </cfRule>
  </conditionalFormatting>
  <conditionalFormatting sqref="B306:D306 F306:G306 I306:P306">
    <cfRule type="expression" dxfId="2782" priority="2748" stopIfTrue="1">
      <formula>IF($A306&lt;&gt;"",IF(B306="",TRUE,FALSE),FALSE)</formula>
    </cfRule>
  </conditionalFormatting>
  <conditionalFormatting sqref="M306">
    <cfRule type="expression" dxfId="2781" priority="2747" stopIfTrue="1">
      <formula>IF($F306="I",TRUE,FALSE)</formula>
    </cfRule>
  </conditionalFormatting>
  <conditionalFormatting sqref="B307:D307 F307:G307 I307:P307">
    <cfRule type="expression" dxfId="2780" priority="2746" stopIfTrue="1">
      <formula>IF($A307&lt;&gt;"",IF(B307="",TRUE,FALSE),FALSE)</formula>
    </cfRule>
  </conditionalFormatting>
  <conditionalFormatting sqref="M307">
    <cfRule type="expression" dxfId="2779" priority="2745" stopIfTrue="1">
      <formula>IF($F307="I",TRUE,FALSE)</formula>
    </cfRule>
  </conditionalFormatting>
  <conditionalFormatting sqref="B308:D308 F308:G308 I308:P308">
    <cfRule type="expression" dxfId="2778" priority="2744" stopIfTrue="1">
      <formula>IF($A308&lt;&gt;"",IF(B308="",TRUE,FALSE),FALSE)</formula>
    </cfRule>
  </conditionalFormatting>
  <conditionalFormatting sqref="M308">
    <cfRule type="expression" dxfId="2777" priority="2743" stopIfTrue="1">
      <formula>IF($F308="I",TRUE,FALSE)</formula>
    </cfRule>
  </conditionalFormatting>
  <conditionalFormatting sqref="B309:D309 F309:G309 I309:P309">
    <cfRule type="expression" dxfId="2776" priority="2742" stopIfTrue="1">
      <formula>IF($A309&lt;&gt;"",IF(B309="",TRUE,FALSE),FALSE)</formula>
    </cfRule>
  </conditionalFormatting>
  <conditionalFormatting sqref="M309">
    <cfRule type="expression" dxfId="2775" priority="2741" stopIfTrue="1">
      <formula>IF($F309="I",TRUE,FALSE)</formula>
    </cfRule>
  </conditionalFormatting>
  <conditionalFormatting sqref="B310:D310 F310:G310 I310:P310">
    <cfRule type="expression" dxfId="2774" priority="2740" stopIfTrue="1">
      <formula>IF($A310&lt;&gt;"",IF(B310="",TRUE,FALSE),FALSE)</formula>
    </cfRule>
  </conditionalFormatting>
  <conditionalFormatting sqref="M310">
    <cfRule type="expression" dxfId="2773" priority="2739" stopIfTrue="1">
      <formula>IF($F310="I",TRUE,FALSE)</formula>
    </cfRule>
  </conditionalFormatting>
  <conditionalFormatting sqref="B311:D311 F311:G311 I311:P311">
    <cfRule type="expression" dxfId="2772" priority="2738" stopIfTrue="1">
      <formula>IF($A311&lt;&gt;"",IF(B311="",TRUE,FALSE),FALSE)</formula>
    </cfRule>
  </conditionalFormatting>
  <conditionalFormatting sqref="M311">
    <cfRule type="expression" dxfId="2771" priority="2737" stopIfTrue="1">
      <formula>IF($F311="I",TRUE,FALSE)</formula>
    </cfRule>
  </conditionalFormatting>
  <conditionalFormatting sqref="B312:D312 F312:G312 I312:P312">
    <cfRule type="expression" dxfId="2770" priority="2736" stopIfTrue="1">
      <formula>IF($A312&lt;&gt;"",IF(B312="",TRUE,FALSE),FALSE)</formula>
    </cfRule>
  </conditionalFormatting>
  <conditionalFormatting sqref="M312">
    <cfRule type="expression" dxfId="2769" priority="2735" stopIfTrue="1">
      <formula>IF($F312="I",TRUE,FALSE)</formula>
    </cfRule>
  </conditionalFormatting>
  <conditionalFormatting sqref="B313:D313 F313:G313 I313:P313">
    <cfRule type="expression" dxfId="2768" priority="2734" stopIfTrue="1">
      <formula>IF($A313&lt;&gt;"",IF(B313="",TRUE,FALSE),FALSE)</formula>
    </cfRule>
  </conditionalFormatting>
  <conditionalFormatting sqref="M313">
    <cfRule type="expression" dxfId="2767" priority="2733" stopIfTrue="1">
      <formula>IF($F313="I",TRUE,FALSE)</formula>
    </cfRule>
  </conditionalFormatting>
  <conditionalFormatting sqref="B314:D314 F314:G314 I314:P314">
    <cfRule type="expression" dxfId="2766" priority="2732" stopIfTrue="1">
      <formula>IF($A314&lt;&gt;"",IF(B314="",TRUE,FALSE),FALSE)</formula>
    </cfRule>
  </conditionalFormatting>
  <conditionalFormatting sqref="M314">
    <cfRule type="expression" dxfId="2765" priority="2731" stopIfTrue="1">
      <formula>IF($F314="I",TRUE,FALSE)</formula>
    </cfRule>
  </conditionalFormatting>
  <conditionalFormatting sqref="B315:D315 F315:G315 I315:P315">
    <cfRule type="expression" dxfId="2764" priority="2730" stopIfTrue="1">
      <formula>IF($A315&lt;&gt;"",IF(B315="",TRUE,FALSE),FALSE)</formula>
    </cfRule>
  </conditionalFormatting>
  <conditionalFormatting sqref="M315">
    <cfRule type="expression" dxfId="2763" priority="2729" stopIfTrue="1">
      <formula>IF($F315="I",TRUE,FALSE)</formula>
    </cfRule>
  </conditionalFormatting>
  <conditionalFormatting sqref="B316:D316 F316:G316 I316:P316">
    <cfRule type="expression" dxfId="2762" priority="2728" stopIfTrue="1">
      <formula>IF($A316&lt;&gt;"",IF(B316="",TRUE,FALSE),FALSE)</formula>
    </cfRule>
  </conditionalFormatting>
  <conditionalFormatting sqref="M316">
    <cfRule type="expression" dxfId="2761" priority="2727" stopIfTrue="1">
      <formula>IF($F316="I",TRUE,FALSE)</formula>
    </cfRule>
  </conditionalFormatting>
  <conditionalFormatting sqref="B317:D317 F317:G317 I317:P317">
    <cfRule type="expression" dxfId="2760" priority="2726" stopIfTrue="1">
      <formula>IF($A317&lt;&gt;"",IF(B317="",TRUE,FALSE),FALSE)</formula>
    </cfRule>
  </conditionalFormatting>
  <conditionalFormatting sqref="M317">
    <cfRule type="expression" dxfId="2759" priority="2725" stopIfTrue="1">
      <formula>IF($F317="I",TRUE,FALSE)</formula>
    </cfRule>
  </conditionalFormatting>
  <conditionalFormatting sqref="B318:D318 F318:G318 I318:P318">
    <cfRule type="expression" dxfId="2758" priority="2724" stopIfTrue="1">
      <formula>IF($A318&lt;&gt;"",IF(B318="",TRUE,FALSE),FALSE)</formula>
    </cfRule>
  </conditionalFormatting>
  <conditionalFormatting sqref="M318">
    <cfRule type="expression" dxfId="2757" priority="2723" stopIfTrue="1">
      <formula>IF($F318="I",TRUE,FALSE)</formula>
    </cfRule>
  </conditionalFormatting>
  <conditionalFormatting sqref="B319:D319 F319:G319 I319:P319">
    <cfRule type="expression" dxfId="2756" priority="2722" stopIfTrue="1">
      <formula>IF($A319&lt;&gt;"",IF(B319="",TRUE,FALSE),FALSE)</formula>
    </cfRule>
  </conditionalFormatting>
  <conditionalFormatting sqref="M319">
    <cfRule type="expression" dxfId="2755" priority="2721" stopIfTrue="1">
      <formula>IF($F319="I",TRUE,FALSE)</formula>
    </cfRule>
  </conditionalFormatting>
  <conditionalFormatting sqref="B320:D320 F320:G320 I320:P320">
    <cfRule type="expression" dxfId="2754" priority="2720" stopIfTrue="1">
      <formula>IF($A320&lt;&gt;"",IF(B320="",TRUE,FALSE),FALSE)</formula>
    </cfRule>
  </conditionalFormatting>
  <conditionalFormatting sqref="M320">
    <cfRule type="expression" dxfId="2753" priority="2719" stopIfTrue="1">
      <formula>IF($F320="I",TRUE,FALSE)</formula>
    </cfRule>
  </conditionalFormatting>
  <conditionalFormatting sqref="B321:D321 F321:G321 I321:P321">
    <cfRule type="expression" dxfId="2752" priority="2718" stopIfTrue="1">
      <formula>IF($A321&lt;&gt;"",IF(B321="",TRUE,FALSE),FALSE)</formula>
    </cfRule>
  </conditionalFormatting>
  <conditionalFormatting sqref="M321">
    <cfRule type="expression" dxfId="2751" priority="2717" stopIfTrue="1">
      <formula>IF($F321="I",TRUE,FALSE)</formula>
    </cfRule>
  </conditionalFormatting>
  <conditionalFormatting sqref="B322:D322 F322:G322 I322:P322">
    <cfRule type="expression" dxfId="2750" priority="2716" stopIfTrue="1">
      <formula>IF($A322&lt;&gt;"",IF(B322="",TRUE,FALSE),FALSE)</formula>
    </cfRule>
  </conditionalFormatting>
  <conditionalFormatting sqref="M322">
    <cfRule type="expression" dxfId="2749" priority="2715" stopIfTrue="1">
      <formula>IF($F322="I",TRUE,FALSE)</formula>
    </cfRule>
  </conditionalFormatting>
  <conditionalFormatting sqref="B323:D323 F323:G323 I323:P323">
    <cfRule type="expression" dxfId="2748" priority="2714" stopIfTrue="1">
      <formula>IF($A323&lt;&gt;"",IF(B323="",TRUE,FALSE),FALSE)</formula>
    </cfRule>
  </conditionalFormatting>
  <conditionalFormatting sqref="M323">
    <cfRule type="expression" dxfId="2747" priority="2713" stopIfTrue="1">
      <formula>IF($F323="I",TRUE,FALSE)</formula>
    </cfRule>
  </conditionalFormatting>
  <conditionalFormatting sqref="B324:D324 F324:G324 I324:P324">
    <cfRule type="expression" dxfId="2746" priority="2712" stopIfTrue="1">
      <formula>IF($A324&lt;&gt;"",IF(B324="",TRUE,FALSE),FALSE)</formula>
    </cfRule>
  </conditionalFormatting>
  <conditionalFormatting sqref="M324">
    <cfRule type="expression" dxfId="2745" priority="2711" stopIfTrue="1">
      <formula>IF($F324="I",TRUE,FALSE)</formula>
    </cfRule>
  </conditionalFormatting>
  <conditionalFormatting sqref="B325:D325 F325:G325 I325:P325">
    <cfRule type="expression" dxfId="2744" priority="2710" stopIfTrue="1">
      <formula>IF($A325&lt;&gt;"",IF(B325="",TRUE,FALSE),FALSE)</formula>
    </cfRule>
  </conditionalFormatting>
  <conditionalFormatting sqref="M325">
    <cfRule type="expression" dxfId="2743" priority="2709" stopIfTrue="1">
      <formula>IF($F325="I",TRUE,FALSE)</formula>
    </cfRule>
  </conditionalFormatting>
  <conditionalFormatting sqref="B326:D326 F326:G326 I326:P326">
    <cfRule type="expression" dxfId="2742" priority="2708" stopIfTrue="1">
      <formula>IF($A326&lt;&gt;"",IF(B326="",TRUE,FALSE),FALSE)</formula>
    </cfRule>
  </conditionalFormatting>
  <conditionalFormatting sqref="M326">
    <cfRule type="expression" dxfId="2741" priority="2707" stopIfTrue="1">
      <formula>IF($F326="I",TRUE,FALSE)</formula>
    </cfRule>
  </conditionalFormatting>
  <conditionalFormatting sqref="B327:D327 F327:G327 I327:P327">
    <cfRule type="expression" dxfId="2740" priority="2706" stopIfTrue="1">
      <formula>IF($A327&lt;&gt;"",IF(B327="",TRUE,FALSE),FALSE)</formula>
    </cfRule>
  </conditionalFormatting>
  <conditionalFormatting sqref="M327">
    <cfRule type="expression" dxfId="2739" priority="2705" stopIfTrue="1">
      <formula>IF($F327="I",TRUE,FALSE)</formula>
    </cfRule>
  </conditionalFormatting>
  <conditionalFormatting sqref="B328:D328 F328:G328 I328:P328">
    <cfRule type="expression" dxfId="2738" priority="2704" stopIfTrue="1">
      <formula>IF($A328&lt;&gt;"",IF(B328="",TRUE,FALSE),FALSE)</formula>
    </cfRule>
  </conditionalFormatting>
  <conditionalFormatting sqref="M328">
    <cfRule type="expression" dxfId="2737" priority="2703" stopIfTrue="1">
      <formula>IF($F328="I",TRUE,FALSE)</formula>
    </cfRule>
  </conditionalFormatting>
  <conditionalFormatting sqref="B329:D329 F329:G329 I329:P329">
    <cfRule type="expression" dxfId="2736" priority="2702" stopIfTrue="1">
      <formula>IF($A329&lt;&gt;"",IF(B329="",TRUE,FALSE),FALSE)</formula>
    </cfRule>
  </conditionalFormatting>
  <conditionalFormatting sqref="M329">
    <cfRule type="expression" dxfId="2735" priority="2701" stopIfTrue="1">
      <formula>IF($F329="I",TRUE,FALSE)</formula>
    </cfRule>
  </conditionalFormatting>
  <conditionalFormatting sqref="B330:D330 F330:G330 I330:P330">
    <cfRule type="expression" dxfId="2734" priority="2700" stopIfTrue="1">
      <formula>IF($A330&lt;&gt;"",IF(B330="",TRUE,FALSE),FALSE)</formula>
    </cfRule>
  </conditionalFormatting>
  <conditionalFormatting sqref="M330">
    <cfRule type="expression" dxfId="2733" priority="2699" stopIfTrue="1">
      <formula>IF($F330="I",TRUE,FALSE)</formula>
    </cfRule>
  </conditionalFormatting>
  <conditionalFormatting sqref="B331:D331 F331:G331 I331:P331">
    <cfRule type="expression" dxfId="2732" priority="2698" stopIfTrue="1">
      <formula>IF($A331&lt;&gt;"",IF(B331="",TRUE,FALSE),FALSE)</formula>
    </cfRule>
  </conditionalFormatting>
  <conditionalFormatting sqref="M331">
    <cfRule type="expression" dxfId="2731" priority="2697" stopIfTrue="1">
      <formula>IF($F331="I",TRUE,FALSE)</formula>
    </cfRule>
  </conditionalFormatting>
  <conditionalFormatting sqref="B332:D332 F332:G332 I332:P332">
    <cfRule type="expression" dxfId="2730" priority="2696" stopIfTrue="1">
      <formula>IF($A332&lt;&gt;"",IF(B332="",TRUE,FALSE),FALSE)</formula>
    </cfRule>
  </conditionalFormatting>
  <conditionalFormatting sqref="M332">
    <cfRule type="expression" dxfId="2729" priority="2695" stopIfTrue="1">
      <formula>IF($F332="I",TRUE,FALSE)</formula>
    </cfRule>
  </conditionalFormatting>
  <conditionalFormatting sqref="B333:D333 F333:G333 I333:P333">
    <cfRule type="expression" dxfId="2728" priority="2694" stopIfTrue="1">
      <formula>IF($A333&lt;&gt;"",IF(B333="",TRUE,FALSE),FALSE)</formula>
    </cfRule>
  </conditionalFormatting>
  <conditionalFormatting sqref="M333">
    <cfRule type="expression" dxfId="2727" priority="2693" stopIfTrue="1">
      <formula>IF($F333="I",TRUE,FALSE)</formula>
    </cfRule>
  </conditionalFormatting>
  <conditionalFormatting sqref="B334:D334 F334:G334 I334:P334">
    <cfRule type="expression" dxfId="2726" priority="2692" stopIfTrue="1">
      <formula>IF($A334&lt;&gt;"",IF(B334="",TRUE,FALSE),FALSE)</formula>
    </cfRule>
  </conditionalFormatting>
  <conditionalFormatting sqref="M334">
    <cfRule type="expression" dxfId="2725" priority="2691" stopIfTrue="1">
      <formula>IF($F334="I",TRUE,FALSE)</formula>
    </cfRule>
  </conditionalFormatting>
  <conditionalFormatting sqref="B335:D335 F335:G335 I335:P335">
    <cfRule type="expression" dxfId="2724" priority="2690" stopIfTrue="1">
      <formula>IF($A335&lt;&gt;"",IF(B335="",TRUE,FALSE),FALSE)</formula>
    </cfRule>
  </conditionalFormatting>
  <conditionalFormatting sqref="M335">
    <cfRule type="expression" dxfId="2723" priority="2689" stopIfTrue="1">
      <formula>IF($F335="I",TRUE,FALSE)</formula>
    </cfRule>
  </conditionalFormatting>
  <conditionalFormatting sqref="B336:D336 F336:G336 I336:P336">
    <cfRule type="expression" dxfId="2722" priority="2688" stopIfTrue="1">
      <formula>IF($A336&lt;&gt;"",IF(B336="",TRUE,FALSE),FALSE)</formula>
    </cfRule>
  </conditionalFormatting>
  <conditionalFormatting sqref="M336">
    <cfRule type="expression" dxfId="2721" priority="2687" stopIfTrue="1">
      <formula>IF($F336="I",TRUE,FALSE)</formula>
    </cfRule>
  </conditionalFormatting>
  <conditionalFormatting sqref="B337:D337 F337:G337 I337:P337">
    <cfRule type="expression" dxfId="2720" priority="2686" stopIfTrue="1">
      <formula>IF($A337&lt;&gt;"",IF(B337="",TRUE,FALSE),FALSE)</formula>
    </cfRule>
  </conditionalFormatting>
  <conditionalFormatting sqref="M337">
    <cfRule type="expression" dxfId="2719" priority="2685" stopIfTrue="1">
      <formula>IF($F337="I",TRUE,FALSE)</formula>
    </cfRule>
  </conditionalFormatting>
  <conditionalFormatting sqref="B338:D338 F338:G338 I338:P338">
    <cfRule type="expression" dxfId="2718" priority="2684" stopIfTrue="1">
      <formula>IF($A338&lt;&gt;"",IF(B338="",TRUE,FALSE),FALSE)</formula>
    </cfRule>
  </conditionalFormatting>
  <conditionalFormatting sqref="M338">
    <cfRule type="expression" dxfId="2717" priority="2683" stopIfTrue="1">
      <formula>IF($F338="I",TRUE,FALSE)</formula>
    </cfRule>
  </conditionalFormatting>
  <conditionalFormatting sqref="B339:D339 F339:G339 I339:P339">
    <cfRule type="expression" dxfId="2716" priority="2682" stopIfTrue="1">
      <formula>IF($A339&lt;&gt;"",IF(B339="",TRUE,FALSE),FALSE)</formula>
    </cfRule>
  </conditionalFormatting>
  <conditionalFormatting sqref="M339">
    <cfRule type="expression" dxfId="2715" priority="2681" stopIfTrue="1">
      <formula>IF($F339="I",TRUE,FALSE)</formula>
    </cfRule>
  </conditionalFormatting>
  <conditionalFormatting sqref="B340:D340 F340:G340 I340:P340">
    <cfRule type="expression" dxfId="2714" priority="2680" stopIfTrue="1">
      <formula>IF($A340&lt;&gt;"",IF(B340="",TRUE,FALSE),FALSE)</formula>
    </cfRule>
  </conditionalFormatting>
  <conditionalFormatting sqref="M340">
    <cfRule type="expression" dxfId="2713" priority="2679" stopIfTrue="1">
      <formula>IF($F340="I",TRUE,FALSE)</formula>
    </cfRule>
  </conditionalFormatting>
  <conditionalFormatting sqref="B341:D341 F341:G341 I341:P341">
    <cfRule type="expression" dxfId="2712" priority="2678" stopIfTrue="1">
      <formula>IF($A341&lt;&gt;"",IF(B341="",TRUE,FALSE),FALSE)</formula>
    </cfRule>
  </conditionalFormatting>
  <conditionalFormatting sqref="M341">
    <cfRule type="expression" dxfId="2711" priority="2677" stopIfTrue="1">
      <formula>IF($F341="I",TRUE,FALSE)</formula>
    </cfRule>
  </conditionalFormatting>
  <conditionalFormatting sqref="B342:D342 F342:G342 I342:P342">
    <cfRule type="expression" dxfId="2710" priority="2676" stopIfTrue="1">
      <formula>IF($A342&lt;&gt;"",IF(B342="",TRUE,FALSE),FALSE)</formula>
    </cfRule>
  </conditionalFormatting>
  <conditionalFormatting sqref="M342">
    <cfRule type="expression" dxfId="2709" priority="2675" stopIfTrue="1">
      <formula>IF($F342="I",TRUE,FALSE)</formula>
    </cfRule>
  </conditionalFormatting>
  <conditionalFormatting sqref="B343:D343 F343:G343 I343:P343">
    <cfRule type="expression" dxfId="2708" priority="2674" stopIfTrue="1">
      <formula>IF($A343&lt;&gt;"",IF(B343="",TRUE,FALSE),FALSE)</formula>
    </cfRule>
  </conditionalFormatting>
  <conditionalFormatting sqref="M343">
    <cfRule type="expression" dxfId="2707" priority="2673" stopIfTrue="1">
      <formula>IF($F343="I",TRUE,FALSE)</formula>
    </cfRule>
  </conditionalFormatting>
  <conditionalFormatting sqref="B344:D344 F344:G344 I344:P344">
    <cfRule type="expression" dxfId="2706" priority="2672" stopIfTrue="1">
      <formula>IF($A344&lt;&gt;"",IF(B344="",TRUE,FALSE),FALSE)</formula>
    </cfRule>
  </conditionalFormatting>
  <conditionalFormatting sqref="M344">
    <cfRule type="expression" dxfId="2705" priority="2671" stopIfTrue="1">
      <formula>IF($F344="I",TRUE,FALSE)</formula>
    </cfRule>
  </conditionalFormatting>
  <conditionalFormatting sqref="B345:D345 F345:G345 I345:P345">
    <cfRule type="expression" dxfId="2704" priority="2670" stopIfTrue="1">
      <formula>IF($A345&lt;&gt;"",IF(B345="",TRUE,FALSE),FALSE)</formula>
    </cfRule>
  </conditionalFormatting>
  <conditionalFormatting sqref="M345">
    <cfRule type="expression" dxfId="2703" priority="2669" stopIfTrue="1">
      <formula>IF($F345="I",TRUE,FALSE)</formula>
    </cfRule>
  </conditionalFormatting>
  <conditionalFormatting sqref="B346:D346 F346:G346 I346:P346">
    <cfRule type="expression" dxfId="2702" priority="2668" stopIfTrue="1">
      <formula>IF($A346&lt;&gt;"",IF(B346="",TRUE,FALSE),FALSE)</formula>
    </cfRule>
  </conditionalFormatting>
  <conditionalFormatting sqref="M346">
    <cfRule type="expression" dxfId="2701" priority="2667" stopIfTrue="1">
      <formula>IF($F346="I",TRUE,FALSE)</formula>
    </cfRule>
  </conditionalFormatting>
  <conditionalFormatting sqref="B347:D347 F347:G347 I347:P347">
    <cfRule type="expression" dxfId="2700" priority="2666" stopIfTrue="1">
      <formula>IF($A347&lt;&gt;"",IF(B347="",TRUE,FALSE),FALSE)</formula>
    </cfRule>
  </conditionalFormatting>
  <conditionalFormatting sqref="M347">
    <cfRule type="expression" dxfId="2699" priority="2665" stopIfTrue="1">
      <formula>IF($F347="I",TRUE,FALSE)</formula>
    </cfRule>
  </conditionalFormatting>
  <conditionalFormatting sqref="B348:D348 F348:G348 I348:P348">
    <cfRule type="expression" dxfId="2698" priority="2664" stopIfTrue="1">
      <formula>IF($A348&lt;&gt;"",IF(B348="",TRUE,FALSE),FALSE)</formula>
    </cfRule>
  </conditionalFormatting>
  <conditionalFormatting sqref="M348">
    <cfRule type="expression" dxfId="2697" priority="2663" stopIfTrue="1">
      <formula>IF($F348="I",TRUE,FALSE)</formula>
    </cfRule>
  </conditionalFormatting>
  <conditionalFormatting sqref="B349:D349 F349:G349 I349:P349">
    <cfRule type="expression" dxfId="2696" priority="2662" stopIfTrue="1">
      <formula>IF($A349&lt;&gt;"",IF(B349="",TRUE,FALSE),FALSE)</formula>
    </cfRule>
  </conditionalFormatting>
  <conditionalFormatting sqref="M349">
    <cfRule type="expression" dxfId="2695" priority="2661" stopIfTrue="1">
      <formula>IF($F349="I",TRUE,FALSE)</formula>
    </cfRule>
  </conditionalFormatting>
  <conditionalFormatting sqref="B350:D350 F350:G350 I350:P350">
    <cfRule type="expression" dxfId="2694" priority="2660" stopIfTrue="1">
      <formula>IF($A350&lt;&gt;"",IF(B350="",TRUE,FALSE),FALSE)</formula>
    </cfRule>
  </conditionalFormatting>
  <conditionalFormatting sqref="M350">
    <cfRule type="expression" dxfId="2693" priority="2659" stopIfTrue="1">
      <formula>IF($F350="I",TRUE,FALSE)</formula>
    </cfRule>
  </conditionalFormatting>
  <conditionalFormatting sqref="B351:D351 F351:G351 I351:P351">
    <cfRule type="expression" dxfId="2692" priority="2658" stopIfTrue="1">
      <formula>IF($A351&lt;&gt;"",IF(B351="",TRUE,FALSE),FALSE)</formula>
    </cfRule>
  </conditionalFormatting>
  <conditionalFormatting sqref="M351">
    <cfRule type="expression" dxfId="2691" priority="2657" stopIfTrue="1">
      <formula>IF($F351="I",TRUE,FALSE)</formula>
    </cfRule>
  </conditionalFormatting>
  <conditionalFormatting sqref="B352:D352 F352:G352 I352:P352">
    <cfRule type="expression" dxfId="2690" priority="2656" stopIfTrue="1">
      <formula>IF($A352&lt;&gt;"",IF(B352="",TRUE,FALSE),FALSE)</formula>
    </cfRule>
  </conditionalFormatting>
  <conditionalFormatting sqref="M352">
    <cfRule type="expression" dxfId="2689" priority="2655" stopIfTrue="1">
      <formula>IF($F352="I",TRUE,FALSE)</formula>
    </cfRule>
  </conditionalFormatting>
  <conditionalFormatting sqref="B353:D353 F353:G353 I353:P353">
    <cfRule type="expression" dxfId="2688" priority="2654" stopIfTrue="1">
      <formula>IF($A353&lt;&gt;"",IF(B353="",TRUE,FALSE),FALSE)</formula>
    </cfRule>
  </conditionalFormatting>
  <conditionalFormatting sqref="M353">
    <cfRule type="expression" dxfId="2687" priority="2653" stopIfTrue="1">
      <formula>IF($F353="I",TRUE,FALSE)</formula>
    </cfRule>
  </conditionalFormatting>
  <conditionalFormatting sqref="B354:D354 F354:G354 I354:P354">
    <cfRule type="expression" dxfId="2686" priority="2652" stopIfTrue="1">
      <formula>IF($A354&lt;&gt;"",IF(B354="",TRUE,FALSE),FALSE)</formula>
    </cfRule>
  </conditionalFormatting>
  <conditionalFormatting sqref="M354">
    <cfRule type="expression" dxfId="2685" priority="2651" stopIfTrue="1">
      <formula>IF($F354="I",TRUE,FALSE)</formula>
    </cfRule>
  </conditionalFormatting>
  <conditionalFormatting sqref="B355:D355 F355:G355 I355:P355">
    <cfRule type="expression" dxfId="2684" priority="2650" stopIfTrue="1">
      <formula>IF($A355&lt;&gt;"",IF(B355="",TRUE,FALSE),FALSE)</formula>
    </cfRule>
  </conditionalFormatting>
  <conditionalFormatting sqref="M355">
    <cfRule type="expression" dxfId="2683" priority="2649" stopIfTrue="1">
      <formula>IF($F355="I",TRUE,FALSE)</formula>
    </cfRule>
  </conditionalFormatting>
  <conditionalFormatting sqref="B356:D356 F356:G356 I356:P356">
    <cfRule type="expression" dxfId="2682" priority="2648" stopIfTrue="1">
      <formula>IF($A356&lt;&gt;"",IF(B356="",TRUE,FALSE),FALSE)</formula>
    </cfRule>
  </conditionalFormatting>
  <conditionalFormatting sqref="M356">
    <cfRule type="expression" dxfId="2681" priority="2647" stopIfTrue="1">
      <formula>IF($F356="I",TRUE,FALSE)</formula>
    </cfRule>
  </conditionalFormatting>
  <conditionalFormatting sqref="B357:D357 F357:G357 I357:P357">
    <cfRule type="expression" dxfId="2680" priority="2646" stopIfTrue="1">
      <formula>IF($A357&lt;&gt;"",IF(B357="",TRUE,FALSE),FALSE)</formula>
    </cfRule>
  </conditionalFormatting>
  <conditionalFormatting sqref="M357">
    <cfRule type="expression" dxfId="2679" priority="2645" stopIfTrue="1">
      <formula>IF($F357="I",TRUE,FALSE)</formula>
    </cfRule>
  </conditionalFormatting>
  <conditionalFormatting sqref="B358:D358 F358:G358 I358:P358">
    <cfRule type="expression" dxfId="2678" priority="2644" stopIfTrue="1">
      <formula>IF($A358&lt;&gt;"",IF(B358="",TRUE,FALSE),FALSE)</formula>
    </cfRule>
  </conditionalFormatting>
  <conditionalFormatting sqref="M358">
    <cfRule type="expression" dxfId="2677" priority="2643" stopIfTrue="1">
      <formula>IF($F358="I",TRUE,FALSE)</formula>
    </cfRule>
  </conditionalFormatting>
  <conditionalFormatting sqref="B359:D359 F359:G359 I359:P359">
    <cfRule type="expression" dxfId="2676" priority="2642" stopIfTrue="1">
      <formula>IF($A359&lt;&gt;"",IF(B359="",TRUE,FALSE),FALSE)</formula>
    </cfRule>
  </conditionalFormatting>
  <conditionalFormatting sqref="M359">
    <cfRule type="expression" dxfId="2675" priority="2641" stopIfTrue="1">
      <formula>IF($F359="I",TRUE,FALSE)</formula>
    </cfRule>
  </conditionalFormatting>
  <conditionalFormatting sqref="B360:D360 F360:G360 I360:P360">
    <cfRule type="expression" dxfId="2674" priority="2640" stopIfTrue="1">
      <formula>IF($A360&lt;&gt;"",IF(B360="",TRUE,FALSE),FALSE)</formula>
    </cfRule>
  </conditionalFormatting>
  <conditionalFormatting sqref="M360">
    <cfRule type="expression" dxfId="2673" priority="2639" stopIfTrue="1">
      <formula>IF($F360="I",TRUE,FALSE)</formula>
    </cfRule>
  </conditionalFormatting>
  <conditionalFormatting sqref="B361:D361 F361:G361 I361:P361">
    <cfRule type="expression" dxfId="2672" priority="2638" stopIfTrue="1">
      <formula>IF($A361&lt;&gt;"",IF(B361="",TRUE,FALSE),FALSE)</formula>
    </cfRule>
  </conditionalFormatting>
  <conditionalFormatting sqref="M361">
    <cfRule type="expression" dxfId="2671" priority="2637" stopIfTrue="1">
      <formula>IF($F361="I",TRUE,FALSE)</formula>
    </cfRule>
  </conditionalFormatting>
  <conditionalFormatting sqref="B362:D362 F362:G362 I362:P362">
    <cfRule type="expression" dxfId="2670" priority="2636" stopIfTrue="1">
      <formula>IF($A362&lt;&gt;"",IF(B362="",TRUE,FALSE),FALSE)</formula>
    </cfRule>
  </conditionalFormatting>
  <conditionalFormatting sqref="M362">
    <cfRule type="expression" dxfId="2669" priority="2635" stopIfTrue="1">
      <formula>IF($F362="I",TRUE,FALSE)</formula>
    </cfRule>
  </conditionalFormatting>
  <conditionalFormatting sqref="B363:D363 F363:G363 I363:P363">
    <cfRule type="expression" dxfId="2668" priority="2634" stopIfTrue="1">
      <formula>IF($A363&lt;&gt;"",IF(B363="",TRUE,FALSE),FALSE)</formula>
    </cfRule>
  </conditionalFormatting>
  <conditionalFormatting sqref="M363">
    <cfRule type="expression" dxfId="2667" priority="2633" stopIfTrue="1">
      <formula>IF($F363="I",TRUE,FALSE)</formula>
    </cfRule>
  </conditionalFormatting>
  <conditionalFormatting sqref="B364:D364 F364:G364 I364:P364">
    <cfRule type="expression" dxfId="2666" priority="2632" stopIfTrue="1">
      <formula>IF($A364&lt;&gt;"",IF(B364="",TRUE,FALSE),FALSE)</formula>
    </cfRule>
  </conditionalFormatting>
  <conditionalFormatting sqref="M364">
    <cfRule type="expression" dxfId="2665" priority="2631" stopIfTrue="1">
      <formula>IF($F364="I",TRUE,FALSE)</formula>
    </cfRule>
  </conditionalFormatting>
  <conditionalFormatting sqref="B365:D365 F365:G365 I365:P365">
    <cfRule type="expression" dxfId="2664" priority="2630" stopIfTrue="1">
      <formula>IF($A365&lt;&gt;"",IF(B365="",TRUE,FALSE),FALSE)</formula>
    </cfRule>
  </conditionalFormatting>
  <conditionalFormatting sqref="M365">
    <cfRule type="expression" dxfId="2663" priority="2629" stopIfTrue="1">
      <formula>IF($F365="I",TRUE,FALSE)</formula>
    </cfRule>
  </conditionalFormatting>
  <conditionalFormatting sqref="B366:D366 F366:G366 I366:P366">
    <cfRule type="expression" dxfId="2662" priority="2628" stopIfTrue="1">
      <formula>IF($A366&lt;&gt;"",IF(B366="",TRUE,FALSE),FALSE)</formula>
    </cfRule>
  </conditionalFormatting>
  <conditionalFormatting sqref="M366">
    <cfRule type="expression" dxfId="2661" priority="2627" stopIfTrue="1">
      <formula>IF($F366="I",TRUE,FALSE)</formula>
    </cfRule>
  </conditionalFormatting>
  <conditionalFormatting sqref="B367:D367 F367:G367 I367:P367">
    <cfRule type="expression" dxfId="2660" priority="2626" stopIfTrue="1">
      <formula>IF($A367&lt;&gt;"",IF(B367="",TRUE,FALSE),FALSE)</formula>
    </cfRule>
  </conditionalFormatting>
  <conditionalFormatting sqref="M367">
    <cfRule type="expression" dxfId="2659" priority="2625" stopIfTrue="1">
      <formula>IF($F367="I",TRUE,FALSE)</formula>
    </cfRule>
  </conditionalFormatting>
  <conditionalFormatting sqref="B368:D368 F368:G368 I368:P368">
    <cfRule type="expression" dxfId="2658" priority="2624" stopIfTrue="1">
      <formula>IF($A368&lt;&gt;"",IF(B368="",TRUE,FALSE),FALSE)</formula>
    </cfRule>
  </conditionalFormatting>
  <conditionalFormatting sqref="M368">
    <cfRule type="expression" dxfId="2657" priority="2623" stopIfTrue="1">
      <formula>IF($F368="I",TRUE,FALSE)</formula>
    </cfRule>
  </conditionalFormatting>
  <conditionalFormatting sqref="B369:D369 F369:G369 I369:P369">
    <cfRule type="expression" dxfId="2656" priority="2622" stopIfTrue="1">
      <formula>IF($A369&lt;&gt;"",IF(B369="",TRUE,FALSE),FALSE)</formula>
    </cfRule>
  </conditionalFormatting>
  <conditionalFormatting sqref="M369">
    <cfRule type="expression" dxfId="2655" priority="2621" stopIfTrue="1">
      <formula>IF($F369="I",TRUE,FALSE)</formula>
    </cfRule>
  </conditionalFormatting>
  <conditionalFormatting sqref="B370:D370 F370:G370 I370:P370">
    <cfRule type="expression" dxfId="2654" priority="2620" stopIfTrue="1">
      <formula>IF($A370&lt;&gt;"",IF(B370="",TRUE,FALSE),FALSE)</formula>
    </cfRule>
  </conditionalFormatting>
  <conditionalFormatting sqref="M370">
    <cfRule type="expression" dxfId="2653" priority="2619" stopIfTrue="1">
      <formula>IF($F370="I",TRUE,FALSE)</formula>
    </cfRule>
  </conditionalFormatting>
  <conditionalFormatting sqref="B371:D371 F371:G371 I371:P371">
    <cfRule type="expression" dxfId="2652" priority="2618" stopIfTrue="1">
      <formula>IF($A371&lt;&gt;"",IF(B371="",TRUE,FALSE),FALSE)</formula>
    </cfRule>
  </conditionalFormatting>
  <conditionalFormatting sqref="M371">
    <cfRule type="expression" dxfId="2651" priority="2617" stopIfTrue="1">
      <formula>IF($F371="I",TRUE,FALSE)</formula>
    </cfRule>
  </conditionalFormatting>
  <conditionalFormatting sqref="B372:D372 F372:G372 I372:P372">
    <cfRule type="expression" dxfId="2650" priority="2616" stopIfTrue="1">
      <formula>IF($A372&lt;&gt;"",IF(B372="",TRUE,FALSE),FALSE)</formula>
    </cfRule>
  </conditionalFormatting>
  <conditionalFormatting sqref="M372">
    <cfRule type="expression" dxfId="2649" priority="2615" stopIfTrue="1">
      <formula>IF($F372="I",TRUE,FALSE)</formula>
    </cfRule>
  </conditionalFormatting>
  <conditionalFormatting sqref="B373:D373 F373:G373 I373:P373">
    <cfRule type="expression" dxfId="2648" priority="2614" stopIfTrue="1">
      <formula>IF($A373&lt;&gt;"",IF(B373="",TRUE,FALSE),FALSE)</formula>
    </cfRule>
  </conditionalFormatting>
  <conditionalFormatting sqref="M373">
    <cfRule type="expression" dxfId="2647" priority="2613" stopIfTrue="1">
      <formula>IF($F373="I",TRUE,FALSE)</formula>
    </cfRule>
  </conditionalFormatting>
  <conditionalFormatting sqref="B374:D374 F374:G374 I374:P374">
    <cfRule type="expression" dxfId="2646" priority="2612" stopIfTrue="1">
      <formula>IF($A374&lt;&gt;"",IF(B374="",TRUE,FALSE),FALSE)</formula>
    </cfRule>
  </conditionalFormatting>
  <conditionalFormatting sqref="M374">
    <cfRule type="expression" dxfId="2645" priority="2611" stopIfTrue="1">
      <formula>IF($F374="I",TRUE,FALSE)</formula>
    </cfRule>
  </conditionalFormatting>
  <conditionalFormatting sqref="B375:D375 F375:G375 I375:P375">
    <cfRule type="expression" dxfId="2644" priority="2610" stopIfTrue="1">
      <formula>IF($A375&lt;&gt;"",IF(B375="",TRUE,FALSE),FALSE)</formula>
    </cfRule>
  </conditionalFormatting>
  <conditionalFormatting sqref="M375">
    <cfRule type="expression" dxfId="2643" priority="2609" stopIfTrue="1">
      <formula>IF($F375="I",TRUE,FALSE)</formula>
    </cfRule>
  </conditionalFormatting>
  <conditionalFormatting sqref="B376:D376 F376:G376 I376:P376">
    <cfRule type="expression" dxfId="2642" priority="2608" stopIfTrue="1">
      <formula>IF($A376&lt;&gt;"",IF(B376="",TRUE,FALSE),FALSE)</formula>
    </cfRule>
  </conditionalFormatting>
  <conditionalFormatting sqref="M376">
    <cfRule type="expression" dxfId="2641" priority="2607" stopIfTrue="1">
      <formula>IF($F376="I",TRUE,FALSE)</formula>
    </cfRule>
  </conditionalFormatting>
  <conditionalFormatting sqref="B377:D377 F377:G377 I377:P377">
    <cfRule type="expression" dxfId="2640" priority="2606" stopIfTrue="1">
      <formula>IF($A377&lt;&gt;"",IF(B377="",TRUE,FALSE),FALSE)</formula>
    </cfRule>
  </conditionalFormatting>
  <conditionalFormatting sqref="M377">
    <cfRule type="expression" dxfId="2639" priority="2605" stopIfTrue="1">
      <formula>IF($F377="I",TRUE,FALSE)</formula>
    </cfRule>
  </conditionalFormatting>
  <conditionalFormatting sqref="B378:D378 F378:G378 I378:P378">
    <cfRule type="expression" dxfId="2638" priority="2604" stopIfTrue="1">
      <formula>IF($A378&lt;&gt;"",IF(B378="",TRUE,FALSE),FALSE)</formula>
    </cfRule>
  </conditionalFormatting>
  <conditionalFormatting sqref="M378">
    <cfRule type="expression" dxfId="2637" priority="2603" stopIfTrue="1">
      <formula>IF($F378="I",TRUE,FALSE)</formula>
    </cfRule>
  </conditionalFormatting>
  <conditionalFormatting sqref="B379:D379 F379:G379 I379:P379">
    <cfRule type="expression" dxfId="2636" priority="2602" stopIfTrue="1">
      <formula>IF($A379&lt;&gt;"",IF(B379="",TRUE,FALSE),FALSE)</formula>
    </cfRule>
  </conditionalFormatting>
  <conditionalFormatting sqref="M379">
    <cfRule type="expression" dxfId="2635" priority="2601" stopIfTrue="1">
      <formula>IF($F379="I",TRUE,FALSE)</formula>
    </cfRule>
  </conditionalFormatting>
  <conditionalFormatting sqref="B380:D380 F380:G380 I380:P380">
    <cfRule type="expression" dxfId="2634" priority="2600" stopIfTrue="1">
      <formula>IF($A380&lt;&gt;"",IF(B380="",TRUE,FALSE),FALSE)</formula>
    </cfRule>
  </conditionalFormatting>
  <conditionalFormatting sqref="M380">
    <cfRule type="expression" dxfId="2633" priority="2599" stopIfTrue="1">
      <formula>IF($F380="I",TRUE,FALSE)</formula>
    </cfRule>
  </conditionalFormatting>
  <conditionalFormatting sqref="B381:D381 F381:G381 I381:P381">
    <cfRule type="expression" dxfId="2632" priority="2598" stopIfTrue="1">
      <formula>IF($A381&lt;&gt;"",IF(B381="",TRUE,FALSE),FALSE)</formula>
    </cfRule>
  </conditionalFormatting>
  <conditionalFormatting sqref="M381">
    <cfRule type="expression" dxfId="2631" priority="2597" stopIfTrue="1">
      <formula>IF($F381="I",TRUE,FALSE)</formula>
    </cfRule>
  </conditionalFormatting>
  <conditionalFormatting sqref="B382:D382 F382:G382 I382:P382">
    <cfRule type="expression" dxfId="2630" priority="2596" stopIfTrue="1">
      <formula>IF($A382&lt;&gt;"",IF(B382="",TRUE,FALSE),FALSE)</formula>
    </cfRule>
  </conditionalFormatting>
  <conditionalFormatting sqref="M382">
    <cfRule type="expression" dxfId="2629" priority="2595" stopIfTrue="1">
      <formula>IF($F382="I",TRUE,FALSE)</formula>
    </cfRule>
  </conditionalFormatting>
  <conditionalFormatting sqref="B383:D383 F383:G383 I383:P383">
    <cfRule type="expression" dxfId="2628" priority="2594" stopIfTrue="1">
      <formula>IF($A383&lt;&gt;"",IF(B383="",TRUE,FALSE),FALSE)</formula>
    </cfRule>
  </conditionalFormatting>
  <conditionalFormatting sqref="M383">
    <cfRule type="expression" dxfId="2627" priority="2593" stopIfTrue="1">
      <formula>IF($F383="I",TRUE,FALSE)</formula>
    </cfRule>
  </conditionalFormatting>
  <conditionalFormatting sqref="B384:D384 F384:G384 I384:P384">
    <cfRule type="expression" dxfId="2626" priority="2592" stopIfTrue="1">
      <formula>IF($A384&lt;&gt;"",IF(B384="",TRUE,FALSE),FALSE)</formula>
    </cfRule>
  </conditionalFormatting>
  <conditionalFormatting sqref="M384">
    <cfRule type="expression" dxfId="2625" priority="2591" stopIfTrue="1">
      <formula>IF($F384="I",TRUE,FALSE)</formula>
    </cfRule>
  </conditionalFormatting>
  <conditionalFormatting sqref="B385:D385 F385:G385 I385:P385">
    <cfRule type="expression" dxfId="2624" priority="2590" stopIfTrue="1">
      <formula>IF($A385&lt;&gt;"",IF(B385="",TRUE,FALSE),FALSE)</formula>
    </cfRule>
  </conditionalFormatting>
  <conditionalFormatting sqref="M385">
    <cfRule type="expression" dxfId="2623" priority="2589" stopIfTrue="1">
      <formula>IF($F385="I",TRUE,FALSE)</formula>
    </cfRule>
  </conditionalFormatting>
  <conditionalFormatting sqref="B386:D386 F386:G386 I386:P386">
    <cfRule type="expression" dxfId="2622" priority="2588" stopIfTrue="1">
      <formula>IF($A386&lt;&gt;"",IF(B386="",TRUE,FALSE),FALSE)</formula>
    </cfRule>
  </conditionalFormatting>
  <conditionalFormatting sqref="M386">
    <cfRule type="expression" dxfId="2621" priority="2587" stopIfTrue="1">
      <formula>IF($F386="I",TRUE,FALSE)</formula>
    </cfRule>
  </conditionalFormatting>
  <conditionalFormatting sqref="B387:D387 F387:G387 I387:P387">
    <cfRule type="expression" dxfId="2620" priority="2586" stopIfTrue="1">
      <formula>IF($A387&lt;&gt;"",IF(B387="",TRUE,FALSE),FALSE)</formula>
    </cfRule>
  </conditionalFormatting>
  <conditionalFormatting sqref="M387">
    <cfRule type="expression" dxfId="2619" priority="2585" stopIfTrue="1">
      <formula>IF($F387="I",TRUE,FALSE)</formula>
    </cfRule>
  </conditionalFormatting>
  <conditionalFormatting sqref="B388:D388 F388:G388 I388:P388">
    <cfRule type="expression" dxfId="2618" priority="2584" stopIfTrue="1">
      <formula>IF($A388&lt;&gt;"",IF(B388="",TRUE,FALSE),FALSE)</formula>
    </cfRule>
  </conditionalFormatting>
  <conditionalFormatting sqref="M388">
    <cfRule type="expression" dxfId="2617" priority="2583" stopIfTrue="1">
      <formula>IF($F388="I",TRUE,FALSE)</formula>
    </cfRule>
  </conditionalFormatting>
  <conditionalFormatting sqref="B389:D389 F389:G389 I389:P389">
    <cfRule type="expression" dxfId="2616" priority="2582" stopIfTrue="1">
      <formula>IF($A389&lt;&gt;"",IF(B389="",TRUE,FALSE),FALSE)</formula>
    </cfRule>
  </conditionalFormatting>
  <conditionalFormatting sqref="M389">
    <cfRule type="expression" dxfId="2615" priority="2581" stopIfTrue="1">
      <formula>IF($F389="I",TRUE,FALSE)</formula>
    </cfRule>
  </conditionalFormatting>
  <conditionalFormatting sqref="B390:D390 F390:G390 I390:P390">
    <cfRule type="expression" dxfId="2614" priority="2580" stopIfTrue="1">
      <formula>IF($A390&lt;&gt;"",IF(B390="",TRUE,FALSE),FALSE)</formula>
    </cfRule>
  </conditionalFormatting>
  <conditionalFormatting sqref="M390">
    <cfRule type="expression" dxfId="2613" priority="2579" stopIfTrue="1">
      <formula>IF($F390="I",TRUE,FALSE)</formula>
    </cfRule>
  </conditionalFormatting>
  <conditionalFormatting sqref="B391:D391 F391:G391 I391:P391">
    <cfRule type="expression" dxfId="2612" priority="2578" stopIfTrue="1">
      <formula>IF($A391&lt;&gt;"",IF(B391="",TRUE,FALSE),FALSE)</formula>
    </cfRule>
  </conditionalFormatting>
  <conditionalFormatting sqref="M391">
    <cfRule type="expression" dxfId="2611" priority="2577" stopIfTrue="1">
      <formula>IF($F391="I",TRUE,FALSE)</formula>
    </cfRule>
  </conditionalFormatting>
  <conditionalFormatting sqref="B392:D392 F392:G392 I392:P392">
    <cfRule type="expression" dxfId="2610" priority="2576" stopIfTrue="1">
      <formula>IF($A392&lt;&gt;"",IF(B392="",TRUE,FALSE),FALSE)</formula>
    </cfRule>
  </conditionalFormatting>
  <conditionalFormatting sqref="M392">
    <cfRule type="expression" dxfId="2609" priority="2575" stopIfTrue="1">
      <formula>IF($F392="I",TRUE,FALSE)</formula>
    </cfRule>
  </conditionalFormatting>
  <conditionalFormatting sqref="B393:D393 F393:G393 I393:P393">
    <cfRule type="expression" dxfId="2608" priority="2574" stopIfTrue="1">
      <formula>IF($A393&lt;&gt;"",IF(B393="",TRUE,FALSE),FALSE)</formula>
    </cfRule>
  </conditionalFormatting>
  <conditionalFormatting sqref="M393">
    <cfRule type="expression" dxfId="2607" priority="2573" stopIfTrue="1">
      <formula>IF($F393="I",TRUE,FALSE)</formula>
    </cfRule>
  </conditionalFormatting>
  <conditionalFormatting sqref="B394:D394 F394:G394 I394:P394">
    <cfRule type="expression" dxfId="2606" priority="2572" stopIfTrue="1">
      <formula>IF($A394&lt;&gt;"",IF(B394="",TRUE,FALSE),FALSE)</formula>
    </cfRule>
  </conditionalFormatting>
  <conditionalFormatting sqref="M394">
    <cfRule type="expression" dxfId="2605" priority="2571" stopIfTrue="1">
      <formula>IF($F394="I",TRUE,FALSE)</formula>
    </cfRule>
  </conditionalFormatting>
  <conditionalFormatting sqref="B395:D395 F395:G395 I395:P395">
    <cfRule type="expression" dxfId="2604" priority="2570" stopIfTrue="1">
      <formula>IF($A395&lt;&gt;"",IF(B395="",TRUE,FALSE),FALSE)</formula>
    </cfRule>
  </conditionalFormatting>
  <conditionalFormatting sqref="M395">
    <cfRule type="expression" dxfId="2603" priority="2569" stopIfTrue="1">
      <formula>IF($F395="I",TRUE,FALSE)</formula>
    </cfRule>
  </conditionalFormatting>
  <conditionalFormatting sqref="B396:D396 F396:G396 I396:P396">
    <cfRule type="expression" dxfId="2602" priority="2568" stopIfTrue="1">
      <formula>IF($A396&lt;&gt;"",IF(B396="",TRUE,FALSE),FALSE)</formula>
    </cfRule>
  </conditionalFormatting>
  <conditionalFormatting sqref="M396">
    <cfRule type="expression" dxfId="2601" priority="2567" stopIfTrue="1">
      <formula>IF($F396="I",TRUE,FALSE)</formula>
    </cfRule>
  </conditionalFormatting>
  <conditionalFormatting sqref="B397:D397 F397:G397 I397:P397">
    <cfRule type="expression" dxfId="2600" priority="2566" stopIfTrue="1">
      <formula>IF($A397&lt;&gt;"",IF(B397="",TRUE,FALSE),FALSE)</formula>
    </cfRule>
  </conditionalFormatting>
  <conditionalFormatting sqref="M397">
    <cfRule type="expression" dxfId="2599" priority="2565" stopIfTrue="1">
      <formula>IF($F397="I",TRUE,FALSE)</formula>
    </cfRule>
  </conditionalFormatting>
  <conditionalFormatting sqref="B398:D398 F398:G398 I398:P398">
    <cfRule type="expression" dxfId="2598" priority="2564" stopIfTrue="1">
      <formula>IF($A398&lt;&gt;"",IF(B398="",TRUE,FALSE),FALSE)</formula>
    </cfRule>
  </conditionalFormatting>
  <conditionalFormatting sqref="M398">
    <cfRule type="expression" dxfId="2597" priority="2563" stopIfTrue="1">
      <formula>IF($F398="I",TRUE,FALSE)</formula>
    </cfRule>
  </conditionalFormatting>
  <conditionalFormatting sqref="B399:D399 F399:G399 I399:P399">
    <cfRule type="expression" dxfId="2596" priority="2562" stopIfTrue="1">
      <formula>IF($A399&lt;&gt;"",IF(B399="",TRUE,FALSE),FALSE)</formula>
    </cfRule>
  </conditionalFormatting>
  <conditionalFormatting sqref="M399">
    <cfRule type="expression" dxfId="2595" priority="2561" stopIfTrue="1">
      <formula>IF($F399="I",TRUE,FALSE)</formula>
    </cfRule>
  </conditionalFormatting>
  <conditionalFormatting sqref="B400:D400 F400:G400 I400:P400">
    <cfRule type="expression" dxfId="2594" priority="2560" stopIfTrue="1">
      <formula>IF($A400&lt;&gt;"",IF(B400="",TRUE,FALSE),FALSE)</formula>
    </cfRule>
  </conditionalFormatting>
  <conditionalFormatting sqref="M400">
    <cfRule type="expression" dxfId="2593" priority="2559" stopIfTrue="1">
      <formula>IF($F400="I",TRUE,FALSE)</formula>
    </cfRule>
  </conditionalFormatting>
  <conditionalFormatting sqref="B401:D401 F401:G401 I401:P401">
    <cfRule type="expression" dxfId="2592" priority="2558" stopIfTrue="1">
      <formula>IF($A401&lt;&gt;"",IF(B401="",TRUE,FALSE),FALSE)</formula>
    </cfRule>
  </conditionalFormatting>
  <conditionalFormatting sqref="M401">
    <cfRule type="expression" dxfId="2591" priority="2557" stopIfTrue="1">
      <formula>IF($F401="I",TRUE,FALSE)</formula>
    </cfRule>
  </conditionalFormatting>
  <conditionalFormatting sqref="B402:D402 F402:G402 I402:P402">
    <cfRule type="expression" dxfId="2590" priority="2556" stopIfTrue="1">
      <formula>IF($A402&lt;&gt;"",IF(B402="",TRUE,FALSE),FALSE)</formula>
    </cfRule>
  </conditionalFormatting>
  <conditionalFormatting sqref="M402">
    <cfRule type="expression" dxfId="2589" priority="2555" stopIfTrue="1">
      <formula>IF($F402="I",TRUE,FALSE)</formula>
    </cfRule>
  </conditionalFormatting>
  <conditionalFormatting sqref="B403:D403 F403:G403 I403:P403">
    <cfRule type="expression" dxfId="2588" priority="2554" stopIfTrue="1">
      <formula>IF($A403&lt;&gt;"",IF(B403="",TRUE,FALSE),FALSE)</formula>
    </cfRule>
  </conditionalFormatting>
  <conditionalFormatting sqref="M403">
    <cfRule type="expression" dxfId="2587" priority="2553" stopIfTrue="1">
      <formula>IF($F403="I",TRUE,FALSE)</formula>
    </cfRule>
  </conditionalFormatting>
  <conditionalFormatting sqref="B404:D404 F404:G404 I404:P404">
    <cfRule type="expression" dxfId="2586" priority="2552" stopIfTrue="1">
      <formula>IF($A404&lt;&gt;"",IF(B404="",TRUE,FALSE),FALSE)</formula>
    </cfRule>
  </conditionalFormatting>
  <conditionalFormatting sqref="M404">
    <cfRule type="expression" dxfId="2585" priority="2551" stopIfTrue="1">
      <formula>IF($F404="I",TRUE,FALSE)</formula>
    </cfRule>
  </conditionalFormatting>
  <conditionalFormatting sqref="B405:D405 F405:G405 I405:P405">
    <cfRule type="expression" dxfId="2584" priority="2550" stopIfTrue="1">
      <formula>IF($A405&lt;&gt;"",IF(B405="",TRUE,FALSE),FALSE)</formula>
    </cfRule>
  </conditionalFormatting>
  <conditionalFormatting sqref="M405">
    <cfRule type="expression" dxfId="2583" priority="2549" stopIfTrue="1">
      <formula>IF($F405="I",TRUE,FALSE)</formula>
    </cfRule>
  </conditionalFormatting>
  <conditionalFormatting sqref="B406:D406 F406:G406 I406:P406">
    <cfRule type="expression" dxfId="2582" priority="2548" stopIfTrue="1">
      <formula>IF($A406&lt;&gt;"",IF(B406="",TRUE,FALSE),FALSE)</formula>
    </cfRule>
  </conditionalFormatting>
  <conditionalFormatting sqref="M406">
    <cfRule type="expression" dxfId="2581" priority="2547" stopIfTrue="1">
      <formula>IF($F406="I",TRUE,FALSE)</formula>
    </cfRule>
  </conditionalFormatting>
  <conditionalFormatting sqref="B407:D407 F407:G407 I407:P407">
    <cfRule type="expression" dxfId="2580" priority="2546" stopIfTrue="1">
      <formula>IF($A407&lt;&gt;"",IF(B407="",TRUE,FALSE),FALSE)</formula>
    </cfRule>
  </conditionalFormatting>
  <conditionalFormatting sqref="M407">
    <cfRule type="expression" dxfId="2579" priority="2545" stopIfTrue="1">
      <formula>IF($F407="I",TRUE,FALSE)</formula>
    </cfRule>
  </conditionalFormatting>
  <conditionalFormatting sqref="B408:D408 F408:G408 I408:P408">
    <cfRule type="expression" dxfId="2578" priority="2544" stopIfTrue="1">
      <formula>IF($A408&lt;&gt;"",IF(B408="",TRUE,FALSE),FALSE)</formula>
    </cfRule>
  </conditionalFormatting>
  <conditionalFormatting sqref="M408">
    <cfRule type="expression" dxfId="2577" priority="2543" stopIfTrue="1">
      <formula>IF($F408="I",TRUE,FALSE)</formula>
    </cfRule>
  </conditionalFormatting>
  <conditionalFormatting sqref="B409:D409 F409:G409 I409:P409">
    <cfRule type="expression" dxfId="2576" priority="2542" stopIfTrue="1">
      <formula>IF($A409&lt;&gt;"",IF(B409="",TRUE,FALSE),FALSE)</formula>
    </cfRule>
  </conditionalFormatting>
  <conditionalFormatting sqref="M409">
    <cfRule type="expression" dxfId="2575" priority="2541" stopIfTrue="1">
      <formula>IF($F409="I",TRUE,FALSE)</formula>
    </cfRule>
  </conditionalFormatting>
  <conditionalFormatting sqref="B410:D410 F410:G410 I410:P410">
    <cfRule type="expression" dxfId="2574" priority="2540" stopIfTrue="1">
      <formula>IF($A410&lt;&gt;"",IF(B410="",TRUE,FALSE),FALSE)</formula>
    </cfRule>
  </conditionalFormatting>
  <conditionalFormatting sqref="M410">
    <cfRule type="expression" dxfId="2573" priority="2539" stopIfTrue="1">
      <formula>IF($F410="I",TRUE,FALSE)</formula>
    </cfRule>
  </conditionalFormatting>
  <conditionalFormatting sqref="B411:D411 F411:G411 I411:P411">
    <cfRule type="expression" dxfId="2572" priority="2538" stopIfTrue="1">
      <formula>IF($A411&lt;&gt;"",IF(B411="",TRUE,FALSE),FALSE)</formula>
    </cfRule>
  </conditionalFormatting>
  <conditionalFormatting sqref="M411">
    <cfRule type="expression" dxfId="2571" priority="2537" stopIfTrue="1">
      <formula>IF($F411="I",TRUE,FALSE)</formula>
    </cfRule>
  </conditionalFormatting>
  <conditionalFormatting sqref="B412:D412 F412:G412 I412:P412">
    <cfRule type="expression" dxfId="2570" priority="2536" stopIfTrue="1">
      <formula>IF($A412&lt;&gt;"",IF(B412="",TRUE,FALSE),FALSE)</formula>
    </cfRule>
  </conditionalFormatting>
  <conditionalFormatting sqref="M412">
    <cfRule type="expression" dxfId="2569" priority="2535" stopIfTrue="1">
      <formula>IF($F412="I",TRUE,FALSE)</formula>
    </cfRule>
  </conditionalFormatting>
  <conditionalFormatting sqref="B413:D413 F413:G413 I413:P413">
    <cfRule type="expression" dxfId="2568" priority="2534" stopIfTrue="1">
      <formula>IF($A413&lt;&gt;"",IF(B413="",TRUE,FALSE),FALSE)</formula>
    </cfRule>
  </conditionalFormatting>
  <conditionalFormatting sqref="M413">
    <cfRule type="expression" dxfId="2567" priority="2533" stopIfTrue="1">
      <formula>IF($F413="I",TRUE,FALSE)</formula>
    </cfRule>
  </conditionalFormatting>
  <conditionalFormatting sqref="B414:D414 F414:G414 I414:P414">
    <cfRule type="expression" dxfId="2566" priority="2532" stopIfTrue="1">
      <formula>IF($A414&lt;&gt;"",IF(B414="",TRUE,FALSE),FALSE)</formula>
    </cfRule>
  </conditionalFormatting>
  <conditionalFormatting sqref="M414">
    <cfRule type="expression" dxfId="2565" priority="2531" stopIfTrue="1">
      <formula>IF($F414="I",TRUE,FALSE)</formula>
    </cfRule>
  </conditionalFormatting>
  <conditionalFormatting sqref="B415:D415 F415:G415 I415:P415">
    <cfRule type="expression" dxfId="2564" priority="2530" stopIfTrue="1">
      <formula>IF($A415&lt;&gt;"",IF(B415="",TRUE,FALSE),FALSE)</formula>
    </cfRule>
  </conditionalFormatting>
  <conditionalFormatting sqref="M415">
    <cfRule type="expression" dxfId="2563" priority="2529" stopIfTrue="1">
      <formula>IF($F415="I",TRUE,FALSE)</formula>
    </cfRule>
  </conditionalFormatting>
  <conditionalFormatting sqref="B416:D416 F416:G416 I416:P416">
    <cfRule type="expression" dxfId="2562" priority="2528" stopIfTrue="1">
      <formula>IF($A416&lt;&gt;"",IF(B416="",TRUE,FALSE),FALSE)</formula>
    </cfRule>
  </conditionalFormatting>
  <conditionalFormatting sqref="M416">
    <cfRule type="expression" dxfId="2561" priority="2527" stopIfTrue="1">
      <formula>IF($F416="I",TRUE,FALSE)</formula>
    </cfRule>
  </conditionalFormatting>
  <conditionalFormatting sqref="B417:D417 F417:G417 I417:P417">
    <cfRule type="expression" dxfId="2560" priority="2526" stopIfTrue="1">
      <formula>IF($A417&lt;&gt;"",IF(B417="",TRUE,FALSE),FALSE)</formula>
    </cfRule>
  </conditionalFormatting>
  <conditionalFormatting sqref="M417">
    <cfRule type="expression" dxfId="2559" priority="2525" stopIfTrue="1">
      <formula>IF($F417="I",TRUE,FALSE)</formula>
    </cfRule>
  </conditionalFormatting>
  <conditionalFormatting sqref="B418:D418 F418:G418 I418:P418">
    <cfRule type="expression" dxfId="2558" priority="2524" stopIfTrue="1">
      <formula>IF($A418&lt;&gt;"",IF(B418="",TRUE,FALSE),FALSE)</formula>
    </cfRule>
  </conditionalFormatting>
  <conditionalFormatting sqref="M418">
    <cfRule type="expression" dxfId="2557" priority="2523" stopIfTrue="1">
      <formula>IF($F418="I",TRUE,FALSE)</formula>
    </cfRule>
  </conditionalFormatting>
  <conditionalFormatting sqref="B419:D419 F419:G419 I419:P419">
    <cfRule type="expression" dxfId="2556" priority="2522" stopIfTrue="1">
      <formula>IF($A419&lt;&gt;"",IF(B419="",TRUE,FALSE),FALSE)</formula>
    </cfRule>
  </conditionalFormatting>
  <conditionalFormatting sqref="M419">
    <cfRule type="expression" dxfId="2555" priority="2521" stopIfTrue="1">
      <formula>IF($F419="I",TRUE,FALSE)</formula>
    </cfRule>
  </conditionalFormatting>
  <conditionalFormatting sqref="B420:D420 F420:G420 I420:P420">
    <cfRule type="expression" dxfId="2554" priority="2520" stopIfTrue="1">
      <formula>IF($A420&lt;&gt;"",IF(B420="",TRUE,FALSE),FALSE)</formula>
    </cfRule>
  </conditionalFormatting>
  <conditionalFormatting sqref="M420">
    <cfRule type="expression" dxfId="2553" priority="2519" stopIfTrue="1">
      <formula>IF($F420="I",TRUE,FALSE)</formula>
    </cfRule>
  </conditionalFormatting>
  <conditionalFormatting sqref="B421:D421 F421:G421 I421:P421">
    <cfRule type="expression" dxfId="2552" priority="2518" stopIfTrue="1">
      <formula>IF($A421&lt;&gt;"",IF(B421="",TRUE,FALSE),FALSE)</formula>
    </cfRule>
  </conditionalFormatting>
  <conditionalFormatting sqref="M421">
    <cfRule type="expression" dxfId="2551" priority="2517" stopIfTrue="1">
      <formula>IF($F421="I",TRUE,FALSE)</formula>
    </cfRule>
  </conditionalFormatting>
  <conditionalFormatting sqref="B422:D422 F422:G422 I422:P422">
    <cfRule type="expression" dxfId="2550" priority="2516" stopIfTrue="1">
      <formula>IF($A422&lt;&gt;"",IF(B422="",TRUE,FALSE),FALSE)</formula>
    </cfRule>
  </conditionalFormatting>
  <conditionalFormatting sqref="M422">
    <cfRule type="expression" dxfId="2549" priority="2515" stopIfTrue="1">
      <formula>IF($F422="I",TRUE,FALSE)</formula>
    </cfRule>
  </conditionalFormatting>
  <conditionalFormatting sqref="B423:D423 F423:G423 I423:P423">
    <cfRule type="expression" dxfId="2548" priority="2514" stopIfTrue="1">
      <formula>IF($A423&lt;&gt;"",IF(B423="",TRUE,FALSE),FALSE)</formula>
    </cfRule>
  </conditionalFormatting>
  <conditionalFormatting sqref="M423">
    <cfRule type="expression" dxfId="2547" priority="2513" stopIfTrue="1">
      <formula>IF($F423="I",TRUE,FALSE)</formula>
    </cfRule>
  </conditionalFormatting>
  <conditionalFormatting sqref="B424:D424 F424:G424 I424:P424">
    <cfRule type="expression" dxfId="2546" priority="2512" stopIfTrue="1">
      <formula>IF($A424&lt;&gt;"",IF(B424="",TRUE,FALSE),FALSE)</formula>
    </cfRule>
  </conditionalFormatting>
  <conditionalFormatting sqref="M424">
    <cfRule type="expression" dxfId="2545" priority="2511" stopIfTrue="1">
      <formula>IF($F424="I",TRUE,FALSE)</formula>
    </cfRule>
  </conditionalFormatting>
  <conditionalFormatting sqref="B425:D425 F425:G425 I425:P425">
    <cfRule type="expression" dxfId="2544" priority="2510" stopIfTrue="1">
      <formula>IF($A425&lt;&gt;"",IF(B425="",TRUE,FALSE),FALSE)</formula>
    </cfRule>
  </conditionalFormatting>
  <conditionalFormatting sqref="M425">
    <cfRule type="expression" dxfId="2543" priority="2509" stopIfTrue="1">
      <formula>IF($F425="I",TRUE,FALSE)</formula>
    </cfRule>
  </conditionalFormatting>
  <conditionalFormatting sqref="B426:D426 F426:G426 I426:P426">
    <cfRule type="expression" dxfId="2542" priority="2508" stopIfTrue="1">
      <formula>IF($A426&lt;&gt;"",IF(B426="",TRUE,FALSE),FALSE)</formula>
    </cfRule>
  </conditionalFormatting>
  <conditionalFormatting sqref="M426">
    <cfRule type="expression" dxfId="2541" priority="2507" stopIfTrue="1">
      <formula>IF($F426="I",TRUE,FALSE)</formula>
    </cfRule>
  </conditionalFormatting>
  <conditionalFormatting sqref="B427:D427 F427:G427 I427:P427">
    <cfRule type="expression" dxfId="2540" priority="2506" stopIfTrue="1">
      <formula>IF($A427&lt;&gt;"",IF(B427="",TRUE,FALSE),FALSE)</formula>
    </cfRule>
  </conditionalFormatting>
  <conditionalFormatting sqref="M427">
    <cfRule type="expression" dxfId="2539" priority="2505" stopIfTrue="1">
      <formula>IF($F427="I",TRUE,FALSE)</formula>
    </cfRule>
  </conditionalFormatting>
  <conditionalFormatting sqref="B428:D428 F428:G428 I428:P428">
    <cfRule type="expression" dxfId="2538" priority="2504" stopIfTrue="1">
      <formula>IF($A428&lt;&gt;"",IF(B428="",TRUE,FALSE),FALSE)</formula>
    </cfRule>
  </conditionalFormatting>
  <conditionalFormatting sqref="M428">
    <cfRule type="expression" dxfId="2537" priority="2503" stopIfTrue="1">
      <formula>IF($F428="I",TRUE,FALSE)</formula>
    </cfRule>
  </conditionalFormatting>
  <conditionalFormatting sqref="B429:D429 F429:G429 I429:P429">
    <cfRule type="expression" dxfId="2536" priority="2502" stopIfTrue="1">
      <formula>IF($A429&lt;&gt;"",IF(B429="",TRUE,FALSE),FALSE)</formula>
    </cfRule>
  </conditionalFormatting>
  <conditionalFormatting sqref="M429">
    <cfRule type="expression" dxfId="2535" priority="2501" stopIfTrue="1">
      <formula>IF($F429="I",TRUE,FALSE)</formula>
    </cfRule>
  </conditionalFormatting>
  <conditionalFormatting sqref="B430:D430 F430:G430 I430:P430">
    <cfRule type="expression" dxfId="2534" priority="2500" stopIfTrue="1">
      <formula>IF($A430&lt;&gt;"",IF(B430="",TRUE,FALSE),FALSE)</formula>
    </cfRule>
  </conditionalFormatting>
  <conditionalFormatting sqref="M430">
    <cfRule type="expression" dxfId="2533" priority="2499" stopIfTrue="1">
      <formula>IF($F430="I",TRUE,FALSE)</formula>
    </cfRule>
  </conditionalFormatting>
  <conditionalFormatting sqref="B431:D431 F431:G431 I431:P431">
    <cfRule type="expression" dxfId="2532" priority="2498" stopIfTrue="1">
      <formula>IF($A431&lt;&gt;"",IF(B431="",TRUE,FALSE),FALSE)</formula>
    </cfRule>
  </conditionalFormatting>
  <conditionalFormatting sqref="M431">
    <cfRule type="expression" dxfId="2531" priority="2497" stopIfTrue="1">
      <formula>IF($F431="I",TRUE,FALSE)</formula>
    </cfRule>
  </conditionalFormatting>
  <conditionalFormatting sqref="B432:D432 F432:G432 I432:P432">
    <cfRule type="expression" dxfId="2530" priority="2496" stopIfTrue="1">
      <formula>IF($A432&lt;&gt;"",IF(B432="",TRUE,FALSE),FALSE)</formula>
    </cfRule>
  </conditionalFormatting>
  <conditionalFormatting sqref="M432">
    <cfRule type="expression" dxfId="2529" priority="2495" stopIfTrue="1">
      <formula>IF($F432="I",TRUE,FALSE)</formula>
    </cfRule>
  </conditionalFormatting>
  <conditionalFormatting sqref="B433:D433 F433:G433 I433:P433">
    <cfRule type="expression" dxfId="2528" priority="2494" stopIfTrue="1">
      <formula>IF($A433&lt;&gt;"",IF(B433="",TRUE,FALSE),FALSE)</formula>
    </cfRule>
  </conditionalFormatting>
  <conditionalFormatting sqref="M433">
    <cfRule type="expression" dxfId="2527" priority="2493" stopIfTrue="1">
      <formula>IF($F433="I",TRUE,FALSE)</formula>
    </cfRule>
  </conditionalFormatting>
  <conditionalFormatting sqref="B434:D434 F434:G434 I434:P434">
    <cfRule type="expression" dxfId="2526" priority="2492" stopIfTrue="1">
      <formula>IF($A434&lt;&gt;"",IF(B434="",TRUE,FALSE),FALSE)</formula>
    </cfRule>
  </conditionalFormatting>
  <conditionalFormatting sqref="M434">
    <cfRule type="expression" dxfId="2525" priority="2491" stopIfTrue="1">
      <formula>IF($F434="I",TRUE,FALSE)</formula>
    </cfRule>
  </conditionalFormatting>
  <conditionalFormatting sqref="B435:D435 F435:G435 I435:P435">
    <cfRule type="expression" dxfId="2524" priority="2490" stopIfTrue="1">
      <formula>IF($A435&lt;&gt;"",IF(B435="",TRUE,FALSE),FALSE)</formula>
    </cfRule>
  </conditionalFormatting>
  <conditionalFormatting sqref="M435">
    <cfRule type="expression" dxfId="2523" priority="2489" stopIfTrue="1">
      <formula>IF($F435="I",TRUE,FALSE)</formula>
    </cfRule>
  </conditionalFormatting>
  <conditionalFormatting sqref="B436:D436 F436:G436 I436:P436">
    <cfRule type="expression" dxfId="2522" priority="2488" stopIfTrue="1">
      <formula>IF($A436&lt;&gt;"",IF(B436="",TRUE,FALSE),FALSE)</formula>
    </cfRule>
  </conditionalFormatting>
  <conditionalFormatting sqref="M436">
    <cfRule type="expression" dxfId="2521" priority="2487" stopIfTrue="1">
      <formula>IF($F436="I",TRUE,FALSE)</formula>
    </cfRule>
  </conditionalFormatting>
  <conditionalFormatting sqref="B437:D437 F437:G437 I437:P437">
    <cfRule type="expression" dxfId="2520" priority="2486" stopIfTrue="1">
      <formula>IF($A437&lt;&gt;"",IF(B437="",TRUE,FALSE),FALSE)</formula>
    </cfRule>
  </conditionalFormatting>
  <conditionalFormatting sqref="M437">
    <cfRule type="expression" dxfId="2519" priority="2485" stopIfTrue="1">
      <formula>IF($F437="I",TRUE,FALSE)</formula>
    </cfRule>
  </conditionalFormatting>
  <conditionalFormatting sqref="B438:D438 F438:G438 I438:P438">
    <cfRule type="expression" dxfId="2518" priority="2484" stopIfTrue="1">
      <formula>IF($A438&lt;&gt;"",IF(B438="",TRUE,FALSE),FALSE)</formula>
    </cfRule>
  </conditionalFormatting>
  <conditionalFormatting sqref="M438">
    <cfRule type="expression" dxfId="2517" priority="2483" stopIfTrue="1">
      <formula>IF($F438="I",TRUE,FALSE)</formula>
    </cfRule>
  </conditionalFormatting>
  <conditionalFormatting sqref="B439:D439 F439:G439 I439:P439">
    <cfRule type="expression" dxfId="2516" priority="2482" stopIfTrue="1">
      <formula>IF($A439&lt;&gt;"",IF(B439="",TRUE,FALSE),FALSE)</formula>
    </cfRule>
  </conditionalFormatting>
  <conditionalFormatting sqref="M439">
    <cfRule type="expression" dxfId="2515" priority="2481" stopIfTrue="1">
      <formula>IF($F439="I",TRUE,FALSE)</formula>
    </cfRule>
  </conditionalFormatting>
  <conditionalFormatting sqref="B440:D440 F440:G440 I440:P440">
    <cfRule type="expression" dxfId="2514" priority="2480" stopIfTrue="1">
      <formula>IF($A440&lt;&gt;"",IF(B440="",TRUE,FALSE),FALSE)</formula>
    </cfRule>
  </conditionalFormatting>
  <conditionalFormatting sqref="M440">
    <cfRule type="expression" dxfId="2513" priority="2479" stopIfTrue="1">
      <formula>IF($F440="I",TRUE,FALSE)</formula>
    </cfRule>
  </conditionalFormatting>
  <conditionalFormatting sqref="B441:D441 F441:G441 I441:P441">
    <cfRule type="expression" dxfId="2512" priority="2478" stopIfTrue="1">
      <formula>IF($A441&lt;&gt;"",IF(B441="",TRUE,FALSE),FALSE)</formula>
    </cfRule>
  </conditionalFormatting>
  <conditionalFormatting sqref="M441">
    <cfRule type="expression" dxfId="2511" priority="2477" stopIfTrue="1">
      <formula>IF($F441="I",TRUE,FALSE)</formula>
    </cfRule>
  </conditionalFormatting>
  <conditionalFormatting sqref="B442:D442 F442:G442 I442:P442">
    <cfRule type="expression" dxfId="2510" priority="2476" stopIfTrue="1">
      <formula>IF($A442&lt;&gt;"",IF(B442="",TRUE,FALSE),FALSE)</formula>
    </cfRule>
  </conditionalFormatting>
  <conditionalFormatting sqref="M442">
    <cfRule type="expression" dxfId="2509" priority="2475" stopIfTrue="1">
      <formula>IF($F442="I",TRUE,FALSE)</formula>
    </cfRule>
  </conditionalFormatting>
  <conditionalFormatting sqref="B443:D443 F443:G443 I443:P443">
    <cfRule type="expression" dxfId="2508" priority="2474" stopIfTrue="1">
      <formula>IF($A443&lt;&gt;"",IF(B443="",TRUE,FALSE),FALSE)</formula>
    </cfRule>
  </conditionalFormatting>
  <conditionalFormatting sqref="M443">
    <cfRule type="expression" dxfId="2507" priority="2473" stopIfTrue="1">
      <formula>IF($F443="I",TRUE,FALSE)</formula>
    </cfRule>
  </conditionalFormatting>
  <conditionalFormatting sqref="B444:D444 F444:G444 I444:P444">
    <cfRule type="expression" dxfId="2506" priority="2472" stopIfTrue="1">
      <formula>IF($A444&lt;&gt;"",IF(B444="",TRUE,FALSE),FALSE)</formula>
    </cfRule>
  </conditionalFormatting>
  <conditionalFormatting sqref="M444">
    <cfRule type="expression" dxfId="2505" priority="2471" stopIfTrue="1">
      <formula>IF($F444="I",TRUE,FALSE)</formula>
    </cfRule>
  </conditionalFormatting>
  <conditionalFormatting sqref="B445:D445 F445:G445 I445:P445">
    <cfRule type="expression" dxfId="2504" priority="2470" stopIfTrue="1">
      <formula>IF($A445&lt;&gt;"",IF(B445="",TRUE,FALSE),FALSE)</formula>
    </cfRule>
  </conditionalFormatting>
  <conditionalFormatting sqref="M445">
    <cfRule type="expression" dxfId="2503" priority="2469" stopIfTrue="1">
      <formula>IF($F445="I",TRUE,FALSE)</formula>
    </cfRule>
  </conditionalFormatting>
  <conditionalFormatting sqref="B446:D446 F446:G446 I446:P446">
    <cfRule type="expression" dxfId="2502" priority="2468" stopIfTrue="1">
      <formula>IF($A446&lt;&gt;"",IF(B446="",TRUE,FALSE),FALSE)</formula>
    </cfRule>
  </conditionalFormatting>
  <conditionalFormatting sqref="M446">
    <cfRule type="expression" dxfId="2501" priority="2467" stopIfTrue="1">
      <formula>IF($F446="I",TRUE,FALSE)</formula>
    </cfRule>
  </conditionalFormatting>
  <conditionalFormatting sqref="B447:D447 F447:G447 I447:P447">
    <cfRule type="expression" dxfId="2500" priority="2466" stopIfTrue="1">
      <formula>IF($A447&lt;&gt;"",IF(B447="",TRUE,FALSE),FALSE)</formula>
    </cfRule>
  </conditionalFormatting>
  <conditionalFormatting sqref="M447">
    <cfRule type="expression" dxfId="2499" priority="2465" stopIfTrue="1">
      <formula>IF($F447="I",TRUE,FALSE)</formula>
    </cfRule>
  </conditionalFormatting>
  <conditionalFormatting sqref="B448:D448 F448:G448 I448:P448">
    <cfRule type="expression" dxfId="2498" priority="2464" stopIfTrue="1">
      <formula>IF($A448&lt;&gt;"",IF(B448="",TRUE,FALSE),FALSE)</formula>
    </cfRule>
  </conditionalFormatting>
  <conditionalFormatting sqref="M448">
    <cfRule type="expression" dxfId="2497" priority="2463" stopIfTrue="1">
      <formula>IF($F448="I",TRUE,FALSE)</formula>
    </cfRule>
  </conditionalFormatting>
  <conditionalFormatting sqref="B449:D449 F449:G449 I449:P449">
    <cfRule type="expression" dxfId="2496" priority="2462" stopIfTrue="1">
      <formula>IF($A449&lt;&gt;"",IF(B449="",TRUE,FALSE),FALSE)</formula>
    </cfRule>
  </conditionalFormatting>
  <conditionalFormatting sqref="M449">
    <cfRule type="expression" dxfId="2495" priority="2461" stopIfTrue="1">
      <formula>IF($F449="I",TRUE,FALSE)</formula>
    </cfRule>
  </conditionalFormatting>
  <conditionalFormatting sqref="B450:D450 F450:G450 I450:P450">
    <cfRule type="expression" dxfId="2494" priority="2460" stopIfTrue="1">
      <formula>IF($A450&lt;&gt;"",IF(B450="",TRUE,FALSE),FALSE)</formula>
    </cfRule>
  </conditionalFormatting>
  <conditionalFormatting sqref="M450">
    <cfRule type="expression" dxfId="2493" priority="2459" stopIfTrue="1">
      <formula>IF($F450="I",TRUE,FALSE)</formula>
    </cfRule>
  </conditionalFormatting>
  <conditionalFormatting sqref="B451:D451 F451:G451 I451:P451">
    <cfRule type="expression" dxfId="2492" priority="2458" stopIfTrue="1">
      <formula>IF($A451&lt;&gt;"",IF(B451="",TRUE,FALSE),FALSE)</formula>
    </cfRule>
  </conditionalFormatting>
  <conditionalFormatting sqref="M451">
    <cfRule type="expression" dxfId="2491" priority="2457" stopIfTrue="1">
      <formula>IF($F451="I",TRUE,FALSE)</formula>
    </cfRule>
  </conditionalFormatting>
  <conditionalFormatting sqref="B452:D452 F452:G452 I452:P452">
    <cfRule type="expression" dxfId="2490" priority="2456" stopIfTrue="1">
      <formula>IF($A452&lt;&gt;"",IF(B452="",TRUE,FALSE),FALSE)</formula>
    </cfRule>
  </conditionalFormatting>
  <conditionalFormatting sqref="M452">
    <cfRule type="expression" dxfId="2489" priority="2455" stopIfTrue="1">
      <formula>IF($F452="I",TRUE,FALSE)</formula>
    </cfRule>
  </conditionalFormatting>
  <conditionalFormatting sqref="B453:D453 F453:G453 I453:P453">
    <cfRule type="expression" dxfId="2488" priority="2454" stopIfTrue="1">
      <formula>IF($A453&lt;&gt;"",IF(B453="",TRUE,FALSE),FALSE)</formula>
    </cfRule>
  </conditionalFormatting>
  <conditionalFormatting sqref="M453">
    <cfRule type="expression" dxfId="2487" priority="2453" stopIfTrue="1">
      <formula>IF($F453="I",TRUE,FALSE)</formula>
    </cfRule>
  </conditionalFormatting>
  <conditionalFormatting sqref="B454:D454 F454:G454 I454:P454">
    <cfRule type="expression" dxfId="2486" priority="2452" stopIfTrue="1">
      <formula>IF($A454&lt;&gt;"",IF(B454="",TRUE,FALSE),FALSE)</formula>
    </cfRule>
  </conditionalFormatting>
  <conditionalFormatting sqref="M454">
    <cfRule type="expression" dxfId="2485" priority="2451" stopIfTrue="1">
      <formula>IF($F454="I",TRUE,FALSE)</formula>
    </cfRule>
  </conditionalFormatting>
  <conditionalFormatting sqref="B455:D455 F455:G455 I455:P455">
    <cfRule type="expression" dxfId="2484" priority="2450" stopIfTrue="1">
      <formula>IF($A455&lt;&gt;"",IF(B455="",TRUE,FALSE),FALSE)</formula>
    </cfRule>
  </conditionalFormatting>
  <conditionalFormatting sqref="M455">
    <cfRule type="expression" dxfId="2483" priority="2449" stopIfTrue="1">
      <formula>IF($F455="I",TRUE,FALSE)</formula>
    </cfRule>
  </conditionalFormatting>
  <conditionalFormatting sqref="B456:D456 F456:G456 I456:P456">
    <cfRule type="expression" dxfId="2482" priority="2448" stopIfTrue="1">
      <formula>IF($A456&lt;&gt;"",IF(B456="",TRUE,FALSE),FALSE)</formula>
    </cfRule>
  </conditionalFormatting>
  <conditionalFormatting sqref="M456">
    <cfRule type="expression" dxfId="2481" priority="2447" stopIfTrue="1">
      <formula>IF($F456="I",TRUE,FALSE)</formula>
    </cfRule>
  </conditionalFormatting>
  <conditionalFormatting sqref="B457:D457 F457:G457 I457:P457">
    <cfRule type="expression" dxfId="2480" priority="2446" stopIfTrue="1">
      <formula>IF($A457&lt;&gt;"",IF(B457="",TRUE,FALSE),FALSE)</formula>
    </cfRule>
  </conditionalFormatting>
  <conditionalFormatting sqref="M457">
    <cfRule type="expression" dxfId="2479" priority="2445" stopIfTrue="1">
      <formula>IF($F457="I",TRUE,FALSE)</formula>
    </cfRule>
  </conditionalFormatting>
  <conditionalFormatting sqref="B458:D458 F458:G458 I458:P458">
    <cfRule type="expression" dxfId="2478" priority="2444" stopIfTrue="1">
      <formula>IF($A458&lt;&gt;"",IF(B458="",TRUE,FALSE),FALSE)</formula>
    </cfRule>
  </conditionalFormatting>
  <conditionalFormatting sqref="M458">
    <cfRule type="expression" dxfId="2477" priority="2443" stopIfTrue="1">
      <formula>IF($F458="I",TRUE,FALSE)</formula>
    </cfRule>
  </conditionalFormatting>
  <conditionalFormatting sqref="B459:D459 F459:G459 I459:P459">
    <cfRule type="expression" dxfId="2476" priority="2442" stopIfTrue="1">
      <formula>IF($A459&lt;&gt;"",IF(B459="",TRUE,FALSE),FALSE)</formula>
    </cfRule>
  </conditionalFormatting>
  <conditionalFormatting sqref="M459">
    <cfRule type="expression" dxfId="2475" priority="2441" stopIfTrue="1">
      <formula>IF($F459="I",TRUE,FALSE)</formula>
    </cfRule>
  </conditionalFormatting>
  <conditionalFormatting sqref="B460:D460 F460:G460 I460:P460">
    <cfRule type="expression" dxfId="2474" priority="2440" stopIfTrue="1">
      <formula>IF($A460&lt;&gt;"",IF(B460="",TRUE,FALSE),FALSE)</formula>
    </cfRule>
  </conditionalFormatting>
  <conditionalFormatting sqref="M460">
    <cfRule type="expression" dxfId="2473" priority="2439" stopIfTrue="1">
      <formula>IF($F460="I",TRUE,FALSE)</formula>
    </cfRule>
  </conditionalFormatting>
  <conditionalFormatting sqref="B461:D461 F461:G461 I461:P461">
    <cfRule type="expression" dxfId="2472" priority="2438" stopIfTrue="1">
      <formula>IF($A461&lt;&gt;"",IF(B461="",TRUE,FALSE),FALSE)</formula>
    </cfRule>
  </conditionalFormatting>
  <conditionalFormatting sqref="M461">
    <cfRule type="expression" dxfId="2471" priority="2437" stopIfTrue="1">
      <formula>IF($F461="I",TRUE,FALSE)</formula>
    </cfRule>
  </conditionalFormatting>
  <conditionalFormatting sqref="B462:D462 F462:G462 I462:P462">
    <cfRule type="expression" dxfId="2470" priority="2436" stopIfTrue="1">
      <formula>IF($A462&lt;&gt;"",IF(B462="",TRUE,FALSE),FALSE)</formula>
    </cfRule>
  </conditionalFormatting>
  <conditionalFormatting sqref="M462">
    <cfRule type="expression" dxfId="2469" priority="2435" stopIfTrue="1">
      <formula>IF($F462="I",TRUE,FALSE)</formula>
    </cfRule>
  </conditionalFormatting>
  <conditionalFormatting sqref="B463:D463 F463:G463 I463:P463">
    <cfRule type="expression" dxfId="2468" priority="2434" stopIfTrue="1">
      <formula>IF($A463&lt;&gt;"",IF(B463="",TRUE,FALSE),FALSE)</formula>
    </cfRule>
  </conditionalFormatting>
  <conditionalFormatting sqref="M463">
    <cfRule type="expression" dxfId="2467" priority="2433" stopIfTrue="1">
      <formula>IF($F463="I",TRUE,FALSE)</formula>
    </cfRule>
  </conditionalFormatting>
  <conditionalFormatting sqref="B464:D464 F464:G464 I464:P464">
    <cfRule type="expression" dxfId="2466" priority="2432" stopIfTrue="1">
      <formula>IF($A464&lt;&gt;"",IF(B464="",TRUE,FALSE),FALSE)</formula>
    </cfRule>
  </conditionalFormatting>
  <conditionalFormatting sqref="M464">
    <cfRule type="expression" dxfId="2465" priority="2431" stopIfTrue="1">
      <formula>IF($F464="I",TRUE,FALSE)</formula>
    </cfRule>
  </conditionalFormatting>
  <conditionalFormatting sqref="B465:D465 F465:G465 I465:P465">
    <cfRule type="expression" dxfId="2464" priority="2430" stopIfTrue="1">
      <formula>IF($A465&lt;&gt;"",IF(B465="",TRUE,FALSE),FALSE)</formula>
    </cfRule>
  </conditionalFormatting>
  <conditionalFormatting sqref="M465">
    <cfRule type="expression" dxfId="2463" priority="2429" stopIfTrue="1">
      <formula>IF($F465="I",TRUE,FALSE)</formula>
    </cfRule>
  </conditionalFormatting>
  <conditionalFormatting sqref="B466:D466 F466:G466 I466:P466">
    <cfRule type="expression" dxfId="2462" priority="2428" stopIfTrue="1">
      <formula>IF($A466&lt;&gt;"",IF(B466="",TRUE,FALSE),FALSE)</formula>
    </cfRule>
  </conditionalFormatting>
  <conditionalFormatting sqref="M466">
    <cfRule type="expression" dxfId="2461" priority="2427" stopIfTrue="1">
      <formula>IF($F466="I",TRUE,FALSE)</formula>
    </cfRule>
  </conditionalFormatting>
  <conditionalFormatting sqref="B467:D467 F467:G467 I467:P467">
    <cfRule type="expression" dxfId="2460" priority="2426" stopIfTrue="1">
      <formula>IF($A467&lt;&gt;"",IF(B467="",TRUE,FALSE),FALSE)</formula>
    </cfRule>
  </conditionalFormatting>
  <conditionalFormatting sqref="M467">
    <cfRule type="expression" dxfId="2459" priority="2425" stopIfTrue="1">
      <formula>IF($F467="I",TRUE,FALSE)</formula>
    </cfRule>
  </conditionalFormatting>
  <conditionalFormatting sqref="B468:D468 F468:G468 I468:P468">
    <cfRule type="expression" dxfId="2458" priority="2424" stopIfTrue="1">
      <formula>IF($A468&lt;&gt;"",IF(B468="",TRUE,FALSE),FALSE)</formula>
    </cfRule>
  </conditionalFormatting>
  <conditionalFormatting sqref="M468">
    <cfRule type="expression" dxfId="2457" priority="2423" stopIfTrue="1">
      <formula>IF($F468="I",TRUE,FALSE)</formula>
    </cfRule>
  </conditionalFormatting>
  <conditionalFormatting sqref="B469:D469 F469:G469 I469:P469">
    <cfRule type="expression" dxfId="2456" priority="2422" stopIfTrue="1">
      <formula>IF($A469&lt;&gt;"",IF(B469="",TRUE,FALSE),FALSE)</formula>
    </cfRule>
  </conditionalFormatting>
  <conditionalFormatting sqref="M469">
    <cfRule type="expression" dxfId="2455" priority="2421" stopIfTrue="1">
      <formula>IF($F469="I",TRUE,FALSE)</formula>
    </cfRule>
  </conditionalFormatting>
  <conditionalFormatting sqref="B470:D470 F470:G470 I470:P470">
    <cfRule type="expression" dxfId="2454" priority="2420" stopIfTrue="1">
      <formula>IF($A470&lt;&gt;"",IF(B470="",TRUE,FALSE),FALSE)</formula>
    </cfRule>
  </conditionalFormatting>
  <conditionalFormatting sqref="M470">
    <cfRule type="expression" dxfId="2453" priority="2419" stopIfTrue="1">
      <formula>IF($F470="I",TRUE,FALSE)</formula>
    </cfRule>
  </conditionalFormatting>
  <conditionalFormatting sqref="B471:D471 F471:G471 I471:P471">
    <cfRule type="expression" dxfId="2452" priority="2418" stopIfTrue="1">
      <formula>IF($A471&lt;&gt;"",IF(B471="",TRUE,FALSE),FALSE)</formula>
    </cfRule>
  </conditionalFormatting>
  <conditionalFormatting sqref="M471">
    <cfRule type="expression" dxfId="2451" priority="2417" stopIfTrue="1">
      <formula>IF($F471="I",TRUE,FALSE)</formula>
    </cfRule>
  </conditionalFormatting>
  <conditionalFormatting sqref="B472:D472 F472:G472 I472:P472">
    <cfRule type="expression" dxfId="2450" priority="2416" stopIfTrue="1">
      <formula>IF($A472&lt;&gt;"",IF(B472="",TRUE,FALSE),FALSE)</formula>
    </cfRule>
  </conditionalFormatting>
  <conditionalFormatting sqref="M472">
    <cfRule type="expression" dxfId="2449" priority="2415" stopIfTrue="1">
      <formula>IF($F472="I",TRUE,FALSE)</formula>
    </cfRule>
  </conditionalFormatting>
  <conditionalFormatting sqref="B473:D473 F473:G473 I473:P473">
    <cfRule type="expression" dxfId="2448" priority="2414" stopIfTrue="1">
      <formula>IF($A473&lt;&gt;"",IF(B473="",TRUE,FALSE),FALSE)</formula>
    </cfRule>
  </conditionalFormatting>
  <conditionalFormatting sqref="M473">
    <cfRule type="expression" dxfId="2447" priority="2413" stopIfTrue="1">
      <formula>IF($F473="I",TRUE,FALSE)</formula>
    </cfRule>
  </conditionalFormatting>
  <conditionalFormatting sqref="B474:D474 F474:G474 I474:P474">
    <cfRule type="expression" dxfId="2446" priority="2412" stopIfTrue="1">
      <formula>IF($A474&lt;&gt;"",IF(B474="",TRUE,FALSE),FALSE)</formula>
    </cfRule>
  </conditionalFormatting>
  <conditionalFormatting sqref="M474">
    <cfRule type="expression" dxfId="2445" priority="2411" stopIfTrue="1">
      <formula>IF($F474="I",TRUE,FALSE)</formula>
    </cfRule>
  </conditionalFormatting>
  <conditionalFormatting sqref="B475:D475 F475:G475 I475:P475">
    <cfRule type="expression" dxfId="2444" priority="2410" stopIfTrue="1">
      <formula>IF($A475&lt;&gt;"",IF(B475="",TRUE,FALSE),FALSE)</formula>
    </cfRule>
  </conditionalFormatting>
  <conditionalFormatting sqref="M475">
    <cfRule type="expression" dxfId="2443" priority="2409" stopIfTrue="1">
      <formula>IF($F475="I",TRUE,FALSE)</formula>
    </cfRule>
  </conditionalFormatting>
  <conditionalFormatting sqref="B476:D476 F476:G476 I476:P476">
    <cfRule type="expression" dxfId="2442" priority="2408" stopIfTrue="1">
      <formula>IF($A476&lt;&gt;"",IF(B476="",TRUE,FALSE),FALSE)</formula>
    </cfRule>
  </conditionalFormatting>
  <conditionalFormatting sqref="M476">
    <cfRule type="expression" dxfId="2441" priority="2407" stopIfTrue="1">
      <formula>IF($F476="I",TRUE,FALSE)</formula>
    </cfRule>
  </conditionalFormatting>
  <conditionalFormatting sqref="B477:D477 F477:G477 I477:P477">
    <cfRule type="expression" dxfId="2440" priority="2406" stopIfTrue="1">
      <formula>IF($A477&lt;&gt;"",IF(B477="",TRUE,FALSE),FALSE)</formula>
    </cfRule>
  </conditionalFormatting>
  <conditionalFormatting sqref="M477">
    <cfRule type="expression" dxfId="2439" priority="2405" stopIfTrue="1">
      <formula>IF($F477="I",TRUE,FALSE)</formula>
    </cfRule>
  </conditionalFormatting>
  <conditionalFormatting sqref="B478:D478 F478:G478 I478:P478">
    <cfRule type="expression" dxfId="2438" priority="2404" stopIfTrue="1">
      <formula>IF($A478&lt;&gt;"",IF(B478="",TRUE,FALSE),FALSE)</formula>
    </cfRule>
  </conditionalFormatting>
  <conditionalFormatting sqref="M478">
    <cfRule type="expression" dxfId="2437" priority="2403" stopIfTrue="1">
      <formula>IF($F478="I",TRUE,FALSE)</formula>
    </cfRule>
  </conditionalFormatting>
  <conditionalFormatting sqref="B479:D479 F479:G479 I479:P479">
    <cfRule type="expression" dxfId="2436" priority="2402" stopIfTrue="1">
      <formula>IF($A479&lt;&gt;"",IF(B479="",TRUE,FALSE),FALSE)</formula>
    </cfRule>
  </conditionalFormatting>
  <conditionalFormatting sqref="M479">
    <cfRule type="expression" dxfId="2435" priority="2401" stopIfTrue="1">
      <formula>IF($F479="I",TRUE,FALSE)</formula>
    </cfRule>
  </conditionalFormatting>
  <conditionalFormatting sqref="B480:D480 F480:G480 I480:P480">
    <cfRule type="expression" dxfId="2434" priority="2400" stopIfTrue="1">
      <formula>IF($A480&lt;&gt;"",IF(B480="",TRUE,FALSE),FALSE)</formula>
    </cfRule>
  </conditionalFormatting>
  <conditionalFormatting sqref="M480">
    <cfRule type="expression" dxfId="2433" priority="2399" stopIfTrue="1">
      <formula>IF($F480="I",TRUE,FALSE)</formula>
    </cfRule>
  </conditionalFormatting>
  <conditionalFormatting sqref="B481:D481 F481:G481 I481:P481">
    <cfRule type="expression" dxfId="2432" priority="2398" stopIfTrue="1">
      <formula>IF($A481&lt;&gt;"",IF(B481="",TRUE,FALSE),FALSE)</formula>
    </cfRule>
  </conditionalFormatting>
  <conditionalFormatting sqref="M481">
    <cfRule type="expression" dxfId="2431" priority="2397" stopIfTrue="1">
      <formula>IF($F481="I",TRUE,FALSE)</formula>
    </cfRule>
  </conditionalFormatting>
  <conditionalFormatting sqref="B482:D482 F482:G482 I482:P482">
    <cfRule type="expression" dxfId="2430" priority="2396" stopIfTrue="1">
      <formula>IF($A482&lt;&gt;"",IF(B482="",TRUE,FALSE),FALSE)</formula>
    </cfRule>
  </conditionalFormatting>
  <conditionalFormatting sqref="M482">
    <cfRule type="expression" dxfId="2429" priority="2395" stopIfTrue="1">
      <formula>IF($F482="I",TRUE,FALSE)</formula>
    </cfRule>
  </conditionalFormatting>
  <conditionalFormatting sqref="B483:D483 F483:G483 I483:P483">
    <cfRule type="expression" dxfId="2428" priority="2394" stopIfTrue="1">
      <formula>IF($A483&lt;&gt;"",IF(B483="",TRUE,FALSE),FALSE)</formula>
    </cfRule>
  </conditionalFormatting>
  <conditionalFormatting sqref="M483">
    <cfRule type="expression" dxfId="2427" priority="2393" stopIfTrue="1">
      <formula>IF($F483="I",TRUE,FALSE)</formula>
    </cfRule>
  </conditionalFormatting>
  <conditionalFormatting sqref="B484:D484 F484:G484 I484:P484">
    <cfRule type="expression" dxfId="2426" priority="2392" stopIfTrue="1">
      <formula>IF($A484&lt;&gt;"",IF(B484="",TRUE,FALSE),FALSE)</formula>
    </cfRule>
  </conditionalFormatting>
  <conditionalFormatting sqref="M484">
    <cfRule type="expression" dxfId="2425" priority="2391" stopIfTrue="1">
      <formula>IF($F484="I",TRUE,FALSE)</formula>
    </cfRule>
  </conditionalFormatting>
  <conditionalFormatting sqref="B485:D485 F485:G485 I485:P485">
    <cfRule type="expression" dxfId="2424" priority="2390" stopIfTrue="1">
      <formula>IF($A485&lt;&gt;"",IF(B485="",TRUE,FALSE),FALSE)</formula>
    </cfRule>
  </conditionalFormatting>
  <conditionalFormatting sqref="M485">
    <cfRule type="expression" dxfId="2423" priority="2389" stopIfTrue="1">
      <formula>IF($F485="I",TRUE,FALSE)</formula>
    </cfRule>
  </conditionalFormatting>
  <conditionalFormatting sqref="B486:D486 F486:G486 I486:P486">
    <cfRule type="expression" dxfId="2422" priority="2388" stopIfTrue="1">
      <formula>IF($A486&lt;&gt;"",IF(B486="",TRUE,FALSE),FALSE)</formula>
    </cfRule>
  </conditionalFormatting>
  <conditionalFormatting sqref="M486">
    <cfRule type="expression" dxfId="2421" priority="2387" stopIfTrue="1">
      <formula>IF($F486="I",TRUE,FALSE)</formula>
    </cfRule>
  </conditionalFormatting>
  <conditionalFormatting sqref="B487:D487 F487:G487 I487:P487">
    <cfRule type="expression" dxfId="2420" priority="2386" stopIfTrue="1">
      <formula>IF($A487&lt;&gt;"",IF(B487="",TRUE,FALSE),FALSE)</formula>
    </cfRule>
  </conditionalFormatting>
  <conditionalFormatting sqref="M487">
    <cfRule type="expression" dxfId="2419" priority="2385" stopIfTrue="1">
      <formula>IF($F487="I",TRUE,FALSE)</formula>
    </cfRule>
  </conditionalFormatting>
  <conditionalFormatting sqref="B488:D488 F488:G488 I488:P488">
    <cfRule type="expression" dxfId="2418" priority="2384" stopIfTrue="1">
      <formula>IF($A488&lt;&gt;"",IF(B488="",TRUE,FALSE),FALSE)</formula>
    </cfRule>
  </conditionalFormatting>
  <conditionalFormatting sqref="M488">
    <cfRule type="expression" dxfId="2417" priority="2383" stopIfTrue="1">
      <formula>IF($F488="I",TRUE,FALSE)</formula>
    </cfRule>
  </conditionalFormatting>
  <conditionalFormatting sqref="B489:D489 F489:G489 I489:P489">
    <cfRule type="expression" dxfId="2416" priority="2382" stopIfTrue="1">
      <formula>IF($A489&lt;&gt;"",IF(B489="",TRUE,FALSE),FALSE)</formula>
    </cfRule>
  </conditionalFormatting>
  <conditionalFormatting sqref="M489">
    <cfRule type="expression" dxfId="2415" priority="2381" stopIfTrue="1">
      <formula>IF($F489="I",TRUE,FALSE)</formula>
    </cfRule>
  </conditionalFormatting>
  <conditionalFormatting sqref="B490:D490 F490:G490 I490:P490">
    <cfRule type="expression" dxfId="2414" priority="2380" stopIfTrue="1">
      <formula>IF($A490&lt;&gt;"",IF(B490="",TRUE,FALSE),FALSE)</formula>
    </cfRule>
  </conditionalFormatting>
  <conditionalFormatting sqref="M490">
    <cfRule type="expression" dxfId="2413" priority="2379" stopIfTrue="1">
      <formula>IF($F490="I",TRUE,FALSE)</formula>
    </cfRule>
  </conditionalFormatting>
  <conditionalFormatting sqref="B491:D491 F491:G491 I491:P491">
    <cfRule type="expression" dxfId="2412" priority="2378" stopIfTrue="1">
      <formula>IF($A491&lt;&gt;"",IF(B491="",TRUE,FALSE),FALSE)</formula>
    </cfRule>
  </conditionalFormatting>
  <conditionalFormatting sqref="M491">
    <cfRule type="expression" dxfId="2411" priority="2377" stopIfTrue="1">
      <formula>IF($F491="I",TRUE,FALSE)</formula>
    </cfRule>
  </conditionalFormatting>
  <conditionalFormatting sqref="B492:D492 F492:G492 I492:P492">
    <cfRule type="expression" dxfId="2410" priority="2376" stopIfTrue="1">
      <formula>IF($A492&lt;&gt;"",IF(B492="",TRUE,FALSE),FALSE)</formula>
    </cfRule>
  </conditionalFormatting>
  <conditionalFormatting sqref="M492">
    <cfRule type="expression" dxfId="2409" priority="2375" stopIfTrue="1">
      <formula>IF($F492="I",TRUE,FALSE)</formula>
    </cfRule>
  </conditionalFormatting>
  <conditionalFormatting sqref="B493:D493 F493:G493 I493:P493">
    <cfRule type="expression" dxfId="2408" priority="2374" stopIfTrue="1">
      <formula>IF($A493&lt;&gt;"",IF(B493="",TRUE,FALSE),FALSE)</formula>
    </cfRule>
  </conditionalFormatting>
  <conditionalFormatting sqref="M493">
    <cfRule type="expression" dxfId="2407" priority="2373" stopIfTrue="1">
      <formula>IF($F493="I",TRUE,FALSE)</formula>
    </cfRule>
  </conditionalFormatting>
  <conditionalFormatting sqref="B494:D494 F494:G494 I494:P494">
    <cfRule type="expression" dxfId="2406" priority="2372" stopIfTrue="1">
      <formula>IF($A494&lt;&gt;"",IF(B494="",TRUE,FALSE),FALSE)</formula>
    </cfRule>
  </conditionalFormatting>
  <conditionalFormatting sqref="M494">
    <cfRule type="expression" dxfId="2405" priority="2371" stopIfTrue="1">
      <formula>IF($F494="I",TRUE,FALSE)</formula>
    </cfRule>
  </conditionalFormatting>
  <conditionalFormatting sqref="B495:D495 F495:G495 I495:P495">
    <cfRule type="expression" dxfId="2404" priority="2370" stopIfTrue="1">
      <formula>IF($A495&lt;&gt;"",IF(B495="",TRUE,FALSE),FALSE)</formula>
    </cfRule>
  </conditionalFormatting>
  <conditionalFormatting sqref="M495">
    <cfRule type="expression" dxfId="2403" priority="2369" stopIfTrue="1">
      <formula>IF($F495="I",TRUE,FALSE)</formula>
    </cfRule>
  </conditionalFormatting>
  <conditionalFormatting sqref="B496:D496 F496:G496 I496:P496">
    <cfRule type="expression" dxfId="2402" priority="2368" stopIfTrue="1">
      <formula>IF($A496&lt;&gt;"",IF(B496="",TRUE,FALSE),FALSE)</formula>
    </cfRule>
  </conditionalFormatting>
  <conditionalFormatting sqref="M496">
    <cfRule type="expression" dxfId="2401" priority="2367" stopIfTrue="1">
      <formula>IF($F496="I",TRUE,FALSE)</formula>
    </cfRule>
  </conditionalFormatting>
  <conditionalFormatting sqref="B497:D497 F497:G497 I497:P497">
    <cfRule type="expression" dxfId="2400" priority="2366" stopIfTrue="1">
      <formula>IF($A497&lt;&gt;"",IF(B497="",TRUE,FALSE),FALSE)</formula>
    </cfRule>
  </conditionalFormatting>
  <conditionalFormatting sqref="M497">
    <cfRule type="expression" dxfId="2399" priority="2365" stopIfTrue="1">
      <formula>IF($F497="I",TRUE,FALSE)</formula>
    </cfRule>
  </conditionalFormatting>
  <conditionalFormatting sqref="B498:D498 F498:G498 I498:P498">
    <cfRule type="expression" dxfId="2398" priority="2364" stopIfTrue="1">
      <formula>IF($A498&lt;&gt;"",IF(B498="",TRUE,FALSE),FALSE)</formula>
    </cfRule>
  </conditionalFormatting>
  <conditionalFormatting sqref="M498">
    <cfRule type="expression" dxfId="2397" priority="2363" stopIfTrue="1">
      <formula>IF($F498="I",TRUE,FALSE)</formula>
    </cfRule>
  </conditionalFormatting>
  <conditionalFormatting sqref="B499:D499 F499:G499 I499:P499">
    <cfRule type="expression" dxfId="2396" priority="2362" stopIfTrue="1">
      <formula>IF($A499&lt;&gt;"",IF(B499="",TRUE,FALSE),FALSE)</formula>
    </cfRule>
  </conditionalFormatting>
  <conditionalFormatting sqref="M499">
    <cfRule type="expression" dxfId="2395" priority="2361" stopIfTrue="1">
      <formula>IF($F499="I",TRUE,FALSE)</formula>
    </cfRule>
  </conditionalFormatting>
  <conditionalFormatting sqref="B500:D500 F500:G500 I500:P500">
    <cfRule type="expression" dxfId="2394" priority="2360" stopIfTrue="1">
      <formula>IF($A500&lt;&gt;"",IF(B500="",TRUE,FALSE),FALSE)</formula>
    </cfRule>
  </conditionalFormatting>
  <conditionalFormatting sqref="M500">
    <cfRule type="expression" dxfId="2393" priority="2359" stopIfTrue="1">
      <formula>IF($F500="I",TRUE,FALSE)</formula>
    </cfRule>
  </conditionalFormatting>
  <conditionalFormatting sqref="B501:D501 F501:G501 I501:P501">
    <cfRule type="expression" dxfId="2392" priority="2358" stopIfTrue="1">
      <formula>IF($A501&lt;&gt;"",IF(B501="",TRUE,FALSE),FALSE)</formula>
    </cfRule>
  </conditionalFormatting>
  <conditionalFormatting sqref="M501">
    <cfRule type="expression" dxfId="2391" priority="2357" stopIfTrue="1">
      <formula>IF($F501="I",TRUE,FALSE)</formula>
    </cfRule>
  </conditionalFormatting>
  <conditionalFormatting sqref="B502:D502 F502:G502 I502:P502">
    <cfRule type="expression" dxfId="2390" priority="2356" stopIfTrue="1">
      <formula>IF($A502&lt;&gt;"",IF(B502="",TRUE,FALSE),FALSE)</formula>
    </cfRule>
  </conditionalFormatting>
  <conditionalFormatting sqref="M502">
    <cfRule type="expression" dxfId="2389" priority="2355" stopIfTrue="1">
      <formula>IF($F502="I",TRUE,FALSE)</formula>
    </cfRule>
  </conditionalFormatting>
  <conditionalFormatting sqref="B503:D503 F503:G503 I503:P503">
    <cfRule type="expression" dxfId="2388" priority="2354" stopIfTrue="1">
      <formula>IF($A503&lt;&gt;"",IF(B503="",TRUE,FALSE),FALSE)</formula>
    </cfRule>
  </conditionalFormatting>
  <conditionalFormatting sqref="M503">
    <cfRule type="expression" dxfId="2387" priority="2353" stopIfTrue="1">
      <formula>IF($F503="I",TRUE,FALSE)</formula>
    </cfRule>
  </conditionalFormatting>
  <conditionalFormatting sqref="B504:D504 F504:G504 I504:P504">
    <cfRule type="expression" dxfId="2386" priority="2352" stopIfTrue="1">
      <formula>IF($A504&lt;&gt;"",IF(B504="",TRUE,FALSE),FALSE)</formula>
    </cfRule>
  </conditionalFormatting>
  <conditionalFormatting sqref="M504">
    <cfRule type="expression" dxfId="2385" priority="2351" stopIfTrue="1">
      <formula>IF($F504="I",TRUE,FALSE)</formula>
    </cfRule>
  </conditionalFormatting>
  <conditionalFormatting sqref="B505:D505 F505:G505 I505:P505">
    <cfRule type="expression" dxfId="2384" priority="2350" stopIfTrue="1">
      <formula>IF($A505&lt;&gt;"",IF(B505="",TRUE,FALSE),FALSE)</formula>
    </cfRule>
  </conditionalFormatting>
  <conditionalFormatting sqref="M505">
    <cfRule type="expression" dxfId="2383" priority="2349" stopIfTrue="1">
      <formula>IF($F505="I",TRUE,FALSE)</formula>
    </cfRule>
  </conditionalFormatting>
  <conditionalFormatting sqref="B506:D506 F506:G506 I506:P506">
    <cfRule type="expression" dxfId="2382" priority="2348" stopIfTrue="1">
      <formula>IF($A506&lt;&gt;"",IF(B506="",TRUE,FALSE),FALSE)</formula>
    </cfRule>
  </conditionalFormatting>
  <conditionalFormatting sqref="M506">
    <cfRule type="expression" dxfId="2381" priority="2347" stopIfTrue="1">
      <formula>IF($F506="I",TRUE,FALSE)</formula>
    </cfRule>
  </conditionalFormatting>
  <conditionalFormatting sqref="B507:D507 F507:G507 I507:P507">
    <cfRule type="expression" dxfId="2380" priority="2346" stopIfTrue="1">
      <formula>IF($A507&lt;&gt;"",IF(B507="",TRUE,FALSE),FALSE)</formula>
    </cfRule>
  </conditionalFormatting>
  <conditionalFormatting sqref="M507">
    <cfRule type="expression" dxfId="2379" priority="2345" stopIfTrue="1">
      <formula>IF($F507="I",TRUE,FALSE)</formula>
    </cfRule>
  </conditionalFormatting>
  <conditionalFormatting sqref="B508:D508 F508:G508 I508:P508">
    <cfRule type="expression" dxfId="2378" priority="2344" stopIfTrue="1">
      <formula>IF($A508&lt;&gt;"",IF(B508="",TRUE,FALSE),FALSE)</formula>
    </cfRule>
  </conditionalFormatting>
  <conditionalFormatting sqref="M508">
    <cfRule type="expression" dxfId="2377" priority="2343" stopIfTrue="1">
      <formula>IF($F508="I",TRUE,FALSE)</formula>
    </cfRule>
  </conditionalFormatting>
  <conditionalFormatting sqref="B509:D509 F509:G509 I509:P509">
    <cfRule type="expression" dxfId="2376" priority="2342" stopIfTrue="1">
      <formula>IF($A509&lt;&gt;"",IF(B509="",TRUE,FALSE),FALSE)</formula>
    </cfRule>
  </conditionalFormatting>
  <conditionalFormatting sqref="M509">
    <cfRule type="expression" dxfId="2375" priority="2341" stopIfTrue="1">
      <formula>IF($F509="I",TRUE,FALSE)</formula>
    </cfRule>
  </conditionalFormatting>
  <conditionalFormatting sqref="B510:D510 F510:G510 I510:P510">
    <cfRule type="expression" dxfId="2374" priority="2340" stopIfTrue="1">
      <formula>IF($A510&lt;&gt;"",IF(B510="",TRUE,FALSE),FALSE)</formula>
    </cfRule>
  </conditionalFormatting>
  <conditionalFormatting sqref="M510">
    <cfRule type="expression" dxfId="2373" priority="2339" stopIfTrue="1">
      <formula>IF($F510="I",TRUE,FALSE)</formula>
    </cfRule>
  </conditionalFormatting>
  <conditionalFormatting sqref="B511:D511 F511:G511 I511:P511">
    <cfRule type="expression" dxfId="2372" priority="2338" stopIfTrue="1">
      <formula>IF($A511&lt;&gt;"",IF(B511="",TRUE,FALSE),FALSE)</formula>
    </cfRule>
  </conditionalFormatting>
  <conditionalFormatting sqref="M511">
    <cfRule type="expression" dxfId="2371" priority="2337" stopIfTrue="1">
      <formula>IF($F511="I",TRUE,FALSE)</formula>
    </cfRule>
  </conditionalFormatting>
  <conditionalFormatting sqref="B512:D512 F512:G512 I512:P512">
    <cfRule type="expression" dxfId="2370" priority="2336" stopIfTrue="1">
      <formula>IF($A512&lt;&gt;"",IF(B512="",TRUE,FALSE),FALSE)</formula>
    </cfRule>
  </conditionalFormatting>
  <conditionalFormatting sqref="M512">
    <cfRule type="expression" dxfId="2369" priority="2335" stopIfTrue="1">
      <formula>IF($F512="I",TRUE,FALSE)</formula>
    </cfRule>
  </conditionalFormatting>
  <conditionalFormatting sqref="B513:D513 F513:G513 I513:P513">
    <cfRule type="expression" dxfId="2368" priority="2334" stopIfTrue="1">
      <formula>IF($A513&lt;&gt;"",IF(B513="",TRUE,FALSE),FALSE)</formula>
    </cfRule>
  </conditionalFormatting>
  <conditionalFormatting sqref="M513">
    <cfRule type="expression" dxfId="2367" priority="2333" stopIfTrue="1">
      <formula>IF($F513="I",TRUE,FALSE)</formula>
    </cfRule>
  </conditionalFormatting>
  <conditionalFormatting sqref="B514:D514 F514:G514 I514:P514">
    <cfRule type="expression" dxfId="2366" priority="2332" stopIfTrue="1">
      <formula>IF($A514&lt;&gt;"",IF(B514="",TRUE,FALSE),FALSE)</formula>
    </cfRule>
  </conditionalFormatting>
  <conditionalFormatting sqref="M514">
    <cfRule type="expression" dxfId="2365" priority="2331" stopIfTrue="1">
      <formula>IF($F514="I",TRUE,FALSE)</formula>
    </cfRule>
  </conditionalFormatting>
  <conditionalFormatting sqref="B515:D515 F515:G515 I515:P515">
    <cfRule type="expression" dxfId="2364" priority="2330" stopIfTrue="1">
      <formula>IF($A515&lt;&gt;"",IF(B515="",TRUE,FALSE),FALSE)</formula>
    </cfRule>
  </conditionalFormatting>
  <conditionalFormatting sqref="M515">
    <cfRule type="expression" dxfId="2363" priority="2329" stopIfTrue="1">
      <formula>IF($F515="I",TRUE,FALSE)</formula>
    </cfRule>
  </conditionalFormatting>
  <conditionalFormatting sqref="B516:D516 F516:G516 I516:P516">
    <cfRule type="expression" dxfId="2362" priority="2328" stopIfTrue="1">
      <formula>IF($A516&lt;&gt;"",IF(B516="",TRUE,FALSE),FALSE)</formula>
    </cfRule>
  </conditionalFormatting>
  <conditionalFormatting sqref="M516">
    <cfRule type="expression" dxfId="2361" priority="2327" stopIfTrue="1">
      <formula>IF($F516="I",TRUE,FALSE)</formula>
    </cfRule>
  </conditionalFormatting>
  <conditionalFormatting sqref="B517:D517 F517:G517 I517:P517">
    <cfRule type="expression" dxfId="2360" priority="2326" stopIfTrue="1">
      <formula>IF($A517&lt;&gt;"",IF(B517="",TRUE,FALSE),FALSE)</formula>
    </cfRule>
  </conditionalFormatting>
  <conditionalFormatting sqref="M517">
    <cfRule type="expression" dxfId="2359" priority="2325" stopIfTrue="1">
      <formula>IF($F517="I",TRUE,FALSE)</formula>
    </cfRule>
  </conditionalFormatting>
  <conditionalFormatting sqref="B518:D518 F518:G518 I518:P518">
    <cfRule type="expression" dxfId="2358" priority="2324" stopIfTrue="1">
      <formula>IF($A518&lt;&gt;"",IF(B518="",TRUE,FALSE),FALSE)</formula>
    </cfRule>
  </conditionalFormatting>
  <conditionalFormatting sqref="M518">
    <cfRule type="expression" dxfId="2357" priority="2323" stopIfTrue="1">
      <formula>IF($F518="I",TRUE,FALSE)</formula>
    </cfRule>
  </conditionalFormatting>
  <conditionalFormatting sqref="B519:D519 F519:G519 I519:P519">
    <cfRule type="expression" dxfId="2356" priority="2322" stopIfTrue="1">
      <formula>IF($A519&lt;&gt;"",IF(B519="",TRUE,FALSE),FALSE)</formula>
    </cfRule>
  </conditionalFormatting>
  <conditionalFormatting sqref="M519">
    <cfRule type="expression" dxfId="2355" priority="2321" stopIfTrue="1">
      <formula>IF($F519="I",TRUE,FALSE)</formula>
    </cfRule>
  </conditionalFormatting>
  <conditionalFormatting sqref="B520:D520 F520:G520 I520:P520">
    <cfRule type="expression" dxfId="2354" priority="2320" stopIfTrue="1">
      <formula>IF($A520&lt;&gt;"",IF(B520="",TRUE,FALSE),FALSE)</formula>
    </cfRule>
  </conditionalFormatting>
  <conditionalFormatting sqref="M520">
    <cfRule type="expression" dxfId="2353" priority="2319" stopIfTrue="1">
      <formula>IF($F520="I",TRUE,FALSE)</formula>
    </cfRule>
  </conditionalFormatting>
  <conditionalFormatting sqref="B521:D521 F521:G521 I521:P521">
    <cfRule type="expression" dxfId="2352" priority="2318" stopIfTrue="1">
      <formula>IF($A521&lt;&gt;"",IF(B521="",TRUE,FALSE),FALSE)</formula>
    </cfRule>
  </conditionalFormatting>
  <conditionalFormatting sqref="M521">
    <cfRule type="expression" dxfId="2351" priority="2317" stopIfTrue="1">
      <formula>IF($F521="I",TRUE,FALSE)</formula>
    </cfRule>
  </conditionalFormatting>
  <conditionalFormatting sqref="B522:D522 F522:G522 I522:P522">
    <cfRule type="expression" dxfId="2350" priority="2316" stopIfTrue="1">
      <formula>IF($A522&lt;&gt;"",IF(B522="",TRUE,FALSE),FALSE)</formula>
    </cfRule>
  </conditionalFormatting>
  <conditionalFormatting sqref="M522">
    <cfRule type="expression" dxfId="2349" priority="2315" stopIfTrue="1">
      <formula>IF($F522="I",TRUE,FALSE)</formula>
    </cfRule>
  </conditionalFormatting>
  <conditionalFormatting sqref="B523:D523 F523:G523 I523:P523">
    <cfRule type="expression" dxfId="2348" priority="2314" stopIfTrue="1">
      <formula>IF($A523&lt;&gt;"",IF(B523="",TRUE,FALSE),FALSE)</formula>
    </cfRule>
  </conditionalFormatting>
  <conditionalFormatting sqref="M523">
    <cfRule type="expression" dxfId="2347" priority="2313" stopIfTrue="1">
      <formula>IF($F523="I",TRUE,FALSE)</formula>
    </cfRule>
  </conditionalFormatting>
  <conditionalFormatting sqref="B524:D524 F524:G524 I524:P524">
    <cfRule type="expression" dxfId="2346" priority="2312" stopIfTrue="1">
      <formula>IF($A524&lt;&gt;"",IF(B524="",TRUE,FALSE),FALSE)</formula>
    </cfRule>
  </conditionalFormatting>
  <conditionalFormatting sqref="M524">
    <cfRule type="expression" dxfId="2345" priority="2311" stopIfTrue="1">
      <formula>IF($F524="I",TRUE,FALSE)</formula>
    </cfRule>
  </conditionalFormatting>
  <conditionalFormatting sqref="B525:D525 F525:G525 I525:P525">
    <cfRule type="expression" dxfId="2344" priority="2310" stopIfTrue="1">
      <formula>IF($A525&lt;&gt;"",IF(B525="",TRUE,FALSE),FALSE)</formula>
    </cfRule>
  </conditionalFormatting>
  <conditionalFormatting sqref="M525">
    <cfRule type="expression" dxfId="2343" priority="2309" stopIfTrue="1">
      <formula>IF($F525="I",TRUE,FALSE)</formula>
    </cfRule>
  </conditionalFormatting>
  <conditionalFormatting sqref="B526:D526 F526:G526 I526:P526">
    <cfRule type="expression" dxfId="2342" priority="2308" stopIfTrue="1">
      <formula>IF($A526&lt;&gt;"",IF(B526="",TRUE,FALSE),FALSE)</formula>
    </cfRule>
  </conditionalFormatting>
  <conditionalFormatting sqref="M526">
    <cfRule type="expression" dxfId="2341" priority="2307" stopIfTrue="1">
      <formula>IF($F526="I",TRUE,FALSE)</formula>
    </cfRule>
  </conditionalFormatting>
  <conditionalFormatting sqref="B527:D527 F527:G527 I527:P527">
    <cfRule type="expression" dxfId="2340" priority="2306" stopIfTrue="1">
      <formula>IF($A527&lt;&gt;"",IF(B527="",TRUE,FALSE),FALSE)</formula>
    </cfRule>
  </conditionalFormatting>
  <conditionalFormatting sqref="M527">
    <cfRule type="expression" dxfId="2339" priority="2305" stopIfTrue="1">
      <formula>IF($F527="I",TRUE,FALSE)</formula>
    </cfRule>
  </conditionalFormatting>
  <conditionalFormatting sqref="B528:D528 F528:G528 I528:P528">
    <cfRule type="expression" dxfId="2338" priority="2304" stopIfTrue="1">
      <formula>IF($A528&lt;&gt;"",IF(B528="",TRUE,FALSE),FALSE)</formula>
    </cfRule>
  </conditionalFormatting>
  <conditionalFormatting sqref="M528">
    <cfRule type="expression" dxfId="2337" priority="2303" stopIfTrue="1">
      <formula>IF($F528="I",TRUE,FALSE)</formula>
    </cfRule>
  </conditionalFormatting>
  <conditionalFormatting sqref="B529:D529 F529:G529 I529:P529">
    <cfRule type="expression" dxfId="2336" priority="2302" stopIfTrue="1">
      <formula>IF($A529&lt;&gt;"",IF(B529="",TRUE,FALSE),FALSE)</formula>
    </cfRule>
  </conditionalFormatting>
  <conditionalFormatting sqref="M529">
    <cfRule type="expression" dxfId="2335" priority="2301" stopIfTrue="1">
      <formula>IF($F529="I",TRUE,FALSE)</formula>
    </cfRule>
  </conditionalFormatting>
  <conditionalFormatting sqref="B530:D530 F530:G530 I530:P530">
    <cfRule type="expression" dxfId="2334" priority="2300" stopIfTrue="1">
      <formula>IF($A530&lt;&gt;"",IF(B530="",TRUE,FALSE),FALSE)</formula>
    </cfRule>
  </conditionalFormatting>
  <conditionalFormatting sqref="M530">
    <cfRule type="expression" dxfId="2333" priority="2299" stopIfTrue="1">
      <formula>IF($F530="I",TRUE,FALSE)</formula>
    </cfRule>
  </conditionalFormatting>
  <conditionalFormatting sqref="B531:D531 F531:G531 I531:P531">
    <cfRule type="expression" dxfId="2332" priority="2298" stopIfTrue="1">
      <formula>IF($A531&lt;&gt;"",IF(B531="",TRUE,FALSE),FALSE)</formula>
    </cfRule>
  </conditionalFormatting>
  <conditionalFormatting sqref="M531">
    <cfRule type="expression" dxfId="2331" priority="2297" stopIfTrue="1">
      <formula>IF($F531="I",TRUE,FALSE)</formula>
    </cfRule>
  </conditionalFormatting>
  <conditionalFormatting sqref="B532:D532 F532:G532 I532:P532">
    <cfRule type="expression" dxfId="2330" priority="2296" stopIfTrue="1">
      <formula>IF($A532&lt;&gt;"",IF(B532="",TRUE,FALSE),FALSE)</formula>
    </cfRule>
  </conditionalFormatting>
  <conditionalFormatting sqref="M532">
    <cfRule type="expression" dxfId="2329" priority="2295" stopIfTrue="1">
      <formula>IF($F532="I",TRUE,FALSE)</formula>
    </cfRule>
  </conditionalFormatting>
  <conditionalFormatting sqref="B533:D533 F533:G533 I533:P533">
    <cfRule type="expression" dxfId="2328" priority="2294" stopIfTrue="1">
      <formula>IF($A533&lt;&gt;"",IF(B533="",TRUE,FALSE),FALSE)</formula>
    </cfRule>
  </conditionalFormatting>
  <conditionalFormatting sqref="M533">
    <cfRule type="expression" dxfId="2327" priority="2293" stopIfTrue="1">
      <formula>IF($F533="I",TRUE,FALSE)</formula>
    </cfRule>
  </conditionalFormatting>
  <conditionalFormatting sqref="B534:D534 F534:G534 I534:P534">
    <cfRule type="expression" dxfId="2326" priority="2292" stopIfTrue="1">
      <formula>IF($A534&lt;&gt;"",IF(B534="",TRUE,FALSE),FALSE)</formula>
    </cfRule>
  </conditionalFormatting>
  <conditionalFormatting sqref="M534">
    <cfRule type="expression" dxfId="2325" priority="2291" stopIfTrue="1">
      <formula>IF($F534="I",TRUE,FALSE)</formula>
    </cfRule>
  </conditionalFormatting>
  <conditionalFormatting sqref="B535:D535 F535:G535 I535:P535">
    <cfRule type="expression" dxfId="2324" priority="2290" stopIfTrue="1">
      <formula>IF($A535&lt;&gt;"",IF(B535="",TRUE,FALSE),FALSE)</formula>
    </cfRule>
  </conditionalFormatting>
  <conditionalFormatting sqref="M535">
    <cfRule type="expression" dxfId="2323" priority="2289" stopIfTrue="1">
      <formula>IF($F535="I",TRUE,FALSE)</formula>
    </cfRule>
  </conditionalFormatting>
  <conditionalFormatting sqref="B536:D536 F536:G536 I536:P536">
    <cfRule type="expression" dxfId="2322" priority="2288" stopIfTrue="1">
      <formula>IF($A536&lt;&gt;"",IF(B536="",TRUE,FALSE),FALSE)</formula>
    </cfRule>
  </conditionalFormatting>
  <conditionalFormatting sqref="M536">
    <cfRule type="expression" dxfId="2321" priority="2287" stopIfTrue="1">
      <formula>IF($F536="I",TRUE,FALSE)</formula>
    </cfRule>
  </conditionalFormatting>
  <conditionalFormatting sqref="B537:D537 F537:G537 I537:P537">
    <cfRule type="expression" dxfId="2320" priority="2286" stopIfTrue="1">
      <formula>IF($A537&lt;&gt;"",IF(B537="",TRUE,FALSE),FALSE)</formula>
    </cfRule>
  </conditionalFormatting>
  <conditionalFormatting sqref="M537">
    <cfRule type="expression" dxfId="2319" priority="2285" stopIfTrue="1">
      <formula>IF($F537="I",TRUE,FALSE)</formula>
    </cfRule>
  </conditionalFormatting>
  <conditionalFormatting sqref="B538:D538 F538:G538 I538:P538">
    <cfRule type="expression" dxfId="2318" priority="2284" stopIfTrue="1">
      <formula>IF($A538&lt;&gt;"",IF(B538="",TRUE,FALSE),FALSE)</formula>
    </cfRule>
  </conditionalFormatting>
  <conditionalFormatting sqref="M538">
    <cfRule type="expression" dxfId="2317" priority="2283" stopIfTrue="1">
      <formula>IF($F538="I",TRUE,FALSE)</formula>
    </cfRule>
  </conditionalFormatting>
  <conditionalFormatting sqref="B539:D539 F539:G539 I539:P539">
    <cfRule type="expression" dxfId="2316" priority="2282" stopIfTrue="1">
      <formula>IF($A539&lt;&gt;"",IF(B539="",TRUE,FALSE),FALSE)</formula>
    </cfRule>
  </conditionalFormatting>
  <conditionalFormatting sqref="M539">
    <cfRule type="expression" dxfId="2315" priority="2281" stopIfTrue="1">
      <formula>IF($F539="I",TRUE,FALSE)</formula>
    </cfRule>
  </conditionalFormatting>
  <conditionalFormatting sqref="B540:D540 F540:G540 I540:P540">
    <cfRule type="expression" dxfId="2314" priority="2280" stopIfTrue="1">
      <formula>IF($A540&lt;&gt;"",IF(B540="",TRUE,FALSE),FALSE)</formula>
    </cfRule>
  </conditionalFormatting>
  <conditionalFormatting sqref="M540">
    <cfRule type="expression" dxfId="2313" priority="2279" stopIfTrue="1">
      <formula>IF($F540="I",TRUE,FALSE)</formula>
    </cfRule>
  </conditionalFormatting>
  <conditionalFormatting sqref="B541:D541 F541:G541 I541:P541">
    <cfRule type="expression" dxfId="2312" priority="2278" stopIfTrue="1">
      <formula>IF($A541&lt;&gt;"",IF(B541="",TRUE,FALSE),FALSE)</formula>
    </cfRule>
  </conditionalFormatting>
  <conditionalFormatting sqref="M541">
    <cfRule type="expression" dxfId="2311" priority="2277" stopIfTrue="1">
      <formula>IF($F541="I",TRUE,FALSE)</formula>
    </cfRule>
  </conditionalFormatting>
  <conditionalFormatting sqref="B542:D542 F542:G542 I542:P542">
    <cfRule type="expression" dxfId="2310" priority="2276" stopIfTrue="1">
      <formula>IF($A542&lt;&gt;"",IF(B542="",TRUE,FALSE),FALSE)</formula>
    </cfRule>
  </conditionalFormatting>
  <conditionalFormatting sqref="M542">
    <cfRule type="expression" dxfId="2309" priority="2275" stopIfTrue="1">
      <formula>IF($F542="I",TRUE,FALSE)</formula>
    </cfRule>
  </conditionalFormatting>
  <conditionalFormatting sqref="B543:D543 F543:G543 I543:P543">
    <cfRule type="expression" dxfId="2308" priority="2274" stopIfTrue="1">
      <formula>IF($A543&lt;&gt;"",IF(B543="",TRUE,FALSE),FALSE)</formula>
    </cfRule>
  </conditionalFormatting>
  <conditionalFormatting sqref="M543">
    <cfRule type="expression" dxfId="2307" priority="2273" stopIfTrue="1">
      <formula>IF($F543="I",TRUE,FALSE)</formula>
    </cfRule>
  </conditionalFormatting>
  <conditionalFormatting sqref="B544:D544 F544:G544 I544:P544">
    <cfRule type="expression" dxfId="2306" priority="2272" stopIfTrue="1">
      <formula>IF($A544&lt;&gt;"",IF(B544="",TRUE,FALSE),FALSE)</formula>
    </cfRule>
  </conditionalFormatting>
  <conditionalFormatting sqref="M544">
    <cfRule type="expression" dxfId="2305" priority="2271" stopIfTrue="1">
      <formula>IF($F544="I",TRUE,FALSE)</formula>
    </cfRule>
  </conditionalFormatting>
  <conditionalFormatting sqref="B545:D545 F545:G545 I545:P545">
    <cfRule type="expression" dxfId="2304" priority="2270" stopIfTrue="1">
      <formula>IF($A545&lt;&gt;"",IF(B545="",TRUE,FALSE),FALSE)</formula>
    </cfRule>
  </conditionalFormatting>
  <conditionalFormatting sqref="M545">
    <cfRule type="expression" dxfId="2303" priority="2269" stopIfTrue="1">
      <formula>IF($F545="I",TRUE,FALSE)</formula>
    </cfRule>
  </conditionalFormatting>
  <conditionalFormatting sqref="B546:D546 F546:G546 I546:P546">
    <cfRule type="expression" dxfId="2302" priority="2268" stopIfTrue="1">
      <formula>IF($A546&lt;&gt;"",IF(B546="",TRUE,FALSE),FALSE)</formula>
    </cfRule>
  </conditionalFormatting>
  <conditionalFormatting sqref="M546">
    <cfRule type="expression" dxfId="2301" priority="2267" stopIfTrue="1">
      <formula>IF($F546="I",TRUE,FALSE)</formula>
    </cfRule>
  </conditionalFormatting>
  <conditionalFormatting sqref="B547:D547 F547:G547 I547:P547">
    <cfRule type="expression" dxfId="2300" priority="2266" stopIfTrue="1">
      <formula>IF($A547&lt;&gt;"",IF(B547="",TRUE,FALSE),FALSE)</formula>
    </cfRule>
  </conditionalFormatting>
  <conditionalFormatting sqref="M547">
    <cfRule type="expression" dxfId="2299" priority="2265" stopIfTrue="1">
      <formula>IF($F547="I",TRUE,FALSE)</formula>
    </cfRule>
  </conditionalFormatting>
  <conditionalFormatting sqref="B548:D548 F548:G548 I548:P548">
    <cfRule type="expression" dxfId="2298" priority="2264" stopIfTrue="1">
      <formula>IF($A548&lt;&gt;"",IF(B548="",TRUE,FALSE),FALSE)</formula>
    </cfRule>
  </conditionalFormatting>
  <conditionalFormatting sqref="M548">
    <cfRule type="expression" dxfId="2297" priority="2263" stopIfTrue="1">
      <formula>IF($F548="I",TRUE,FALSE)</formula>
    </cfRule>
  </conditionalFormatting>
  <conditionalFormatting sqref="B549:D549 F549:G549 I549:P549">
    <cfRule type="expression" dxfId="2296" priority="2262" stopIfTrue="1">
      <formula>IF($A549&lt;&gt;"",IF(B549="",TRUE,FALSE),FALSE)</formula>
    </cfRule>
  </conditionalFormatting>
  <conditionalFormatting sqref="M549">
    <cfRule type="expression" dxfId="2295" priority="2261" stopIfTrue="1">
      <formula>IF($F549="I",TRUE,FALSE)</formula>
    </cfRule>
  </conditionalFormatting>
  <conditionalFormatting sqref="B550:D550 F550:G550 I550:P550">
    <cfRule type="expression" dxfId="2294" priority="2260" stopIfTrue="1">
      <formula>IF($A550&lt;&gt;"",IF(B550="",TRUE,FALSE),FALSE)</formula>
    </cfRule>
  </conditionalFormatting>
  <conditionalFormatting sqref="M550">
    <cfRule type="expression" dxfId="2293" priority="2259" stopIfTrue="1">
      <formula>IF($F550="I",TRUE,FALSE)</formula>
    </cfRule>
  </conditionalFormatting>
  <conditionalFormatting sqref="B551:D551 F551:G551 I551:P551">
    <cfRule type="expression" dxfId="2292" priority="2258" stopIfTrue="1">
      <formula>IF($A551&lt;&gt;"",IF(B551="",TRUE,FALSE),FALSE)</formula>
    </cfRule>
  </conditionalFormatting>
  <conditionalFormatting sqref="M551">
    <cfRule type="expression" dxfId="2291" priority="2257" stopIfTrue="1">
      <formula>IF($F551="I",TRUE,FALSE)</formula>
    </cfRule>
  </conditionalFormatting>
  <conditionalFormatting sqref="B552:D552 F552:G552 I552:P552">
    <cfRule type="expression" dxfId="2290" priority="2256" stopIfTrue="1">
      <formula>IF($A552&lt;&gt;"",IF(B552="",TRUE,FALSE),FALSE)</formula>
    </cfRule>
  </conditionalFormatting>
  <conditionalFormatting sqref="M552">
    <cfRule type="expression" dxfId="2289" priority="2255" stopIfTrue="1">
      <formula>IF($F552="I",TRUE,FALSE)</formula>
    </cfRule>
  </conditionalFormatting>
  <conditionalFormatting sqref="B553:D553 F553:G553 I553:P553">
    <cfRule type="expression" dxfId="2288" priority="2254" stopIfTrue="1">
      <formula>IF($A553&lt;&gt;"",IF(B553="",TRUE,FALSE),FALSE)</formula>
    </cfRule>
  </conditionalFormatting>
  <conditionalFormatting sqref="M553">
    <cfRule type="expression" dxfId="2287" priority="2253" stopIfTrue="1">
      <formula>IF($F553="I",TRUE,FALSE)</formula>
    </cfRule>
  </conditionalFormatting>
  <conditionalFormatting sqref="B554:D554 F554:G554 I554:P554">
    <cfRule type="expression" dxfId="2286" priority="2252" stopIfTrue="1">
      <formula>IF($A554&lt;&gt;"",IF(B554="",TRUE,FALSE),FALSE)</formula>
    </cfRule>
  </conditionalFormatting>
  <conditionalFormatting sqref="M554">
    <cfRule type="expression" dxfId="2285" priority="2251" stopIfTrue="1">
      <formula>IF($F554="I",TRUE,FALSE)</formula>
    </cfRule>
  </conditionalFormatting>
  <conditionalFormatting sqref="B555:D555 F555:G555 I555:P555">
    <cfRule type="expression" dxfId="2284" priority="2250" stopIfTrue="1">
      <formula>IF($A555&lt;&gt;"",IF(B555="",TRUE,FALSE),FALSE)</formula>
    </cfRule>
  </conditionalFormatting>
  <conditionalFormatting sqref="M555">
    <cfRule type="expression" dxfId="2283" priority="2249" stopIfTrue="1">
      <formula>IF($F555="I",TRUE,FALSE)</formula>
    </cfRule>
  </conditionalFormatting>
  <conditionalFormatting sqref="B556:D556 F556:G556 I556:P556">
    <cfRule type="expression" dxfId="2282" priority="2248" stopIfTrue="1">
      <formula>IF($A556&lt;&gt;"",IF(B556="",TRUE,FALSE),FALSE)</formula>
    </cfRule>
  </conditionalFormatting>
  <conditionalFormatting sqref="M556">
    <cfRule type="expression" dxfId="2281" priority="2247" stopIfTrue="1">
      <formula>IF($F556="I",TRUE,FALSE)</formula>
    </cfRule>
  </conditionalFormatting>
  <conditionalFormatting sqref="B557:D557 F557:G557 I557:P557">
    <cfRule type="expression" dxfId="2280" priority="2246" stopIfTrue="1">
      <formula>IF($A557&lt;&gt;"",IF(B557="",TRUE,FALSE),FALSE)</formula>
    </cfRule>
  </conditionalFormatting>
  <conditionalFormatting sqref="M557">
    <cfRule type="expression" dxfId="2279" priority="2245" stopIfTrue="1">
      <formula>IF($F557="I",TRUE,FALSE)</formula>
    </cfRule>
  </conditionalFormatting>
  <conditionalFormatting sqref="B558:D558 F558:G558 I558:P558">
    <cfRule type="expression" dxfId="2278" priority="2244" stopIfTrue="1">
      <formula>IF($A558&lt;&gt;"",IF(B558="",TRUE,FALSE),FALSE)</formula>
    </cfRule>
  </conditionalFormatting>
  <conditionalFormatting sqref="M558">
    <cfRule type="expression" dxfId="2277" priority="2243" stopIfTrue="1">
      <formula>IF($F558="I",TRUE,FALSE)</formula>
    </cfRule>
  </conditionalFormatting>
  <conditionalFormatting sqref="B559:D559 F559:G559 I559:P559">
    <cfRule type="expression" dxfId="2276" priority="2242" stopIfTrue="1">
      <formula>IF($A559&lt;&gt;"",IF(B559="",TRUE,FALSE),FALSE)</formula>
    </cfRule>
  </conditionalFormatting>
  <conditionalFormatting sqref="M559">
    <cfRule type="expression" dxfId="2275" priority="2241" stopIfTrue="1">
      <formula>IF($F559="I",TRUE,FALSE)</formula>
    </cfRule>
  </conditionalFormatting>
  <conditionalFormatting sqref="B560:D560 F560:G560 I560:P560">
    <cfRule type="expression" dxfId="2274" priority="2240" stopIfTrue="1">
      <formula>IF($A560&lt;&gt;"",IF(B560="",TRUE,FALSE),FALSE)</formula>
    </cfRule>
  </conditionalFormatting>
  <conditionalFormatting sqref="M560">
    <cfRule type="expression" dxfId="2273" priority="2239" stopIfTrue="1">
      <formula>IF($F560="I",TRUE,FALSE)</formula>
    </cfRule>
  </conditionalFormatting>
  <conditionalFormatting sqref="B561:D561 F561:G561 I561:P561">
    <cfRule type="expression" dxfId="2272" priority="2238" stopIfTrue="1">
      <formula>IF($A561&lt;&gt;"",IF(B561="",TRUE,FALSE),FALSE)</formula>
    </cfRule>
  </conditionalFormatting>
  <conditionalFormatting sqref="M561">
    <cfRule type="expression" dxfId="2271" priority="2237" stopIfTrue="1">
      <formula>IF($F561="I",TRUE,FALSE)</formula>
    </cfRule>
  </conditionalFormatting>
  <conditionalFormatting sqref="B562:D562 F562:G562 I562:P562">
    <cfRule type="expression" dxfId="2270" priority="2236" stopIfTrue="1">
      <formula>IF($A562&lt;&gt;"",IF(B562="",TRUE,FALSE),FALSE)</formula>
    </cfRule>
  </conditionalFormatting>
  <conditionalFormatting sqref="M562">
    <cfRule type="expression" dxfId="2269" priority="2235" stopIfTrue="1">
      <formula>IF($F562="I",TRUE,FALSE)</formula>
    </cfRule>
  </conditionalFormatting>
  <conditionalFormatting sqref="B563:D563 F563:G563 I563:P563">
    <cfRule type="expression" dxfId="2268" priority="2234" stopIfTrue="1">
      <formula>IF($A563&lt;&gt;"",IF(B563="",TRUE,FALSE),FALSE)</formula>
    </cfRule>
  </conditionalFormatting>
  <conditionalFormatting sqref="M563">
    <cfRule type="expression" dxfId="2267" priority="2233" stopIfTrue="1">
      <formula>IF($F563="I",TRUE,FALSE)</formula>
    </cfRule>
  </conditionalFormatting>
  <conditionalFormatting sqref="B564:D564 F564:G564 I564:P564">
    <cfRule type="expression" dxfId="2266" priority="2232" stopIfTrue="1">
      <formula>IF($A564&lt;&gt;"",IF(B564="",TRUE,FALSE),FALSE)</formula>
    </cfRule>
  </conditionalFormatting>
  <conditionalFormatting sqref="M564">
    <cfRule type="expression" dxfId="2265" priority="2231" stopIfTrue="1">
      <formula>IF($F564="I",TRUE,FALSE)</formula>
    </cfRule>
  </conditionalFormatting>
  <conditionalFormatting sqref="B565:D565 F565:G565 I565:P565">
    <cfRule type="expression" dxfId="2264" priority="2230" stopIfTrue="1">
      <formula>IF($A565&lt;&gt;"",IF(B565="",TRUE,FALSE),FALSE)</formula>
    </cfRule>
  </conditionalFormatting>
  <conditionalFormatting sqref="M565">
    <cfRule type="expression" dxfId="2263" priority="2229" stopIfTrue="1">
      <formula>IF($F565="I",TRUE,FALSE)</formula>
    </cfRule>
  </conditionalFormatting>
  <conditionalFormatting sqref="B566:D566 F566:G566 I566:P566">
    <cfRule type="expression" dxfId="2262" priority="2228" stopIfTrue="1">
      <formula>IF($A566&lt;&gt;"",IF(B566="",TRUE,FALSE),FALSE)</formula>
    </cfRule>
  </conditionalFormatting>
  <conditionalFormatting sqref="M566">
    <cfRule type="expression" dxfId="2261" priority="2227" stopIfTrue="1">
      <formula>IF($F566="I",TRUE,FALSE)</formula>
    </cfRule>
  </conditionalFormatting>
  <conditionalFormatting sqref="B567:D567 F567:G567 I567:P567">
    <cfRule type="expression" dxfId="2260" priority="2226" stopIfTrue="1">
      <formula>IF($A567&lt;&gt;"",IF(B567="",TRUE,FALSE),FALSE)</formula>
    </cfRule>
  </conditionalFormatting>
  <conditionalFormatting sqref="M567">
    <cfRule type="expression" dxfId="2259" priority="2225" stopIfTrue="1">
      <formula>IF($F567="I",TRUE,FALSE)</formula>
    </cfRule>
  </conditionalFormatting>
  <conditionalFormatting sqref="B568:D568 F568:G568 I568:P568">
    <cfRule type="expression" dxfId="2258" priority="2224" stopIfTrue="1">
      <formula>IF($A568&lt;&gt;"",IF(B568="",TRUE,FALSE),FALSE)</formula>
    </cfRule>
  </conditionalFormatting>
  <conditionalFormatting sqref="M568">
    <cfRule type="expression" dxfId="2257" priority="2223" stopIfTrue="1">
      <formula>IF($F568="I",TRUE,FALSE)</formula>
    </cfRule>
  </conditionalFormatting>
  <conditionalFormatting sqref="B569:D569 F569:G569 I569:P569">
    <cfRule type="expression" dxfId="2256" priority="2222" stopIfTrue="1">
      <formula>IF($A569&lt;&gt;"",IF(B569="",TRUE,FALSE),FALSE)</formula>
    </cfRule>
  </conditionalFormatting>
  <conditionalFormatting sqref="M569">
    <cfRule type="expression" dxfId="2255" priority="2221" stopIfTrue="1">
      <formula>IF($F569="I",TRUE,FALSE)</formula>
    </cfRule>
  </conditionalFormatting>
  <conditionalFormatting sqref="B570:D570 F570:G570 I570:P570">
    <cfRule type="expression" dxfId="2254" priority="2220" stopIfTrue="1">
      <formula>IF($A570&lt;&gt;"",IF(B570="",TRUE,FALSE),FALSE)</formula>
    </cfRule>
  </conditionalFormatting>
  <conditionalFormatting sqref="M570">
    <cfRule type="expression" dxfId="2253" priority="2219" stopIfTrue="1">
      <formula>IF($F570="I",TRUE,FALSE)</formula>
    </cfRule>
  </conditionalFormatting>
  <conditionalFormatting sqref="B571:D571 F571:G571 I571:P571">
    <cfRule type="expression" dxfId="2252" priority="2218" stopIfTrue="1">
      <formula>IF($A571&lt;&gt;"",IF(B571="",TRUE,FALSE),FALSE)</formula>
    </cfRule>
  </conditionalFormatting>
  <conditionalFormatting sqref="M571">
    <cfRule type="expression" dxfId="2251" priority="2217" stopIfTrue="1">
      <formula>IF($F571="I",TRUE,FALSE)</formula>
    </cfRule>
  </conditionalFormatting>
  <conditionalFormatting sqref="B572:D572 F572:G572 I572:P572">
    <cfRule type="expression" dxfId="2250" priority="2216" stopIfTrue="1">
      <formula>IF($A572&lt;&gt;"",IF(B572="",TRUE,FALSE),FALSE)</formula>
    </cfRule>
  </conditionalFormatting>
  <conditionalFormatting sqref="M572">
    <cfRule type="expression" dxfId="2249" priority="2215" stopIfTrue="1">
      <formula>IF($F572="I",TRUE,FALSE)</formula>
    </cfRule>
  </conditionalFormatting>
  <conditionalFormatting sqref="B573:D573 F573:G573 I573:P573">
    <cfRule type="expression" dxfId="2248" priority="2214" stopIfTrue="1">
      <formula>IF($A573&lt;&gt;"",IF(B573="",TRUE,FALSE),FALSE)</formula>
    </cfRule>
  </conditionalFormatting>
  <conditionalFormatting sqref="M573">
    <cfRule type="expression" dxfId="2247" priority="2213" stopIfTrue="1">
      <formula>IF($F573="I",TRUE,FALSE)</formula>
    </cfRule>
  </conditionalFormatting>
  <conditionalFormatting sqref="B574:D574 F574:G574 I574:P574">
    <cfRule type="expression" dxfId="2246" priority="2212" stopIfTrue="1">
      <formula>IF($A574&lt;&gt;"",IF(B574="",TRUE,FALSE),FALSE)</formula>
    </cfRule>
  </conditionalFormatting>
  <conditionalFormatting sqref="M574">
    <cfRule type="expression" dxfId="2245" priority="2211" stopIfTrue="1">
      <formula>IF($F574="I",TRUE,FALSE)</formula>
    </cfRule>
  </conditionalFormatting>
  <conditionalFormatting sqref="B575:D575 F575:G575 I575:P575">
    <cfRule type="expression" dxfId="2244" priority="2210" stopIfTrue="1">
      <formula>IF($A575&lt;&gt;"",IF(B575="",TRUE,FALSE),FALSE)</formula>
    </cfRule>
  </conditionalFormatting>
  <conditionalFormatting sqref="M575">
    <cfRule type="expression" dxfId="2243" priority="2209" stopIfTrue="1">
      <formula>IF($F575="I",TRUE,FALSE)</formula>
    </cfRule>
  </conditionalFormatting>
  <conditionalFormatting sqref="B576:D576 F576:G576 I576:P576">
    <cfRule type="expression" dxfId="2242" priority="2208" stopIfTrue="1">
      <formula>IF($A576&lt;&gt;"",IF(B576="",TRUE,FALSE),FALSE)</formula>
    </cfRule>
  </conditionalFormatting>
  <conditionalFormatting sqref="M576">
    <cfRule type="expression" dxfId="2241" priority="2207" stopIfTrue="1">
      <formula>IF($F576="I",TRUE,FALSE)</formula>
    </cfRule>
  </conditionalFormatting>
  <conditionalFormatting sqref="B577:D577 F577:G577 I577:P577">
    <cfRule type="expression" dxfId="2240" priority="2206" stopIfTrue="1">
      <formula>IF($A577&lt;&gt;"",IF(B577="",TRUE,FALSE),FALSE)</formula>
    </cfRule>
  </conditionalFormatting>
  <conditionalFormatting sqref="M577">
    <cfRule type="expression" dxfId="2239" priority="2205" stopIfTrue="1">
      <formula>IF($F577="I",TRUE,FALSE)</formula>
    </cfRule>
  </conditionalFormatting>
  <conditionalFormatting sqref="B578:D578 F578:G578 I578:P578">
    <cfRule type="expression" dxfId="2238" priority="2204" stopIfTrue="1">
      <formula>IF($A578&lt;&gt;"",IF(B578="",TRUE,FALSE),FALSE)</formula>
    </cfRule>
  </conditionalFormatting>
  <conditionalFormatting sqref="M578">
    <cfRule type="expression" dxfId="2237" priority="2203" stopIfTrue="1">
      <formula>IF($F578="I",TRUE,FALSE)</formula>
    </cfRule>
  </conditionalFormatting>
  <conditionalFormatting sqref="B579:D579 F579:G579 I579:P579">
    <cfRule type="expression" dxfId="2236" priority="2202" stopIfTrue="1">
      <formula>IF($A579&lt;&gt;"",IF(B579="",TRUE,FALSE),FALSE)</formula>
    </cfRule>
  </conditionalFormatting>
  <conditionalFormatting sqref="M579">
    <cfRule type="expression" dxfId="2235" priority="2201" stopIfTrue="1">
      <formula>IF($F579="I",TRUE,FALSE)</formula>
    </cfRule>
  </conditionalFormatting>
  <conditionalFormatting sqref="B580:D580 F580:G580 I580:P580">
    <cfRule type="expression" dxfId="2234" priority="2200" stopIfTrue="1">
      <formula>IF($A580&lt;&gt;"",IF(B580="",TRUE,FALSE),FALSE)</formula>
    </cfRule>
  </conditionalFormatting>
  <conditionalFormatting sqref="M580">
    <cfRule type="expression" dxfId="2233" priority="2199" stopIfTrue="1">
      <formula>IF($F580="I",TRUE,FALSE)</formula>
    </cfRule>
  </conditionalFormatting>
  <conditionalFormatting sqref="B581:D581 F581:G581 I581:P581">
    <cfRule type="expression" dxfId="2232" priority="2198" stopIfTrue="1">
      <formula>IF($A581&lt;&gt;"",IF(B581="",TRUE,FALSE),FALSE)</formula>
    </cfRule>
  </conditionalFormatting>
  <conditionalFormatting sqref="M581">
    <cfRule type="expression" dxfId="2231" priority="2197" stopIfTrue="1">
      <formula>IF($F581="I",TRUE,FALSE)</formula>
    </cfRule>
  </conditionalFormatting>
  <conditionalFormatting sqref="B582:D582 F582:G582 I582:P582">
    <cfRule type="expression" dxfId="2230" priority="2196" stopIfTrue="1">
      <formula>IF($A582&lt;&gt;"",IF(B582="",TRUE,FALSE),FALSE)</formula>
    </cfRule>
  </conditionalFormatting>
  <conditionalFormatting sqref="M582">
    <cfRule type="expression" dxfId="2229" priority="2195" stopIfTrue="1">
      <formula>IF($F582="I",TRUE,FALSE)</formula>
    </cfRule>
  </conditionalFormatting>
  <conditionalFormatting sqref="B583:D583 F583:G583 I583:P583">
    <cfRule type="expression" dxfId="2228" priority="2194" stopIfTrue="1">
      <formula>IF($A583&lt;&gt;"",IF(B583="",TRUE,FALSE),FALSE)</formula>
    </cfRule>
  </conditionalFormatting>
  <conditionalFormatting sqref="M583">
    <cfRule type="expression" dxfId="2227" priority="2193" stopIfTrue="1">
      <formula>IF($F583="I",TRUE,FALSE)</formula>
    </cfRule>
  </conditionalFormatting>
  <conditionalFormatting sqref="B584:D584 F584:G584 I584:P584">
    <cfRule type="expression" dxfId="2226" priority="2192" stopIfTrue="1">
      <formula>IF($A584&lt;&gt;"",IF(B584="",TRUE,FALSE),FALSE)</formula>
    </cfRule>
  </conditionalFormatting>
  <conditionalFormatting sqref="M584">
    <cfRule type="expression" dxfId="2225" priority="2191" stopIfTrue="1">
      <formula>IF($F584="I",TRUE,FALSE)</formula>
    </cfRule>
  </conditionalFormatting>
  <conditionalFormatting sqref="B585:D585 F585:G585 I585:P585">
    <cfRule type="expression" dxfId="2224" priority="2190" stopIfTrue="1">
      <formula>IF($A585&lt;&gt;"",IF(B585="",TRUE,FALSE),FALSE)</formula>
    </cfRule>
  </conditionalFormatting>
  <conditionalFormatting sqref="M585">
    <cfRule type="expression" dxfId="2223" priority="2189" stopIfTrue="1">
      <formula>IF($F585="I",TRUE,FALSE)</formula>
    </cfRule>
  </conditionalFormatting>
  <conditionalFormatting sqref="B586:D586 F586:G586 I586:P586">
    <cfRule type="expression" dxfId="2222" priority="2188" stopIfTrue="1">
      <formula>IF($A586&lt;&gt;"",IF(B586="",TRUE,FALSE),FALSE)</formula>
    </cfRule>
  </conditionalFormatting>
  <conditionalFormatting sqref="M586">
    <cfRule type="expression" dxfId="2221" priority="2187" stopIfTrue="1">
      <formula>IF($F586="I",TRUE,FALSE)</formula>
    </cfRule>
  </conditionalFormatting>
  <conditionalFormatting sqref="B587:D587 F587:G587 I587:P587">
    <cfRule type="expression" dxfId="2220" priority="2186" stopIfTrue="1">
      <formula>IF($A587&lt;&gt;"",IF(B587="",TRUE,FALSE),FALSE)</formula>
    </cfRule>
  </conditionalFormatting>
  <conditionalFormatting sqref="M587">
    <cfRule type="expression" dxfId="2219" priority="2185" stopIfTrue="1">
      <formula>IF($F587="I",TRUE,FALSE)</formula>
    </cfRule>
  </conditionalFormatting>
  <conditionalFormatting sqref="B588:D588 F588:G588 I588:P588">
    <cfRule type="expression" dxfId="2218" priority="2184" stopIfTrue="1">
      <formula>IF($A588&lt;&gt;"",IF(B588="",TRUE,FALSE),FALSE)</formula>
    </cfRule>
  </conditionalFormatting>
  <conditionalFormatting sqref="M588">
    <cfRule type="expression" dxfId="2217" priority="2183" stopIfTrue="1">
      <formula>IF($F588="I",TRUE,FALSE)</formula>
    </cfRule>
  </conditionalFormatting>
  <conditionalFormatting sqref="B589:D589 F589:G589 I589:P589">
    <cfRule type="expression" dxfId="2216" priority="2182" stopIfTrue="1">
      <formula>IF($A589&lt;&gt;"",IF(B589="",TRUE,FALSE),FALSE)</formula>
    </cfRule>
  </conditionalFormatting>
  <conditionalFormatting sqref="M589">
    <cfRule type="expression" dxfId="2215" priority="2181" stopIfTrue="1">
      <formula>IF($F589="I",TRUE,FALSE)</formula>
    </cfRule>
  </conditionalFormatting>
  <conditionalFormatting sqref="B590:D590 F590:G590 I590:P590">
    <cfRule type="expression" dxfId="2214" priority="2180" stopIfTrue="1">
      <formula>IF($A590&lt;&gt;"",IF(B590="",TRUE,FALSE),FALSE)</formula>
    </cfRule>
  </conditionalFormatting>
  <conditionalFormatting sqref="M590">
    <cfRule type="expression" dxfId="2213" priority="2179" stopIfTrue="1">
      <formula>IF($F590="I",TRUE,FALSE)</formula>
    </cfRule>
  </conditionalFormatting>
  <conditionalFormatting sqref="B591:D591 F591:G591 I591:P591">
    <cfRule type="expression" dxfId="2212" priority="2178" stopIfTrue="1">
      <formula>IF($A591&lt;&gt;"",IF(B591="",TRUE,FALSE),FALSE)</formula>
    </cfRule>
  </conditionalFormatting>
  <conditionalFormatting sqref="M591">
    <cfRule type="expression" dxfId="2211" priority="2177" stopIfTrue="1">
      <formula>IF($F591="I",TRUE,FALSE)</formula>
    </cfRule>
  </conditionalFormatting>
  <conditionalFormatting sqref="B592:D592 F592:G592 I592:P592">
    <cfRule type="expression" dxfId="2210" priority="2176" stopIfTrue="1">
      <formula>IF($A592&lt;&gt;"",IF(B592="",TRUE,FALSE),FALSE)</formula>
    </cfRule>
  </conditionalFormatting>
  <conditionalFormatting sqref="M592">
    <cfRule type="expression" dxfId="2209" priority="2175" stopIfTrue="1">
      <formula>IF($F592="I",TRUE,FALSE)</formula>
    </cfRule>
  </conditionalFormatting>
  <conditionalFormatting sqref="B593:D593 F593:G593 I593:P593">
    <cfRule type="expression" dxfId="2208" priority="2174" stopIfTrue="1">
      <formula>IF($A593&lt;&gt;"",IF(B593="",TRUE,FALSE),FALSE)</formula>
    </cfRule>
  </conditionalFormatting>
  <conditionalFormatting sqref="M593">
    <cfRule type="expression" dxfId="2207" priority="2173" stopIfTrue="1">
      <formula>IF($F593="I",TRUE,FALSE)</formula>
    </cfRule>
  </conditionalFormatting>
  <conditionalFormatting sqref="B594:D594 F594:G594 I594:P594">
    <cfRule type="expression" dxfId="2206" priority="2172" stopIfTrue="1">
      <formula>IF($A594&lt;&gt;"",IF(B594="",TRUE,FALSE),FALSE)</formula>
    </cfRule>
  </conditionalFormatting>
  <conditionalFormatting sqref="M594">
    <cfRule type="expression" dxfId="2205" priority="2171" stopIfTrue="1">
      <formula>IF($F594="I",TRUE,FALSE)</formula>
    </cfRule>
  </conditionalFormatting>
  <conditionalFormatting sqref="B595:D595 F595:G595 I595:P595">
    <cfRule type="expression" dxfId="2204" priority="2170" stopIfTrue="1">
      <formula>IF($A595&lt;&gt;"",IF(B595="",TRUE,FALSE),FALSE)</formula>
    </cfRule>
  </conditionalFormatting>
  <conditionalFormatting sqref="M595">
    <cfRule type="expression" dxfId="2203" priority="2169" stopIfTrue="1">
      <formula>IF($F595="I",TRUE,FALSE)</formula>
    </cfRule>
  </conditionalFormatting>
  <conditionalFormatting sqref="B596:D596 F596:G596 I596:P596">
    <cfRule type="expression" dxfId="2202" priority="2168" stopIfTrue="1">
      <formula>IF($A596&lt;&gt;"",IF(B596="",TRUE,FALSE),FALSE)</formula>
    </cfRule>
  </conditionalFormatting>
  <conditionalFormatting sqref="M596">
    <cfRule type="expression" dxfId="2201" priority="2167" stopIfTrue="1">
      <formula>IF($F596="I",TRUE,FALSE)</formula>
    </cfRule>
  </conditionalFormatting>
  <conditionalFormatting sqref="B597:D597 F597:G597 I597:P597">
    <cfRule type="expression" dxfId="2200" priority="2166" stopIfTrue="1">
      <formula>IF($A597&lt;&gt;"",IF(B597="",TRUE,FALSE),FALSE)</formula>
    </cfRule>
  </conditionalFormatting>
  <conditionalFormatting sqref="M597">
    <cfRule type="expression" dxfId="2199" priority="2165" stopIfTrue="1">
      <formula>IF($F597="I",TRUE,FALSE)</formula>
    </cfRule>
  </conditionalFormatting>
  <conditionalFormatting sqref="B598:D598 F598:G598 I598:P598">
    <cfRule type="expression" dxfId="2198" priority="2164" stopIfTrue="1">
      <formula>IF($A598&lt;&gt;"",IF(B598="",TRUE,FALSE),FALSE)</formula>
    </cfRule>
  </conditionalFormatting>
  <conditionalFormatting sqref="M598">
    <cfRule type="expression" dxfId="2197" priority="2163" stopIfTrue="1">
      <formula>IF($F598="I",TRUE,FALSE)</formula>
    </cfRule>
  </conditionalFormatting>
  <conditionalFormatting sqref="B599:D599 F599:G599 I599:P599">
    <cfRule type="expression" dxfId="2196" priority="2162" stopIfTrue="1">
      <formula>IF($A599&lt;&gt;"",IF(B599="",TRUE,FALSE),FALSE)</formula>
    </cfRule>
  </conditionalFormatting>
  <conditionalFormatting sqref="M599">
    <cfRule type="expression" dxfId="2195" priority="2161" stopIfTrue="1">
      <formula>IF($F599="I",TRUE,FALSE)</formula>
    </cfRule>
  </conditionalFormatting>
  <conditionalFormatting sqref="B600:D600 F600:G600 I600:P600">
    <cfRule type="expression" dxfId="2194" priority="2160" stopIfTrue="1">
      <formula>IF($A600&lt;&gt;"",IF(B600="",TRUE,FALSE),FALSE)</formula>
    </cfRule>
  </conditionalFormatting>
  <conditionalFormatting sqref="M600">
    <cfRule type="expression" dxfId="2193" priority="2159" stopIfTrue="1">
      <formula>IF($F600="I",TRUE,FALSE)</formula>
    </cfRule>
  </conditionalFormatting>
  <conditionalFormatting sqref="B601:D601 F601:G601 I601:P601">
    <cfRule type="expression" dxfId="2192" priority="2158" stopIfTrue="1">
      <formula>IF($A601&lt;&gt;"",IF(B601="",TRUE,FALSE),FALSE)</formula>
    </cfRule>
  </conditionalFormatting>
  <conditionalFormatting sqref="M601">
    <cfRule type="expression" dxfId="2191" priority="2157" stopIfTrue="1">
      <formula>IF($F601="I",TRUE,FALSE)</formula>
    </cfRule>
  </conditionalFormatting>
  <conditionalFormatting sqref="B602:D602 F602:G602 I602:P602">
    <cfRule type="expression" dxfId="2190" priority="2156" stopIfTrue="1">
      <formula>IF($A602&lt;&gt;"",IF(B602="",TRUE,FALSE),FALSE)</formula>
    </cfRule>
  </conditionalFormatting>
  <conditionalFormatting sqref="M602">
    <cfRule type="expression" dxfId="2189" priority="2155" stopIfTrue="1">
      <formula>IF($F602="I",TRUE,FALSE)</formula>
    </cfRule>
  </conditionalFormatting>
  <conditionalFormatting sqref="B603:D603 F603:G603 I603:P603">
    <cfRule type="expression" dxfId="2188" priority="2154" stopIfTrue="1">
      <formula>IF($A603&lt;&gt;"",IF(B603="",TRUE,FALSE),FALSE)</formula>
    </cfRule>
  </conditionalFormatting>
  <conditionalFormatting sqref="M603">
    <cfRule type="expression" dxfId="2187" priority="2153" stopIfTrue="1">
      <formula>IF($F603="I",TRUE,FALSE)</formula>
    </cfRule>
  </conditionalFormatting>
  <conditionalFormatting sqref="B604:D604 F604:G604 I604:P604">
    <cfRule type="expression" dxfId="2186" priority="2152" stopIfTrue="1">
      <formula>IF($A604&lt;&gt;"",IF(B604="",TRUE,FALSE),FALSE)</formula>
    </cfRule>
  </conditionalFormatting>
  <conditionalFormatting sqref="M604">
    <cfRule type="expression" dxfId="2185" priority="2151" stopIfTrue="1">
      <formula>IF($F604="I",TRUE,FALSE)</formula>
    </cfRule>
  </conditionalFormatting>
  <conditionalFormatting sqref="B605:D605 F605:G605 I605:P605">
    <cfRule type="expression" dxfId="2184" priority="2150" stopIfTrue="1">
      <formula>IF($A605&lt;&gt;"",IF(B605="",TRUE,FALSE),FALSE)</formula>
    </cfRule>
  </conditionalFormatting>
  <conditionalFormatting sqref="M605">
    <cfRule type="expression" dxfId="2183" priority="2149" stopIfTrue="1">
      <formula>IF($F605="I",TRUE,FALSE)</formula>
    </cfRule>
  </conditionalFormatting>
  <conditionalFormatting sqref="B606:D606 F606:G606 I606:P606">
    <cfRule type="expression" dxfId="2182" priority="2148" stopIfTrue="1">
      <formula>IF($A606&lt;&gt;"",IF(B606="",TRUE,FALSE),FALSE)</formula>
    </cfRule>
  </conditionalFormatting>
  <conditionalFormatting sqref="M606">
    <cfRule type="expression" dxfId="2181" priority="2147" stopIfTrue="1">
      <formula>IF($F606="I",TRUE,FALSE)</formula>
    </cfRule>
  </conditionalFormatting>
  <conditionalFormatting sqref="B607:D607 F607:G607 I607:P607">
    <cfRule type="expression" dxfId="2180" priority="2146" stopIfTrue="1">
      <formula>IF($A607&lt;&gt;"",IF(B607="",TRUE,FALSE),FALSE)</formula>
    </cfRule>
  </conditionalFormatting>
  <conditionalFormatting sqref="M607">
    <cfRule type="expression" dxfId="2179" priority="2145" stopIfTrue="1">
      <formula>IF($F607="I",TRUE,FALSE)</formula>
    </cfRule>
  </conditionalFormatting>
  <conditionalFormatting sqref="B608:D608 F608:G608 I608:P608">
    <cfRule type="expression" dxfId="2178" priority="2144" stopIfTrue="1">
      <formula>IF($A608&lt;&gt;"",IF(B608="",TRUE,FALSE),FALSE)</formula>
    </cfRule>
  </conditionalFormatting>
  <conditionalFormatting sqref="M608">
    <cfRule type="expression" dxfId="2177" priority="2143" stopIfTrue="1">
      <formula>IF($F608="I",TRUE,FALSE)</formula>
    </cfRule>
  </conditionalFormatting>
  <conditionalFormatting sqref="B609:D609 F609:G609 I609:P609">
    <cfRule type="expression" dxfId="2176" priority="2142" stopIfTrue="1">
      <formula>IF($A609&lt;&gt;"",IF(B609="",TRUE,FALSE),FALSE)</formula>
    </cfRule>
  </conditionalFormatting>
  <conditionalFormatting sqref="M609">
    <cfRule type="expression" dxfId="2175" priority="2141" stopIfTrue="1">
      <formula>IF($F609="I",TRUE,FALSE)</formula>
    </cfRule>
  </conditionalFormatting>
  <conditionalFormatting sqref="B610:D610 F610:G610 I610:P610">
    <cfRule type="expression" dxfId="2174" priority="2140" stopIfTrue="1">
      <formula>IF($A610&lt;&gt;"",IF(B610="",TRUE,FALSE),FALSE)</formula>
    </cfRule>
  </conditionalFormatting>
  <conditionalFormatting sqref="M610">
    <cfRule type="expression" dxfId="2173" priority="2139" stopIfTrue="1">
      <formula>IF($F610="I",TRUE,FALSE)</formula>
    </cfRule>
  </conditionalFormatting>
  <conditionalFormatting sqref="B611:D611 F611:G611 I611:P611">
    <cfRule type="expression" dxfId="2172" priority="2138" stopIfTrue="1">
      <formula>IF($A611&lt;&gt;"",IF(B611="",TRUE,FALSE),FALSE)</formula>
    </cfRule>
  </conditionalFormatting>
  <conditionalFormatting sqref="M611">
    <cfRule type="expression" dxfId="2171" priority="2137" stopIfTrue="1">
      <formula>IF($F611="I",TRUE,FALSE)</formula>
    </cfRule>
  </conditionalFormatting>
  <conditionalFormatting sqref="B612:D612 F612:G612 I612:P612">
    <cfRule type="expression" dxfId="2170" priority="2136" stopIfTrue="1">
      <formula>IF($A612&lt;&gt;"",IF(B612="",TRUE,FALSE),FALSE)</formula>
    </cfRule>
  </conditionalFormatting>
  <conditionalFormatting sqref="M612">
    <cfRule type="expression" dxfId="2169" priority="2135" stopIfTrue="1">
      <formula>IF($F612="I",TRUE,FALSE)</formula>
    </cfRule>
  </conditionalFormatting>
  <conditionalFormatting sqref="B613:D613 F613:G613 I613:P613">
    <cfRule type="expression" dxfId="2168" priority="2134" stopIfTrue="1">
      <formula>IF($A613&lt;&gt;"",IF(B613="",TRUE,FALSE),FALSE)</formula>
    </cfRule>
  </conditionalFormatting>
  <conditionalFormatting sqref="M613">
    <cfRule type="expression" dxfId="2167" priority="2133" stopIfTrue="1">
      <formula>IF($F613="I",TRUE,FALSE)</formula>
    </cfRule>
  </conditionalFormatting>
  <conditionalFormatting sqref="B614:D614 F614:G614 I614:P614">
    <cfRule type="expression" dxfId="2166" priority="2132" stopIfTrue="1">
      <formula>IF($A614&lt;&gt;"",IF(B614="",TRUE,FALSE),FALSE)</formula>
    </cfRule>
  </conditionalFormatting>
  <conditionalFormatting sqref="M614">
    <cfRule type="expression" dxfId="2165" priority="2131" stopIfTrue="1">
      <formula>IF($F614="I",TRUE,FALSE)</formula>
    </cfRule>
  </conditionalFormatting>
  <conditionalFormatting sqref="B615:D615 F615:G615 I615:P615">
    <cfRule type="expression" dxfId="2164" priority="2130" stopIfTrue="1">
      <formula>IF($A615&lt;&gt;"",IF(B615="",TRUE,FALSE),FALSE)</formula>
    </cfRule>
  </conditionalFormatting>
  <conditionalFormatting sqref="M615">
    <cfRule type="expression" dxfId="2163" priority="2129" stopIfTrue="1">
      <formula>IF($F615="I",TRUE,FALSE)</formula>
    </cfRule>
  </conditionalFormatting>
  <conditionalFormatting sqref="B616:D616 F616:G616 I616:P616">
    <cfRule type="expression" dxfId="2162" priority="2128" stopIfTrue="1">
      <formula>IF($A616&lt;&gt;"",IF(B616="",TRUE,FALSE),FALSE)</formula>
    </cfRule>
  </conditionalFormatting>
  <conditionalFormatting sqref="M616">
    <cfRule type="expression" dxfId="2161" priority="2127" stopIfTrue="1">
      <formula>IF($F616="I",TRUE,FALSE)</formula>
    </cfRule>
  </conditionalFormatting>
  <conditionalFormatting sqref="B617:D617 F617:G617 I617:P617">
    <cfRule type="expression" dxfId="2160" priority="2126" stopIfTrue="1">
      <formula>IF($A617&lt;&gt;"",IF(B617="",TRUE,FALSE),FALSE)</formula>
    </cfRule>
  </conditionalFormatting>
  <conditionalFormatting sqref="M617">
    <cfRule type="expression" dxfId="2159" priority="2125" stopIfTrue="1">
      <formula>IF($F617="I",TRUE,FALSE)</formula>
    </cfRule>
  </conditionalFormatting>
  <conditionalFormatting sqref="B618:D618 F618:G618 I618:P618">
    <cfRule type="expression" dxfId="2158" priority="2124" stopIfTrue="1">
      <formula>IF($A618&lt;&gt;"",IF(B618="",TRUE,FALSE),FALSE)</formula>
    </cfRule>
  </conditionalFormatting>
  <conditionalFormatting sqref="M618">
    <cfRule type="expression" dxfId="2157" priority="2123" stopIfTrue="1">
      <formula>IF($F618="I",TRUE,FALSE)</formula>
    </cfRule>
  </conditionalFormatting>
  <conditionalFormatting sqref="B619:D619 F619:G619 I619:P619">
    <cfRule type="expression" dxfId="2156" priority="2122" stopIfTrue="1">
      <formula>IF($A619&lt;&gt;"",IF(B619="",TRUE,FALSE),FALSE)</formula>
    </cfRule>
  </conditionalFormatting>
  <conditionalFormatting sqref="M619">
    <cfRule type="expression" dxfId="2155" priority="2121" stopIfTrue="1">
      <formula>IF($F619="I",TRUE,FALSE)</formula>
    </cfRule>
  </conditionalFormatting>
  <conditionalFormatting sqref="B620:D620 F620:G620 I620:P620">
    <cfRule type="expression" dxfId="2154" priority="2120" stopIfTrue="1">
      <formula>IF($A620&lt;&gt;"",IF(B620="",TRUE,FALSE),FALSE)</formula>
    </cfRule>
  </conditionalFormatting>
  <conditionalFormatting sqref="M620">
    <cfRule type="expression" dxfId="2153" priority="2119" stopIfTrue="1">
      <formula>IF($F620="I",TRUE,FALSE)</formula>
    </cfRule>
  </conditionalFormatting>
  <conditionalFormatting sqref="B621:D621 F621:G621 I621:P621">
    <cfRule type="expression" dxfId="2152" priority="2118" stopIfTrue="1">
      <formula>IF($A621&lt;&gt;"",IF(B621="",TRUE,FALSE),FALSE)</formula>
    </cfRule>
  </conditionalFormatting>
  <conditionalFormatting sqref="M621">
    <cfRule type="expression" dxfId="2151" priority="2117" stopIfTrue="1">
      <formula>IF($F621="I",TRUE,FALSE)</formula>
    </cfRule>
  </conditionalFormatting>
  <conditionalFormatting sqref="B622:D622 F622:G622 I622:P622">
    <cfRule type="expression" dxfId="2150" priority="2116" stopIfTrue="1">
      <formula>IF($A622&lt;&gt;"",IF(B622="",TRUE,FALSE),FALSE)</formula>
    </cfRule>
  </conditionalFormatting>
  <conditionalFormatting sqref="M622">
    <cfRule type="expression" dxfId="2149" priority="2115" stopIfTrue="1">
      <formula>IF($F622="I",TRUE,FALSE)</formula>
    </cfRule>
  </conditionalFormatting>
  <conditionalFormatting sqref="B623:D623 F623:G623 I623:P623">
    <cfRule type="expression" dxfId="2148" priority="2114" stopIfTrue="1">
      <formula>IF($A623&lt;&gt;"",IF(B623="",TRUE,FALSE),FALSE)</formula>
    </cfRule>
  </conditionalFormatting>
  <conditionalFormatting sqref="M623">
    <cfRule type="expression" dxfId="2147" priority="2113" stopIfTrue="1">
      <formula>IF($F623="I",TRUE,FALSE)</formula>
    </cfRule>
  </conditionalFormatting>
  <conditionalFormatting sqref="B624:D624 F624:G624 I624:P624">
    <cfRule type="expression" dxfId="2146" priority="2112" stopIfTrue="1">
      <formula>IF($A624&lt;&gt;"",IF(B624="",TRUE,FALSE),FALSE)</formula>
    </cfRule>
  </conditionalFormatting>
  <conditionalFormatting sqref="M624">
    <cfRule type="expression" dxfId="2145" priority="2111" stopIfTrue="1">
      <formula>IF($F624="I",TRUE,FALSE)</formula>
    </cfRule>
  </conditionalFormatting>
  <conditionalFormatting sqref="B625:D625 F625:G625 I625:P625">
    <cfRule type="expression" dxfId="2144" priority="2110" stopIfTrue="1">
      <formula>IF($A625&lt;&gt;"",IF(B625="",TRUE,FALSE),FALSE)</formula>
    </cfRule>
  </conditionalFormatting>
  <conditionalFormatting sqref="M625">
    <cfRule type="expression" dxfId="2143" priority="2109" stopIfTrue="1">
      <formula>IF($F625="I",TRUE,FALSE)</formula>
    </cfRule>
  </conditionalFormatting>
  <conditionalFormatting sqref="B626:D626 F626:G626 I626:P626">
    <cfRule type="expression" dxfId="2142" priority="2108" stopIfTrue="1">
      <formula>IF($A626&lt;&gt;"",IF(B626="",TRUE,FALSE),FALSE)</formula>
    </cfRule>
  </conditionalFormatting>
  <conditionalFormatting sqref="M626">
    <cfRule type="expression" dxfId="2141" priority="2107" stopIfTrue="1">
      <formula>IF($F626="I",TRUE,FALSE)</formula>
    </cfRule>
  </conditionalFormatting>
  <conditionalFormatting sqref="B627:D627 F627:G627 I627:P627">
    <cfRule type="expression" dxfId="2140" priority="2106" stopIfTrue="1">
      <formula>IF($A627&lt;&gt;"",IF(B627="",TRUE,FALSE),FALSE)</formula>
    </cfRule>
  </conditionalFormatting>
  <conditionalFormatting sqref="M627">
    <cfRule type="expression" dxfId="2139" priority="2105" stopIfTrue="1">
      <formula>IF($F627="I",TRUE,FALSE)</formula>
    </cfRule>
  </conditionalFormatting>
  <conditionalFormatting sqref="B628:D628 F628:G628 I628:P628">
    <cfRule type="expression" dxfId="2138" priority="2104" stopIfTrue="1">
      <formula>IF($A628&lt;&gt;"",IF(B628="",TRUE,FALSE),FALSE)</formula>
    </cfRule>
  </conditionalFormatting>
  <conditionalFormatting sqref="M628">
    <cfRule type="expression" dxfId="2137" priority="2103" stopIfTrue="1">
      <formula>IF($F628="I",TRUE,FALSE)</formula>
    </cfRule>
  </conditionalFormatting>
  <conditionalFormatting sqref="B629:D629 F629:G629 I629:P629">
    <cfRule type="expression" dxfId="2136" priority="2102" stopIfTrue="1">
      <formula>IF($A629&lt;&gt;"",IF(B629="",TRUE,FALSE),FALSE)</formula>
    </cfRule>
  </conditionalFormatting>
  <conditionalFormatting sqref="M629">
    <cfRule type="expression" dxfId="2135" priority="2101" stopIfTrue="1">
      <formula>IF($F629="I",TRUE,FALSE)</formula>
    </cfRule>
  </conditionalFormatting>
  <conditionalFormatting sqref="B630:D630 F630:G630 I630:P630">
    <cfRule type="expression" dxfId="2134" priority="2100" stopIfTrue="1">
      <formula>IF($A630&lt;&gt;"",IF(B630="",TRUE,FALSE),FALSE)</formula>
    </cfRule>
  </conditionalFormatting>
  <conditionalFormatting sqref="M630">
    <cfRule type="expression" dxfId="2133" priority="2099" stopIfTrue="1">
      <formula>IF($F630="I",TRUE,FALSE)</formula>
    </cfRule>
  </conditionalFormatting>
  <conditionalFormatting sqref="B631:D631 F631:G631 I631:P631">
    <cfRule type="expression" dxfId="2132" priority="2098" stopIfTrue="1">
      <formula>IF($A631&lt;&gt;"",IF(B631="",TRUE,FALSE),FALSE)</formula>
    </cfRule>
  </conditionalFormatting>
  <conditionalFormatting sqref="M631">
    <cfRule type="expression" dxfId="2131" priority="2097" stopIfTrue="1">
      <formula>IF($F631="I",TRUE,FALSE)</formula>
    </cfRule>
  </conditionalFormatting>
  <conditionalFormatting sqref="B632:D632 F632:G632 I632:P632">
    <cfRule type="expression" dxfId="2130" priority="2096" stopIfTrue="1">
      <formula>IF($A632&lt;&gt;"",IF(B632="",TRUE,FALSE),FALSE)</formula>
    </cfRule>
  </conditionalFormatting>
  <conditionalFormatting sqref="M632">
    <cfRule type="expression" dxfId="2129" priority="2095" stopIfTrue="1">
      <formula>IF($F632="I",TRUE,FALSE)</formula>
    </cfRule>
  </conditionalFormatting>
  <conditionalFormatting sqref="B633:D633 F633:G633 I633:P633">
    <cfRule type="expression" dxfId="2128" priority="2094" stopIfTrue="1">
      <formula>IF($A633&lt;&gt;"",IF(B633="",TRUE,FALSE),FALSE)</formula>
    </cfRule>
  </conditionalFormatting>
  <conditionalFormatting sqref="M633">
    <cfRule type="expression" dxfId="2127" priority="2093" stopIfTrue="1">
      <formula>IF($F633="I",TRUE,FALSE)</formula>
    </cfRule>
  </conditionalFormatting>
  <conditionalFormatting sqref="B634:D634 F634:G634 I634:P634">
    <cfRule type="expression" dxfId="2126" priority="2092" stopIfTrue="1">
      <formula>IF($A634&lt;&gt;"",IF(B634="",TRUE,FALSE),FALSE)</formula>
    </cfRule>
  </conditionalFormatting>
  <conditionalFormatting sqref="M634">
    <cfRule type="expression" dxfId="2125" priority="2091" stopIfTrue="1">
      <formula>IF($F634="I",TRUE,FALSE)</formula>
    </cfRule>
  </conditionalFormatting>
  <conditionalFormatting sqref="B635:D635 F635:G635 I635:P635">
    <cfRule type="expression" dxfId="2124" priority="2090" stopIfTrue="1">
      <formula>IF($A635&lt;&gt;"",IF(B635="",TRUE,FALSE),FALSE)</formula>
    </cfRule>
  </conditionalFormatting>
  <conditionalFormatting sqref="M635">
    <cfRule type="expression" dxfId="2123" priority="2089" stopIfTrue="1">
      <formula>IF($F635="I",TRUE,FALSE)</formula>
    </cfRule>
  </conditionalFormatting>
  <conditionalFormatting sqref="B636:D636 F636:G636 I636:P636">
    <cfRule type="expression" dxfId="2122" priority="2088" stopIfTrue="1">
      <formula>IF($A636&lt;&gt;"",IF(B636="",TRUE,FALSE),FALSE)</formula>
    </cfRule>
  </conditionalFormatting>
  <conditionalFormatting sqref="M636">
    <cfRule type="expression" dxfId="2121" priority="2087" stopIfTrue="1">
      <formula>IF($F636="I",TRUE,FALSE)</formula>
    </cfRule>
  </conditionalFormatting>
  <conditionalFormatting sqref="B637:D637 F637:G637 I637:P637">
    <cfRule type="expression" dxfId="2120" priority="2086" stopIfTrue="1">
      <formula>IF($A637&lt;&gt;"",IF(B637="",TRUE,FALSE),FALSE)</formula>
    </cfRule>
  </conditionalFormatting>
  <conditionalFormatting sqref="M637">
    <cfRule type="expression" dxfId="2119" priority="2085" stopIfTrue="1">
      <formula>IF($F637="I",TRUE,FALSE)</formula>
    </cfRule>
  </conditionalFormatting>
  <conditionalFormatting sqref="B638:D638 F638:G638 I638:P638">
    <cfRule type="expression" dxfId="2118" priority="2084" stopIfTrue="1">
      <formula>IF($A638&lt;&gt;"",IF(B638="",TRUE,FALSE),FALSE)</formula>
    </cfRule>
  </conditionalFormatting>
  <conditionalFormatting sqref="M638">
    <cfRule type="expression" dxfId="2117" priority="2083" stopIfTrue="1">
      <formula>IF($F638="I",TRUE,FALSE)</formula>
    </cfRule>
  </conditionalFormatting>
  <conditionalFormatting sqref="B639:D639 F639:G639 I639:P639">
    <cfRule type="expression" dxfId="2116" priority="2082" stopIfTrue="1">
      <formula>IF($A639&lt;&gt;"",IF(B639="",TRUE,FALSE),FALSE)</formula>
    </cfRule>
  </conditionalFormatting>
  <conditionalFormatting sqref="M639">
    <cfRule type="expression" dxfId="2115" priority="2081" stopIfTrue="1">
      <formula>IF($F639="I",TRUE,FALSE)</formula>
    </cfRule>
  </conditionalFormatting>
  <conditionalFormatting sqref="B640:D640 F640:G640 I640:P640">
    <cfRule type="expression" dxfId="2114" priority="2080" stopIfTrue="1">
      <formula>IF($A640&lt;&gt;"",IF(B640="",TRUE,FALSE),FALSE)</formula>
    </cfRule>
  </conditionalFormatting>
  <conditionalFormatting sqref="M640">
    <cfRule type="expression" dxfId="2113" priority="2079" stopIfTrue="1">
      <formula>IF($F640="I",TRUE,FALSE)</formula>
    </cfRule>
  </conditionalFormatting>
  <conditionalFormatting sqref="B641:D641 F641:G641 I641:P641">
    <cfRule type="expression" dxfId="2112" priority="2078" stopIfTrue="1">
      <formula>IF($A641&lt;&gt;"",IF(B641="",TRUE,FALSE),FALSE)</formula>
    </cfRule>
  </conditionalFormatting>
  <conditionalFormatting sqref="M641">
    <cfRule type="expression" dxfId="2111" priority="2077" stopIfTrue="1">
      <formula>IF($F641="I",TRUE,FALSE)</formula>
    </cfRule>
  </conditionalFormatting>
  <conditionalFormatting sqref="B642:D642 F642:G642 I642:P642">
    <cfRule type="expression" dxfId="2110" priority="2076" stopIfTrue="1">
      <formula>IF($A642&lt;&gt;"",IF(B642="",TRUE,FALSE),FALSE)</formula>
    </cfRule>
  </conditionalFormatting>
  <conditionalFormatting sqref="M642">
    <cfRule type="expression" dxfId="2109" priority="2075" stopIfTrue="1">
      <formula>IF($F642="I",TRUE,FALSE)</formula>
    </cfRule>
  </conditionalFormatting>
  <conditionalFormatting sqref="B643:D643 F643:G643 I643:P643">
    <cfRule type="expression" dxfId="2108" priority="2074" stopIfTrue="1">
      <formula>IF($A643&lt;&gt;"",IF(B643="",TRUE,FALSE),FALSE)</formula>
    </cfRule>
  </conditionalFormatting>
  <conditionalFormatting sqref="M643">
    <cfRule type="expression" dxfId="2107" priority="2073" stopIfTrue="1">
      <formula>IF($F643="I",TRUE,FALSE)</formula>
    </cfRule>
  </conditionalFormatting>
  <conditionalFormatting sqref="B644:D644 F644:G644 I644:P644">
    <cfRule type="expression" dxfId="2106" priority="2072" stopIfTrue="1">
      <formula>IF($A644&lt;&gt;"",IF(B644="",TRUE,FALSE),FALSE)</formula>
    </cfRule>
  </conditionalFormatting>
  <conditionalFormatting sqref="M644">
    <cfRule type="expression" dxfId="2105" priority="2071" stopIfTrue="1">
      <formula>IF($F644="I",TRUE,FALSE)</formula>
    </cfRule>
  </conditionalFormatting>
  <conditionalFormatting sqref="B645:D645 F645:G645 I645:P645">
    <cfRule type="expression" dxfId="2104" priority="2070" stopIfTrue="1">
      <formula>IF($A645&lt;&gt;"",IF(B645="",TRUE,FALSE),FALSE)</formula>
    </cfRule>
  </conditionalFormatting>
  <conditionalFormatting sqref="M645">
    <cfRule type="expression" dxfId="2103" priority="2069" stopIfTrue="1">
      <formula>IF($F645="I",TRUE,FALSE)</formula>
    </cfRule>
  </conditionalFormatting>
  <conditionalFormatting sqref="B646:D646 F646:G646 I646:P646">
    <cfRule type="expression" dxfId="2102" priority="2068" stopIfTrue="1">
      <formula>IF($A646&lt;&gt;"",IF(B646="",TRUE,FALSE),FALSE)</formula>
    </cfRule>
  </conditionalFormatting>
  <conditionalFormatting sqref="M646">
    <cfRule type="expression" dxfId="2101" priority="2067" stopIfTrue="1">
      <formula>IF($F646="I",TRUE,FALSE)</formula>
    </cfRule>
  </conditionalFormatting>
  <conditionalFormatting sqref="B647:D647 F647:G647 I647:P647">
    <cfRule type="expression" dxfId="2100" priority="2066" stopIfTrue="1">
      <formula>IF($A647&lt;&gt;"",IF(B647="",TRUE,FALSE),FALSE)</formula>
    </cfRule>
  </conditionalFormatting>
  <conditionalFormatting sqref="M647">
    <cfRule type="expression" dxfId="2099" priority="2065" stopIfTrue="1">
      <formula>IF($F647="I",TRUE,FALSE)</formula>
    </cfRule>
  </conditionalFormatting>
  <conditionalFormatting sqref="B648:D648 F648:G648 I648:P648">
    <cfRule type="expression" dxfId="2098" priority="2064" stopIfTrue="1">
      <formula>IF($A648&lt;&gt;"",IF(B648="",TRUE,FALSE),FALSE)</formula>
    </cfRule>
  </conditionalFormatting>
  <conditionalFormatting sqref="M648">
    <cfRule type="expression" dxfId="2097" priority="2063" stopIfTrue="1">
      <formula>IF($F648="I",TRUE,FALSE)</formula>
    </cfRule>
  </conditionalFormatting>
  <conditionalFormatting sqref="B649:D649 F649:G649 I649:P649">
    <cfRule type="expression" dxfId="2096" priority="2062" stopIfTrue="1">
      <formula>IF($A649&lt;&gt;"",IF(B649="",TRUE,FALSE),FALSE)</formula>
    </cfRule>
  </conditionalFormatting>
  <conditionalFormatting sqref="M649">
    <cfRule type="expression" dxfId="2095" priority="2061" stopIfTrue="1">
      <formula>IF($F649="I",TRUE,FALSE)</formula>
    </cfRule>
  </conditionalFormatting>
  <conditionalFormatting sqref="B650:D650 F650:G650 I650:P650">
    <cfRule type="expression" dxfId="2094" priority="2060" stopIfTrue="1">
      <formula>IF($A650&lt;&gt;"",IF(B650="",TRUE,FALSE),FALSE)</formula>
    </cfRule>
  </conditionalFormatting>
  <conditionalFormatting sqref="M650">
    <cfRule type="expression" dxfId="2093" priority="2059" stopIfTrue="1">
      <formula>IF($F650="I",TRUE,FALSE)</formula>
    </cfRule>
  </conditionalFormatting>
  <conditionalFormatting sqref="B651:D651 F651:G651 I651:P651">
    <cfRule type="expression" dxfId="2092" priority="2058" stopIfTrue="1">
      <formula>IF($A651&lt;&gt;"",IF(B651="",TRUE,FALSE),FALSE)</formula>
    </cfRule>
  </conditionalFormatting>
  <conditionalFormatting sqref="M651">
    <cfRule type="expression" dxfId="2091" priority="2057" stopIfTrue="1">
      <formula>IF($F651="I",TRUE,FALSE)</formula>
    </cfRule>
  </conditionalFormatting>
  <conditionalFormatting sqref="B652:D652 F652:G652 I652:P652">
    <cfRule type="expression" dxfId="2090" priority="2056" stopIfTrue="1">
      <formula>IF($A652&lt;&gt;"",IF(B652="",TRUE,FALSE),FALSE)</formula>
    </cfRule>
  </conditionalFormatting>
  <conditionalFormatting sqref="M652">
    <cfRule type="expression" dxfId="2089" priority="2055" stopIfTrue="1">
      <formula>IF($F652="I",TRUE,FALSE)</formula>
    </cfRule>
  </conditionalFormatting>
  <conditionalFormatting sqref="B653:D653 F653:G653 I653:P653">
    <cfRule type="expression" dxfId="2088" priority="2054" stopIfTrue="1">
      <formula>IF($A653&lt;&gt;"",IF(B653="",TRUE,FALSE),FALSE)</formula>
    </cfRule>
  </conditionalFormatting>
  <conditionalFormatting sqref="M653">
    <cfRule type="expression" dxfId="2087" priority="2053" stopIfTrue="1">
      <formula>IF($F653="I",TRUE,FALSE)</formula>
    </cfRule>
  </conditionalFormatting>
  <conditionalFormatting sqref="B654:D654 F654:G654 I654:P654">
    <cfRule type="expression" dxfId="2086" priority="2052" stopIfTrue="1">
      <formula>IF($A654&lt;&gt;"",IF(B654="",TRUE,FALSE),FALSE)</formula>
    </cfRule>
  </conditionalFormatting>
  <conditionalFormatting sqref="M654">
    <cfRule type="expression" dxfId="2085" priority="2051" stopIfTrue="1">
      <formula>IF($F654="I",TRUE,FALSE)</formula>
    </cfRule>
  </conditionalFormatting>
  <conditionalFormatting sqref="B655:D655 F655:G655 I655:P655">
    <cfRule type="expression" dxfId="2084" priority="2050" stopIfTrue="1">
      <formula>IF($A655&lt;&gt;"",IF(B655="",TRUE,FALSE),FALSE)</formula>
    </cfRule>
  </conditionalFormatting>
  <conditionalFormatting sqref="M655">
    <cfRule type="expression" dxfId="2083" priority="2049" stopIfTrue="1">
      <formula>IF($F655="I",TRUE,FALSE)</formula>
    </cfRule>
  </conditionalFormatting>
  <conditionalFormatting sqref="B656:D656 F656:G656 I656:P656">
    <cfRule type="expression" dxfId="2082" priority="2048" stopIfTrue="1">
      <formula>IF($A656&lt;&gt;"",IF(B656="",TRUE,FALSE),FALSE)</formula>
    </cfRule>
  </conditionalFormatting>
  <conditionalFormatting sqref="M656">
    <cfRule type="expression" dxfId="2081" priority="2047" stopIfTrue="1">
      <formula>IF($F656="I",TRUE,FALSE)</formula>
    </cfRule>
  </conditionalFormatting>
  <conditionalFormatting sqref="B657:D657 F657:G657 I657:P657">
    <cfRule type="expression" dxfId="2080" priority="2046" stopIfTrue="1">
      <formula>IF($A657&lt;&gt;"",IF(B657="",TRUE,FALSE),FALSE)</formula>
    </cfRule>
  </conditionalFormatting>
  <conditionalFormatting sqref="M657">
    <cfRule type="expression" dxfId="2079" priority="2045" stopIfTrue="1">
      <formula>IF($F657="I",TRUE,FALSE)</formula>
    </cfRule>
  </conditionalFormatting>
  <conditionalFormatting sqref="B658:D658 F658:G658 I658:P658">
    <cfRule type="expression" dxfId="2078" priority="2044" stopIfTrue="1">
      <formula>IF($A658&lt;&gt;"",IF(B658="",TRUE,FALSE),FALSE)</formula>
    </cfRule>
  </conditionalFormatting>
  <conditionalFormatting sqref="M658">
    <cfRule type="expression" dxfId="2077" priority="2043" stopIfTrue="1">
      <formula>IF($F658="I",TRUE,FALSE)</formula>
    </cfRule>
  </conditionalFormatting>
  <conditionalFormatting sqref="B659:D659 F659:G659 I659:P659">
    <cfRule type="expression" dxfId="2076" priority="2042" stopIfTrue="1">
      <formula>IF($A659&lt;&gt;"",IF(B659="",TRUE,FALSE),FALSE)</formula>
    </cfRule>
  </conditionalFormatting>
  <conditionalFormatting sqref="M659">
    <cfRule type="expression" dxfId="2075" priority="2041" stopIfTrue="1">
      <formula>IF($F659="I",TRUE,FALSE)</formula>
    </cfRule>
  </conditionalFormatting>
  <conditionalFormatting sqref="B660:D660 F660:G660 I660:P660">
    <cfRule type="expression" dxfId="2074" priority="2040" stopIfTrue="1">
      <formula>IF($A660&lt;&gt;"",IF(B660="",TRUE,FALSE),FALSE)</formula>
    </cfRule>
  </conditionalFormatting>
  <conditionalFormatting sqref="M660">
    <cfRule type="expression" dxfId="2073" priority="2039" stopIfTrue="1">
      <formula>IF($F660="I",TRUE,FALSE)</formula>
    </cfRule>
  </conditionalFormatting>
  <conditionalFormatting sqref="B661:D661 F661:G661 I661:P661">
    <cfRule type="expression" dxfId="2072" priority="2038" stopIfTrue="1">
      <formula>IF($A661&lt;&gt;"",IF(B661="",TRUE,FALSE),FALSE)</formula>
    </cfRule>
  </conditionalFormatting>
  <conditionalFormatting sqref="M661">
    <cfRule type="expression" dxfId="2071" priority="2037" stopIfTrue="1">
      <formula>IF($F661="I",TRUE,FALSE)</formula>
    </cfRule>
  </conditionalFormatting>
  <conditionalFormatting sqref="B662:D662 F662:G662 I662:P662">
    <cfRule type="expression" dxfId="2070" priority="2036" stopIfTrue="1">
      <formula>IF($A662&lt;&gt;"",IF(B662="",TRUE,FALSE),FALSE)</formula>
    </cfRule>
  </conditionalFormatting>
  <conditionalFormatting sqref="M662">
    <cfRule type="expression" dxfId="2069" priority="2035" stopIfTrue="1">
      <formula>IF($F662="I",TRUE,FALSE)</formula>
    </cfRule>
  </conditionalFormatting>
  <conditionalFormatting sqref="B663:D663 F663:G663 I663:P663">
    <cfRule type="expression" dxfId="2068" priority="2034" stopIfTrue="1">
      <formula>IF($A663&lt;&gt;"",IF(B663="",TRUE,FALSE),FALSE)</formula>
    </cfRule>
  </conditionalFormatting>
  <conditionalFormatting sqref="M663">
    <cfRule type="expression" dxfId="2067" priority="2033" stopIfTrue="1">
      <formula>IF($F663="I",TRUE,FALSE)</formula>
    </cfRule>
  </conditionalFormatting>
  <conditionalFormatting sqref="B664:D664 F664:G664 I664:P664">
    <cfRule type="expression" dxfId="2066" priority="2032" stopIfTrue="1">
      <formula>IF($A664&lt;&gt;"",IF(B664="",TRUE,FALSE),FALSE)</formula>
    </cfRule>
  </conditionalFormatting>
  <conditionalFormatting sqref="M664">
    <cfRule type="expression" dxfId="2065" priority="2031" stopIfTrue="1">
      <formula>IF($F664="I",TRUE,FALSE)</formula>
    </cfRule>
  </conditionalFormatting>
  <conditionalFormatting sqref="B665:D665 F665:G665 I665:P665">
    <cfRule type="expression" dxfId="2064" priority="2030" stopIfTrue="1">
      <formula>IF($A665&lt;&gt;"",IF(B665="",TRUE,FALSE),FALSE)</formula>
    </cfRule>
  </conditionalFormatting>
  <conditionalFormatting sqref="M665">
    <cfRule type="expression" dxfId="2063" priority="2029" stopIfTrue="1">
      <formula>IF($F665="I",TRUE,FALSE)</formula>
    </cfRule>
  </conditionalFormatting>
  <conditionalFormatting sqref="B666:D666 F666:G666 I666:P666">
    <cfRule type="expression" dxfId="2062" priority="2028" stopIfTrue="1">
      <formula>IF($A666&lt;&gt;"",IF(B666="",TRUE,FALSE),FALSE)</formula>
    </cfRule>
  </conditionalFormatting>
  <conditionalFormatting sqref="M666">
    <cfRule type="expression" dxfId="2061" priority="2027" stopIfTrue="1">
      <formula>IF($F666="I",TRUE,FALSE)</formula>
    </cfRule>
  </conditionalFormatting>
  <conditionalFormatting sqref="B667:D667 F667:G667 I667:P667">
    <cfRule type="expression" dxfId="2060" priority="2026" stopIfTrue="1">
      <formula>IF($A667&lt;&gt;"",IF(B667="",TRUE,FALSE),FALSE)</formula>
    </cfRule>
  </conditionalFormatting>
  <conditionalFormatting sqref="M667">
    <cfRule type="expression" dxfId="2059" priority="2025" stopIfTrue="1">
      <formula>IF($F667="I",TRUE,FALSE)</formula>
    </cfRule>
  </conditionalFormatting>
  <conditionalFormatting sqref="B668:D668 F668:G668 I668:P668">
    <cfRule type="expression" dxfId="2058" priority="2024" stopIfTrue="1">
      <formula>IF($A668&lt;&gt;"",IF(B668="",TRUE,FALSE),FALSE)</formula>
    </cfRule>
  </conditionalFormatting>
  <conditionalFormatting sqref="M668">
    <cfRule type="expression" dxfId="2057" priority="2023" stopIfTrue="1">
      <formula>IF($F668="I",TRUE,FALSE)</formula>
    </cfRule>
  </conditionalFormatting>
  <conditionalFormatting sqref="B669:D669 F669:G669 I669:P669">
    <cfRule type="expression" dxfId="2056" priority="2022" stopIfTrue="1">
      <formula>IF($A669&lt;&gt;"",IF(B669="",TRUE,FALSE),FALSE)</formula>
    </cfRule>
  </conditionalFormatting>
  <conditionalFormatting sqref="M669">
    <cfRule type="expression" dxfId="2055" priority="2021" stopIfTrue="1">
      <formula>IF($F669="I",TRUE,FALSE)</formula>
    </cfRule>
  </conditionalFormatting>
  <conditionalFormatting sqref="B670:D670 F670:G670 I670:P670">
    <cfRule type="expression" dxfId="2054" priority="2020" stopIfTrue="1">
      <formula>IF($A670&lt;&gt;"",IF(B670="",TRUE,FALSE),FALSE)</formula>
    </cfRule>
  </conditionalFormatting>
  <conditionalFormatting sqref="M670">
    <cfRule type="expression" dxfId="2053" priority="2019" stopIfTrue="1">
      <formula>IF($F670="I",TRUE,FALSE)</formula>
    </cfRule>
  </conditionalFormatting>
  <conditionalFormatting sqref="B671:D671 F671:G671 I671:P671">
    <cfRule type="expression" dxfId="2052" priority="2018" stopIfTrue="1">
      <formula>IF($A671&lt;&gt;"",IF(B671="",TRUE,FALSE),FALSE)</formula>
    </cfRule>
  </conditionalFormatting>
  <conditionalFormatting sqref="M671">
    <cfRule type="expression" dxfId="2051" priority="2017" stopIfTrue="1">
      <formula>IF($F671="I",TRUE,FALSE)</formula>
    </cfRule>
  </conditionalFormatting>
  <conditionalFormatting sqref="B672:D672 F672:G672 I672:P672">
    <cfRule type="expression" dxfId="2050" priority="2016" stopIfTrue="1">
      <formula>IF($A672&lt;&gt;"",IF(B672="",TRUE,FALSE),FALSE)</formula>
    </cfRule>
  </conditionalFormatting>
  <conditionalFormatting sqref="M672">
    <cfRule type="expression" dxfId="2049" priority="2015" stopIfTrue="1">
      <formula>IF($F672="I",TRUE,FALSE)</formula>
    </cfRule>
  </conditionalFormatting>
  <conditionalFormatting sqref="B673:D673 F673:G673 I673:P673">
    <cfRule type="expression" dxfId="2048" priority="2014" stopIfTrue="1">
      <formula>IF($A673&lt;&gt;"",IF(B673="",TRUE,FALSE),FALSE)</formula>
    </cfRule>
  </conditionalFormatting>
  <conditionalFormatting sqref="M673">
    <cfRule type="expression" dxfId="2047" priority="2013" stopIfTrue="1">
      <formula>IF($F673="I",TRUE,FALSE)</formula>
    </cfRule>
  </conditionalFormatting>
  <conditionalFormatting sqref="B674:D674 F674:G674 I674:P674">
    <cfRule type="expression" dxfId="2046" priority="2012" stopIfTrue="1">
      <formula>IF($A674&lt;&gt;"",IF(B674="",TRUE,FALSE),FALSE)</formula>
    </cfRule>
  </conditionalFormatting>
  <conditionalFormatting sqref="M674">
    <cfRule type="expression" dxfId="2045" priority="2011" stopIfTrue="1">
      <formula>IF($F674="I",TRUE,FALSE)</formula>
    </cfRule>
  </conditionalFormatting>
  <conditionalFormatting sqref="B675:D675 F675:G675 I675:P675">
    <cfRule type="expression" dxfId="2044" priority="2010" stopIfTrue="1">
      <formula>IF($A675&lt;&gt;"",IF(B675="",TRUE,FALSE),FALSE)</formula>
    </cfRule>
  </conditionalFormatting>
  <conditionalFormatting sqref="M675">
    <cfRule type="expression" dxfId="2043" priority="2009" stopIfTrue="1">
      <formula>IF($F675="I",TRUE,FALSE)</formula>
    </cfRule>
  </conditionalFormatting>
  <conditionalFormatting sqref="B676:D676 F676:G676 I676:P676">
    <cfRule type="expression" dxfId="2042" priority="2008" stopIfTrue="1">
      <formula>IF($A676&lt;&gt;"",IF(B676="",TRUE,FALSE),FALSE)</formula>
    </cfRule>
  </conditionalFormatting>
  <conditionalFormatting sqref="M676">
    <cfRule type="expression" dxfId="2041" priority="2007" stopIfTrue="1">
      <formula>IF($F676="I",TRUE,FALSE)</formula>
    </cfRule>
  </conditionalFormatting>
  <conditionalFormatting sqref="B677:D677 F677:G677 I677:P677">
    <cfRule type="expression" dxfId="2040" priority="2006" stopIfTrue="1">
      <formula>IF($A677&lt;&gt;"",IF(B677="",TRUE,FALSE),FALSE)</formula>
    </cfRule>
  </conditionalFormatting>
  <conditionalFormatting sqref="M677">
    <cfRule type="expression" dxfId="2039" priority="2005" stopIfTrue="1">
      <formula>IF($F677="I",TRUE,FALSE)</formula>
    </cfRule>
  </conditionalFormatting>
  <conditionalFormatting sqref="B678:D678 F678:G678 I678:P678">
    <cfRule type="expression" dxfId="2038" priority="2004" stopIfTrue="1">
      <formula>IF($A678&lt;&gt;"",IF(B678="",TRUE,FALSE),FALSE)</formula>
    </cfRule>
  </conditionalFormatting>
  <conditionalFormatting sqref="M678">
    <cfRule type="expression" dxfId="2037" priority="2003" stopIfTrue="1">
      <formula>IF($F678="I",TRUE,FALSE)</formula>
    </cfRule>
  </conditionalFormatting>
  <conditionalFormatting sqref="B679:D679 F679:G679 I679:P679">
    <cfRule type="expression" dxfId="2036" priority="2002" stopIfTrue="1">
      <formula>IF($A679&lt;&gt;"",IF(B679="",TRUE,FALSE),FALSE)</formula>
    </cfRule>
  </conditionalFormatting>
  <conditionalFormatting sqref="M679">
    <cfRule type="expression" dxfId="2035" priority="2001" stopIfTrue="1">
      <formula>IF($F679="I",TRUE,FALSE)</formula>
    </cfRule>
  </conditionalFormatting>
  <conditionalFormatting sqref="B680:D680 F680:G680 I680:P680">
    <cfRule type="expression" dxfId="2034" priority="2000" stopIfTrue="1">
      <formula>IF($A680&lt;&gt;"",IF(B680="",TRUE,FALSE),FALSE)</formula>
    </cfRule>
  </conditionalFormatting>
  <conditionalFormatting sqref="M680">
    <cfRule type="expression" dxfId="2033" priority="1999" stopIfTrue="1">
      <formula>IF($F680="I",TRUE,FALSE)</formula>
    </cfRule>
  </conditionalFormatting>
  <conditionalFormatting sqref="B681:D681 F681:G681 I681:P681">
    <cfRule type="expression" dxfId="2032" priority="1998" stopIfTrue="1">
      <formula>IF($A681&lt;&gt;"",IF(B681="",TRUE,FALSE),FALSE)</formula>
    </cfRule>
  </conditionalFormatting>
  <conditionalFormatting sqref="M681">
    <cfRule type="expression" dxfId="2031" priority="1997" stopIfTrue="1">
      <formula>IF($F681="I",TRUE,FALSE)</formula>
    </cfRule>
  </conditionalFormatting>
  <conditionalFormatting sqref="B682:D682 F682:G682 I682:P682">
    <cfRule type="expression" dxfId="2030" priority="1996" stopIfTrue="1">
      <formula>IF($A682&lt;&gt;"",IF(B682="",TRUE,FALSE),FALSE)</formula>
    </cfRule>
  </conditionalFormatting>
  <conditionalFormatting sqref="M682">
    <cfRule type="expression" dxfId="2029" priority="1995" stopIfTrue="1">
      <formula>IF($F682="I",TRUE,FALSE)</formula>
    </cfRule>
  </conditionalFormatting>
  <conditionalFormatting sqref="B683:D683 F683:G683 I683:P683">
    <cfRule type="expression" dxfId="2028" priority="1994" stopIfTrue="1">
      <formula>IF($A683&lt;&gt;"",IF(B683="",TRUE,FALSE),FALSE)</formula>
    </cfRule>
  </conditionalFormatting>
  <conditionalFormatting sqref="M683">
    <cfRule type="expression" dxfId="2027" priority="1993" stopIfTrue="1">
      <formula>IF($F683="I",TRUE,FALSE)</formula>
    </cfRule>
  </conditionalFormatting>
  <conditionalFormatting sqref="B684:D684 F684:G684 I684:P684">
    <cfRule type="expression" dxfId="2026" priority="1992" stopIfTrue="1">
      <formula>IF($A684&lt;&gt;"",IF(B684="",TRUE,FALSE),FALSE)</formula>
    </cfRule>
  </conditionalFormatting>
  <conditionalFormatting sqref="M684">
    <cfRule type="expression" dxfId="2025" priority="1991" stopIfTrue="1">
      <formula>IF($F684="I",TRUE,FALSE)</formula>
    </cfRule>
  </conditionalFormatting>
  <conditionalFormatting sqref="B685:D685 F685:G685 I685:P685">
    <cfRule type="expression" dxfId="2024" priority="1990" stopIfTrue="1">
      <formula>IF($A685&lt;&gt;"",IF(B685="",TRUE,FALSE),FALSE)</formula>
    </cfRule>
  </conditionalFormatting>
  <conditionalFormatting sqref="M685">
    <cfRule type="expression" dxfId="2023" priority="1989" stopIfTrue="1">
      <formula>IF($F685="I",TRUE,FALSE)</formula>
    </cfRule>
  </conditionalFormatting>
  <conditionalFormatting sqref="B686:D686 F686:G686 I686:P686">
    <cfRule type="expression" dxfId="2022" priority="1988" stopIfTrue="1">
      <formula>IF($A686&lt;&gt;"",IF(B686="",TRUE,FALSE),FALSE)</formula>
    </cfRule>
  </conditionalFormatting>
  <conditionalFormatting sqref="M686">
    <cfRule type="expression" dxfId="2021" priority="1987" stopIfTrue="1">
      <formula>IF($F686="I",TRUE,FALSE)</formula>
    </cfRule>
  </conditionalFormatting>
  <conditionalFormatting sqref="B687:D687 F687:G687 I687:P687">
    <cfRule type="expression" dxfId="2020" priority="1986" stopIfTrue="1">
      <formula>IF($A687&lt;&gt;"",IF(B687="",TRUE,FALSE),FALSE)</formula>
    </cfRule>
  </conditionalFormatting>
  <conditionalFormatting sqref="M687">
    <cfRule type="expression" dxfId="2019" priority="1985" stopIfTrue="1">
      <formula>IF($F687="I",TRUE,FALSE)</formula>
    </cfRule>
  </conditionalFormatting>
  <conditionalFormatting sqref="B688:D688 F688:G688 I688:P688">
    <cfRule type="expression" dxfId="2018" priority="1984" stopIfTrue="1">
      <formula>IF($A688&lt;&gt;"",IF(B688="",TRUE,FALSE),FALSE)</formula>
    </cfRule>
  </conditionalFormatting>
  <conditionalFormatting sqref="M688">
    <cfRule type="expression" dxfId="2017" priority="1983" stopIfTrue="1">
      <formula>IF($F688="I",TRUE,FALSE)</formula>
    </cfRule>
  </conditionalFormatting>
  <conditionalFormatting sqref="B689:D689 F689:G689 I689:P689">
    <cfRule type="expression" dxfId="2016" priority="1982" stopIfTrue="1">
      <formula>IF($A689&lt;&gt;"",IF(B689="",TRUE,FALSE),FALSE)</formula>
    </cfRule>
  </conditionalFormatting>
  <conditionalFormatting sqref="M689">
    <cfRule type="expression" dxfId="2015" priority="1981" stopIfTrue="1">
      <formula>IF($F689="I",TRUE,FALSE)</formula>
    </cfRule>
  </conditionalFormatting>
  <conditionalFormatting sqref="B690:D690 F690:G690 I690:P690">
    <cfRule type="expression" dxfId="2014" priority="1980" stopIfTrue="1">
      <formula>IF($A690&lt;&gt;"",IF(B690="",TRUE,FALSE),FALSE)</formula>
    </cfRule>
  </conditionalFormatting>
  <conditionalFormatting sqref="M690">
    <cfRule type="expression" dxfId="2013" priority="1979" stopIfTrue="1">
      <formula>IF($F690="I",TRUE,FALSE)</formula>
    </cfRule>
  </conditionalFormatting>
  <conditionalFormatting sqref="B691:D691 F691:G691 I691:P691">
    <cfRule type="expression" dxfId="2012" priority="1978" stopIfTrue="1">
      <formula>IF($A691&lt;&gt;"",IF(B691="",TRUE,FALSE),FALSE)</formula>
    </cfRule>
  </conditionalFormatting>
  <conditionalFormatting sqref="M691">
    <cfRule type="expression" dxfId="2011" priority="1977" stopIfTrue="1">
      <formula>IF($F691="I",TRUE,FALSE)</formula>
    </cfRule>
  </conditionalFormatting>
  <conditionalFormatting sqref="B692:D692 F692:G692 I692:P692">
    <cfRule type="expression" dxfId="2010" priority="1976" stopIfTrue="1">
      <formula>IF($A692&lt;&gt;"",IF(B692="",TRUE,FALSE),FALSE)</formula>
    </cfRule>
  </conditionalFormatting>
  <conditionalFormatting sqref="M692">
    <cfRule type="expression" dxfId="2009" priority="1975" stopIfTrue="1">
      <formula>IF($F692="I",TRUE,FALSE)</formula>
    </cfRule>
  </conditionalFormatting>
  <conditionalFormatting sqref="B693:D693 F693:G693 I693:P693">
    <cfRule type="expression" dxfId="2008" priority="1974" stopIfTrue="1">
      <formula>IF($A693&lt;&gt;"",IF(B693="",TRUE,FALSE),FALSE)</formula>
    </cfRule>
  </conditionalFormatting>
  <conditionalFormatting sqref="M693">
    <cfRule type="expression" dxfId="2007" priority="1973" stopIfTrue="1">
      <formula>IF($F693="I",TRUE,FALSE)</formula>
    </cfRule>
  </conditionalFormatting>
  <conditionalFormatting sqref="B694:D694 F694:G694 I694:P694">
    <cfRule type="expression" dxfId="2006" priority="1972" stopIfTrue="1">
      <formula>IF($A694&lt;&gt;"",IF(B694="",TRUE,FALSE),FALSE)</formula>
    </cfRule>
  </conditionalFormatting>
  <conditionalFormatting sqref="M694">
    <cfRule type="expression" dxfId="2005" priority="1971" stopIfTrue="1">
      <formula>IF($F694="I",TRUE,FALSE)</formula>
    </cfRule>
  </conditionalFormatting>
  <conditionalFormatting sqref="B695:D695 F695:G695 I695:P695">
    <cfRule type="expression" dxfId="2004" priority="1970" stopIfTrue="1">
      <formula>IF($A695&lt;&gt;"",IF(B695="",TRUE,FALSE),FALSE)</formula>
    </cfRule>
  </conditionalFormatting>
  <conditionalFormatting sqref="M695">
    <cfRule type="expression" dxfId="2003" priority="1969" stopIfTrue="1">
      <formula>IF($F695="I",TRUE,FALSE)</formula>
    </cfRule>
  </conditionalFormatting>
  <conditionalFormatting sqref="B696:D696 F696:G696 I696:P696">
    <cfRule type="expression" dxfId="2002" priority="1968" stopIfTrue="1">
      <formula>IF($A696&lt;&gt;"",IF(B696="",TRUE,FALSE),FALSE)</formula>
    </cfRule>
  </conditionalFormatting>
  <conditionalFormatting sqref="M696">
    <cfRule type="expression" dxfId="2001" priority="1967" stopIfTrue="1">
      <formula>IF($F696="I",TRUE,FALSE)</formula>
    </cfRule>
  </conditionalFormatting>
  <conditionalFormatting sqref="B697:D697 F697:G697 I697:P697">
    <cfRule type="expression" dxfId="2000" priority="1966" stopIfTrue="1">
      <formula>IF($A697&lt;&gt;"",IF(B697="",TRUE,FALSE),FALSE)</formula>
    </cfRule>
  </conditionalFormatting>
  <conditionalFormatting sqref="M697">
    <cfRule type="expression" dxfId="1999" priority="1965" stopIfTrue="1">
      <formula>IF($F697="I",TRUE,FALSE)</formula>
    </cfRule>
  </conditionalFormatting>
  <conditionalFormatting sqref="B698:D698 F698:G698 I698:P698">
    <cfRule type="expression" dxfId="1998" priority="1964" stopIfTrue="1">
      <formula>IF($A698&lt;&gt;"",IF(B698="",TRUE,FALSE),FALSE)</formula>
    </cfRule>
  </conditionalFormatting>
  <conditionalFormatting sqref="M698">
    <cfRule type="expression" dxfId="1997" priority="1963" stopIfTrue="1">
      <formula>IF($F698="I",TRUE,FALSE)</formula>
    </cfRule>
  </conditionalFormatting>
  <conditionalFormatting sqref="B699:D699 F699:G699 I699:P699">
    <cfRule type="expression" dxfId="1996" priority="1962" stopIfTrue="1">
      <formula>IF($A699&lt;&gt;"",IF(B699="",TRUE,FALSE),FALSE)</formula>
    </cfRule>
  </conditionalFormatting>
  <conditionalFormatting sqref="M699">
    <cfRule type="expression" dxfId="1995" priority="1961" stopIfTrue="1">
      <formula>IF($F699="I",TRUE,FALSE)</formula>
    </cfRule>
  </conditionalFormatting>
  <conditionalFormatting sqref="B700:D700 F700:G700 I700:P700">
    <cfRule type="expression" dxfId="1994" priority="1960" stopIfTrue="1">
      <formula>IF($A700&lt;&gt;"",IF(B700="",TRUE,FALSE),FALSE)</formula>
    </cfRule>
  </conditionalFormatting>
  <conditionalFormatting sqref="M700">
    <cfRule type="expression" dxfId="1993" priority="1959" stopIfTrue="1">
      <formula>IF($F700="I",TRUE,FALSE)</formula>
    </cfRule>
  </conditionalFormatting>
  <conditionalFormatting sqref="B701:D701 F701:G701 I701:P701">
    <cfRule type="expression" dxfId="1992" priority="1958" stopIfTrue="1">
      <formula>IF($A701&lt;&gt;"",IF(B701="",TRUE,FALSE),FALSE)</formula>
    </cfRule>
  </conditionalFormatting>
  <conditionalFormatting sqref="M701">
    <cfRule type="expression" dxfId="1991" priority="1957" stopIfTrue="1">
      <formula>IF($F701="I",TRUE,FALSE)</formula>
    </cfRule>
  </conditionalFormatting>
  <conditionalFormatting sqref="B702:D702 F702:G702 I702:P702">
    <cfRule type="expression" dxfId="1990" priority="1956" stopIfTrue="1">
      <formula>IF($A702&lt;&gt;"",IF(B702="",TRUE,FALSE),FALSE)</formula>
    </cfRule>
  </conditionalFormatting>
  <conditionalFormatting sqref="M702">
    <cfRule type="expression" dxfId="1989" priority="1955" stopIfTrue="1">
      <formula>IF($F702="I",TRUE,FALSE)</formula>
    </cfRule>
  </conditionalFormatting>
  <conditionalFormatting sqref="B703:D703 F703:G703 I703:P703">
    <cfRule type="expression" dxfId="1988" priority="1954" stopIfTrue="1">
      <formula>IF($A703&lt;&gt;"",IF(B703="",TRUE,FALSE),FALSE)</formula>
    </cfRule>
  </conditionalFormatting>
  <conditionalFormatting sqref="M703">
    <cfRule type="expression" dxfId="1987" priority="1953" stopIfTrue="1">
      <formula>IF($F703="I",TRUE,FALSE)</formula>
    </cfRule>
  </conditionalFormatting>
  <conditionalFormatting sqref="B704:D704 F704:G704 I704:P704">
    <cfRule type="expression" dxfId="1986" priority="1952" stopIfTrue="1">
      <formula>IF($A704&lt;&gt;"",IF(B704="",TRUE,FALSE),FALSE)</formula>
    </cfRule>
  </conditionalFormatting>
  <conditionalFormatting sqref="M704">
    <cfRule type="expression" dxfId="1985" priority="1951" stopIfTrue="1">
      <formula>IF($F704="I",TRUE,FALSE)</formula>
    </cfRule>
  </conditionalFormatting>
  <conditionalFormatting sqref="B705:D705 F705:G705 I705:P705">
    <cfRule type="expression" dxfId="1984" priority="1950" stopIfTrue="1">
      <formula>IF($A705&lt;&gt;"",IF(B705="",TRUE,FALSE),FALSE)</formula>
    </cfRule>
  </conditionalFormatting>
  <conditionalFormatting sqref="M705">
    <cfRule type="expression" dxfId="1983" priority="1949" stopIfTrue="1">
      <formula>IF($F705="I",TRUE,FALSE)</formula>
    </cfRule>
  </conditionalFormatting>
  <conditionalFormatting sqref="B706:D706 F706:G706 I706:P706">
    <cfRule type="expression" dxfId="1982" priority="1948" stopIfTrue="1">
      <formula>IF($A706&lt;&gt;"",IF(B706="",TRUE,FALSE),FALSE)</formula>
    </cfRule>
  </conditionalFormatting>
  <conditionalFormatting sqref="M706">
    <cfRule type="expression" dxfId="1981" priority="1947" stopIfTrue="1">
      <formula>IF($F706="I",TRUE,FALSE)</formula>
    </cfRule>
  </conditionalFormatting>
  <conditionalFormatting sqref="B707:D707 F707:G707 I707:P707">
    <cfRule type="expression" dxfId="1980" priority="1946" stopIfTrue="1">
      <formula>IF($A707&lt;&gt;"",IF(B707="",TRUE,FALSE),FALSE)</formula>
    </cfRule>
  </conditionalFormatting>
  <conditionalFormatting sqref="M707">
    <cfRule type="expression" dxfId="1979" priority="1945" stopIfTrue="1">
      <formula>IF($F707="I",TRUE,FALSE)</formula>
    </cfRule>
  </conditionalFormatting>
  <conditionalFormatting sqref="B708:D708 F708:G708 I708:P708">
    <cfRule type="expression" dxfId="1978" priority="1944" stopIfTrue="1">
      <formula>IF($A708&lt;&gt;"",IF(B708="",TRUE,FALSE),FALSE)</formula>
    </cfRule>
  </conditionalFormatting>
  <conditionalFormatting sqref="M708">
    <cfRule type="expression" dxfId="1977" priority="1943" stopIfTrue="1">
      <formula>IF($F708="I",TRUE,FALSE)</formula>
    </cfRule>
  </conditionalFormatting>
  <conditionalFormatting sqref="B709:D709 F709:G709 I709:P709">
    <cfRule type="expression" dxfId="1976" priority="1942" stopIfTrue="1">
      <formula>IF($A709&lt;&gt;"",IF(B709="",TRUE,FALSE),FALSE)</formula>
    </cfRule>
  </conditionalFormatting>
  <conditionalFormatting sqref="M709">
    <cfRule type="expression" dxfId="1975" priority="1941" stopIfTrue="1">
      <formula>IF($F709="I",TRUE,FALSE)</formula>
    </cfRule>
  </conditionalFormatting>
  <conditionalFormatting sqref="B710:D710 F710:G710 I710:P710">
    <cfRule type="expression" dxfId="1974" priority="1940" stopIfTrue="1">
      <formula>IF($A710&lt;&gt;"",IF(B710="",TRUE,FALSE),FALSE)</formula>
    </cfRule>
  </conditionalFormatting>
  <conditionalFormatting sqref="M710">
    <cfRule type="expression" dxfId="1973" priority="1939" stopIfTrue="1">
      <formula>IF($F710="I",TRUE,FALSE)</formula>
    </cfRule>
  </conditionalFormatting>
  <conditionalFormatting sqref="B711:D711 F711:G711 I711:P711">
    <cfRule type="expression" dxfId="1972" priority="1938" stopIfTrue="1">
      <formula>IF($A711&lt;&gt;"",IF(B711="",TRUE,FALSE),FALSE)</formula>
    </cfRule>
  </conditionalFormatting>
  <conditionalFormatting sqref="M711">
    <cfRule type="expression" dxfId="1971" priority="1937" stopIfTrue="1">
      <formula>IF($F711="I",TRUE,FALSE)</formula>
    </cfRule>
  </conditionalFormatting>
  <conditionalFormatting sqref="B712:D712 F712:G712 I712:P712">
    <cfRule type="expression" dxfId="1970" priority="1936" stopIfTrue="1">
      <formula>IF($A712&lt;&gt;"",IF(B712="",TRUE,FALSE),FALSE)</formula>
    </cfRule>
  </conditionalFormatting>
  <conditionalFormatting sqref="M712">
    <cfRule type="expression" dxfId="1969" priority="1935" stopIfTrue="1">
      <formula>IF($F712="I",TRUE,FALSE)</formula>
    </cfRule>
  </conditionalFormatting>
  <conditionalFormatting sqref="B713:D713 F713:G713 I713:P713">
    <cfRule type="expression" dxfId="1968" priority="1934" stopIfTrue="1">
      <formula>IF($A713&lt;&gt;"",IF(B713="",TRUE,FALSE),FALSE)</formula>
    </cfRule>
  </conditionalFormatting>
  <conditionalFormatting sqref="M713">
    <cfRule type="expression" dxfId="1967" priority="1933" stopIfTrue="1">
      <formula>IF($F713="I",TRUE,FALSE)</formula>
    </cfRule>
  </conditionalFormatting>
  <conditionalFormatting sqref="B714:D714 F714:G714 I714:P714">
    <cfRule type="expression" dxfId="1966" priority="1932" stopIfTrue="1">
      <formula>IF($A714&lt;&gt;"",IF(B714="",TRUE,FALSE),FALSE)</formula>
    </cfRule>
  </conditionalFormatting>
  <conditionalFormatting sqref="M714">
    <cfRule type="expression" dxfId="1965" priority="1931" stopIfTrue="1">
      <formula>IF($F714="I",TRUE,FALSE)</formula>
    </cfRule>
  </conditionalFormatting>
  <conditionalFormatting sqref="B715:D715 F715:G715 I715:P715">
    <cfRule type="expression" dxfId="1964" priority="1930" stopIfTrue="1">
      <formula>IF($A715&lt;&gt;"",IF(B715="",TRUE,FALSE),FALSE)</formula>
    </cfRule>
  </conditionalFormatting>
  <conditionalFormatting sqref="M715">
    <cfRule type="expression" dxfId="1963" priority="1929" stopIfTrue="1">
      <formula>IF($F715="I",TRUE,FALSE)</formula>
    </cfRule>
  </conditionalFormatting>
  <conditionalFormatting sqref="B716:D716 F716:G716 I716:P716">
    <cfRule type="expression" dxfId="1962" priority="1928" stopIfTrue="1">
      <formula>IF($A716&lt;&gt;"",IF(B716="",TRUE,FALSE),FALSE)</formula>
    </cfRule>
  </conditionalFormatting>
  <conditionalFormatting sqref="M716">
    <cfRule type="expression" dxfId="1961" priority="1927" stopIfTrue="1">
      <formula>IF($F716="I",TRUE,FALSE)</formula>
    </cfRule>
  </conditionalFormatting>
  <conditionalFormatting sqref="B717:D717 F717:G717 I717:P717">
    <cfRule type="expression" dxfId="1960" priority="1926" stopIfTrue="1">
      <formula>IF($A717&lt;&gt;"",IF(B717="",TRUE,FALSE),FALSE)</formula>
    </cfRule>
  </conditionalFormatting>
  <conditionalFormatting sqref="M717">
    <cfRule type="expression" dxfId="1959" priority="1925" stopIfTrue="1">
      <formula>IF($F717="I",TRUE,FALSE)</formula>
    </cfRule>
  </conditionalFormatting>
  <conditionalFormatting sqref="B718:D718 F718:G718 I718:P718">
    <cfRule type="expression" dxfId="1958" priority="1924" stopIfTrue="1">
      <formula>IF($A718&lt;&gt;"",IF(B718="",TRUE,FALSE),FALSE)</formula>
    </cfRule>
  </conditionalFormatting>
  <conditionalFormatting sqref="M718">
    <cfRule type="expression" dxfId="1957" priority="1923" stopIfTrue="1">
      <formula>IF($F718="I",TRUE,FALSE)</formula>
    </cfRule>
  </conditionalFormatting>
  <conditionalFormatting sqref="B719:D719 F719:G719 I719:P719">
    <cfRule type="expression" dxfId="1956" priority="1922" stopIfTrue="1">
      <formula>IF($A719&lt;&gt;"",IF(B719="",TRUE,FALSE),FALSE)</formula>
    </cfRule>
  </conditionalFormatting>
  <conditionalFormatting sqref="M719">
    <cfRule type="expression" dxfId="1955" priority="1921" stopIfTrue="1">
      <formula>IF($F719="I",TRUE,FALSE)</formula>
    </cfRule>
  </conditionalFormatting>
  <conditionalFormatting sqref="B720:D720 F720:G720 I720:P720">
    <cfRule type="expression" dxfId="1954" priority="1920" stopIfTrue="1">
      <formula>IF($A720&lt;&gt;"",IF(B720="",TRUE,FALSE),FALSE)</formula>
    </cfRule>
  </conditionalFormatting>
  <conditionalFormatting sqref="M720">
    <cfRule type="expression" dxfId="1953" priority="1919" stopIfTrue="1">
      <formula>IF($F720="I",TRUE,FALSE)</formula>
    </cfRule>
  </conditionalFormatting>
  <conditionalFormatting sqref="B721:D721 F721:G721 I721:P721">
    <cfRule type="expression" dxfId="1952" priority="1918" stopIfTrue="1">
      <formula>IF($A721&lt;&gt;"",IF(B721="",TRUE,FALSE),FALSE)</formula>
    </cfRule>
  </conditionalFormatting>
  <conditionalFormatting sqref="M721">
    <cfRule type="expression" dxfId="1951" priority="1917" stopIfTrue="1">
      <formula>IF($F721="I",TRUE,FALSE)</formula>
    </cfRule>
  </conditionalFormatting>
  <conditionalFormatting sqref="B722:D722 F722:G722 I722:P722">
    <cfRule type="expression" dxfId="1950" priority="1916" stopIfTrue="1">
      <formula>IF($A722&lt;&gt;"",IF(B722="",TRUE,FALSE),FALSE)</formula>
    </cfRule>
  </conditionalFormatting>
  <conditionalFormatting sqref="M722">
    <cfRule type="expression" dxfId="1949" priority="1915" stopIfTrue="1">
      <formula>IF($F722="I",TRUE,FALSE)</formula>
    </cfRule>
  </conditionalFormatting>
  <conditionalFormatting sqref="B723:D723 F723:G723 I723:P723">
    <cfRule type="expression" dxfId="1948" priority="1914" stopIfTrue="1">
      <formula>IF($A723&lt;&gt;"",IF(B723="",TRUE,FALSE),FALSE)</formula>
    </cfRule>
  </conditionalFormatting>
  <conditionalFormatting sqref="M723">
    <cfRule type="expression" dxfId="1947" priority="1913" stopIfTrue="1">
      <formula>IF($F723="I",TRUE,FALSE)</formula>
    </cfRule>
  </conditionalFormatting>
  <conditionalFormatting sqref="B724:D724 F724:G724 I724:P724">
    <cfRule type="expression" dxfId="1946" priority="1912" stopIfTrue="1">
      <formula>IF($A724&lt;&gt;"",IF(B724="",TRUE,FALSE),FALSE)</formula>
    </cfRule>
  </conditionalFormatting>
  <conditionalFormatting sqref="M724">
    <cfRule type="expression" dxfId="1945" priority="1911" stopIfTrue="1">
      <formula>IF($F724="I",TRUE,FALSE)</formula>
    </cfRule>
  </conditionalFormatting>
  <conditionalFormatting sqref="B725:D725 F725:G725 I725:P725">
    <cfRule type="expression" dxfId="1944" priority="1910" stopIfTrue="1">
      <formula>IF($A725&lt;&gt;"",IF(B725="",TRUE,FALSE),FALSE)</formula>
    </cfRule>
  </conditionalFormatting>
  <conditionalFormatting sqref="M725">
    <cfRule type="expression" dxfId="1943" priority="1909" stopIfTrue="1">
      <formula>IF($F725="I",TRUE,FALSE)</formula>
    </cfRule>
  </conditionalFormatting>
  <conditionalFormatting sqref="B726:D726 F726:G726 I726:P726">
    <cfRule type="expression" dxfId="1942" priority="1908" stopIfTrue="1">
      <formula>IF($A726&lt;&gt;"",IF(B726="",TRUE,FALSE),FALSE)</formula>
    </cfRule>
  </conditionalFormatting>
  <conditionalFormatting sqref="M726">
    <cfRule type="expression" dxfId="1941" priority="1907" stopIfTrue="1">
      <formula>IF($F726="I",TRUE,FALSE)</formula>
    </cfRule>
  </conditionalFormatting>
  <conditionalFormatting sqref="B727:D727 F727:G727 I727:P727">
    <cfRule type="expression" dxfId="1940" priority="1906" stopIfTrue="1">
      <formula>IF($A727&lt;&gt;"",IF(B727="",TRUE,FALSE),FALSE)</formula>
    </cfRule>
  </conditionalFormatting>
  <conditionalFormatting sqref="M727">
    <cfRule type="expression" dxfId="1939" priority="1905" stopIfTrue="1">
      <formula>IF($F727="I",TRUE,FALSE)</formula>
    </cfRule>
  </conditionalFormatting>
  <conditionalFormatting sqref="B728:D728 F728:G728 I728:P728">
    <cfRule type="expression" dxfId="1938" priority="1904" stopIfTrue="1">
      <formula>IF($A728&lt;&gt;"",IF(B728="",TRUE,FALSE),FALSE)</formula>
    </cfRule>
  </conditionalFormatting>
  <conditionalFormatting sqref="M728">
    <cfRule type="expression" dxfId="1937" priority="1903" stopIfTrue="1">
      <formula>IF($F728="I",TRUE,FALSE)</formula>
    </cfRule>
  </conditionalFormatting>
  <conditionalFormatting sqref="B729:D729 F729:G729 I729:P729">
    <cfRule type="expression" dxfId="1936" priority="1902" stopIfTrue="1">
      <formula>IF($A729&lt;&gt;"",IF(B729="",TRUE,FALSE),FALSE)</formula>
    </cfRule>
  </conditionalFormatting>
  <conditionalFormatting sqref="M729">
    <cfRule type="expression" dxfId="1935" priority="1901" stopIfTrue="1">
      <formula>IF($F729="I",TRUE,FALSE)</formula>
    </cfRule>
  </conditionalFormatting>
  <conditionalFormatting sqref="B730:D730 F730:G730 I730:P730">
    <cfRule type="expression" dxfId="1934" priority="1900" stopIfTrue="1">
      <formula>IF($A730&lt;&gt;"",IF(B730="",TRUE,FALSE),FALSE)</formula>
    </cfRule>
  </conditionalFormatting>
  <conditionalFormatting sqref="M730">
    <cfRule type="expression" dxfId="1933" priority="1899" stopIfTrue="1">
      <formula>IF($F730="I",TRUE,FALSE)</formula>
    </cfRule>
  </conditionalFormatting>
  <conditionalFormatting sqref="B731:D731 F731:G731 I731:P731">
    <cfRule type="expression" dxfId="1932" priority="1898" stopIfTrue="1">
      <formula>IF($A731&lt;&gt;"",IF(B731="",TRUE,FALSE),FALSE)</formula>
    </cfRule>
  </conditionalFormatting>
  <conditionalFormatting sqref="M731">
    <cfRule type="expression" dxfId="1931" priority="1897" stopIfTrue="1">
      <formula>IF($F731="I",TRUE,FALSE)</formula>
    </cfRule>
  </conditionalFormatting>
  <conditionalFormatting sqref="B732:D732 F732:G732 I732:P732">
    <cfRule type="expression" dxfId="1930" priority="1896" stopIfTrue="1">
      <formula>IF($A732&lt;&gt;"",IF(B732="",TRUE,FALSE),FALSE)</formula>
    </cfRule>
  </conditionalFormatting>
  <conditionalFormatting sqref="M732">
    <cfRule type="expression" dxfId="1929" priority="1895" stopIfTrue="1">
      <formula>IF($F732="I",TRUE,FALSE)</formula>
    </cfRule>
  </conditionalFormatting>
  <conditionalFormatting sqref="B733:D733 F733:G733 I733:P733">
    <cfRule type="expression" dxfId="1928" priority="1894" stopIfTrue="1">
      <formula>IF($A733&lt;&gt;"",IF(B733="",TRUE,FALSE),FALSE)</formula>
    </cfRule>
  </conditionalFormatting>
  <conditionalFormatting sqref="M733">
    <cfRule type="expression" dxfId="1927" priority="1893" stopIfTrue="1">
      <formula>IF($F733="I",TRUE,FALSE)</formula>
    </cfRule>
  </conditionalFormatting>
  <conditionalFormatting sqref="B734:D734 F734:G734 I734:P734">
    <cfRule type="expression" dxfId="1926" priority="1892" stopIfTrue="1">
      <formula>IF($A734&lt;&gt;"",IF(B734="",TRUE,FALSE),FALSE)</formula>
    </cfRule>
  </conditionalFormatting>
  <conditionalFormatting sqref="M734">
    <cfRule type="expression" dxfId="1925" priority="1891" stopIfTrue="1">
      <formula>IF($F734="I",TRUE,FALSE)</formula>
    </cfRule>
  </conditionalFormatting>
  <conditionalFormatting sqref="B735:D735 F735:G735 I735:P735">
    <cfRule type="expression" dxfId="1924" priority="1890" stopIfTrue="1">
      <formula>IF($A735&lt;&gt;"",IF(B735="",TRUE,FALSE),FALSE)</formula>
    </cfRule>
  </conditionalFormatting>
  <conditionalFormatting sqref="M735">
    <cfRule type="expression" dxfId="1923" priority="1889" stopIfTrue="1">
      <formula>IF($F735="I",TRUE,FALSE)</formula>
    </cfRule>
  </conditionalFormatting>
  <conditionalFormatting sqref="B736:D736 F736:G736 I736:P736">
    <cfRule type="expression" dxfId="1922" priority="1888" stopIfTrue="1">
      <formula>IF($A736&lt;&gt;"",IF(B736="",TRUE,FALSE),FALSE)</formula>
    </cfRule>
  </conditionalFormatting>
  <conditionalFormatting sqref="M736">
    <cfRule type="expression" dxfId="1921" priority="1887" stopIfTrue="1">
      <formula>IF($F736="I",TRUE,FALSE)</formula>
    </cfRule>
  </conditionalFormatting>
  <conditionalFormatting sqref="B737:D737 F737:G737 I737:P737">
    <cfRule type="expression" dxfId="1920" priority="1886" stopIfTrue="1">
      <formula>IF($A737&lt;&gt;"",IF(B737="",TRUE,FALSE),FALSE)</formula>
    </cfRule>
  </conditionalFormatting>
  <conditionalFormatting sqref="M737">
    <cfRule type="expression" dxfId="1919" priority="1885" stopIfTrue="1">
      <formula>IF($F737="I",TRUE,FALSE)</formula>
    </cfRule>
  </conditionalFormatting>
  <conditionalFormatting sqref="B738:D738 F738:G738 I738:P738">
    <cfRule type="expression" dxfId="1918" priority="1884" stopIfTrue="1">
      <formula>IF($A738&lt;&gt;"",IF(B738="",TRUE,FALSE),FALSE)</formula>
    </cfRule>
  </conditionalFormatting>
  <conditionalFormatting sqref="M738">
    <cfRule type="expression" dxfId="1917" priority="1883" stopIfTrue="1">
      <formula>IF($F738="I",TRUE,FALSE)</formula>
    </cfRule>
  </conditionalFormatting>
  <conditionalFormatting sqref="B739:D739 F739:G739 I739:P739">
    <cfRule type="expression" dxfId="1916" priority="1882" stopIfTrue="1">
      <formula>IF($A739&lt;&gt;"",IF(B739="",TRUE,FALSE),FALSE)</formula>
    </cfRule>
  </conditionalFormatting>
  <conditionalFormatting sqref="M739">
    <cfRule type="expression" dxfId="1915" priority="1881" stopIfTrue="1">
      <formula>IF($F739="I",TRUE,FALSE)</formula>
    </cfRule>
  </conditionalFormatting>
  <conditionalFormatting sqref="B740:D740 F740:G740 I740:P740">
    <cfRule type="expression" dxfId="1914" priority="1880" stopIfTrue="1">
      <formula>IF($A740&lt;&gt;"",IF(B740="",TRUE,FALSE),FALSE)</formula>
    </cfRule>
  </conditionalFormatting>
  <conditionalFormatting sqref="M740">
    <cfRule type="expression" dxfId="1913" priority="1879" stopIfTrue="1">
      <formula>IF($F740="I",TRUE,FALSE)</formula>
    </cfRule>
  </conditionalFormatting>
  <conditionalFormatting sqref="B741:D741 F741:G741 I741:P741">
    <cfRule type="expression" dxfId="1912" priority="1878" stopIfTrue="1">
      <formula>IF($A741&lt;&gt;"",IF(B741="",TRUE,FALSE),FALSE)</formula>
    </cfRule>
  </conditionalFormatting>
  <conditionalFormatting sqref="M741">
    <cfRule type="expression" dxfId="1911" priority="1877" stopIfTrue="1">
      <formula>IF($F741="I",TRUE,FALSE)</formula>
    </cfRule>
  </conditionalFormatting>
  <conditionalFormatting sqref="B742:D742 F742:G742 I742:P742">
    <cfRule type="expression" dxfId="1910" priority="1876" stopIfTrue="1">
      <formula>IF($A742&lt;&gt;"",IF(B742="",TRUE,FALSE),FALSE)</formula>
    </cfRule>
  </conditionalFormatting>
  <conditionalFormatting sqref="M742">
    <cfRule type="expression" dxfId="1909" priority="1875" stopIfTrue="1">
      <formula>IF($F742="I",TRUE,FALSE)</formula>
    </cfRule>
  </conditionalFormatting>
  <conditionalFormatting sqref="B743:D743 F743:G743 I743:P743">
    <cfRule type="expression" dxfId="1908" priority="1874" stopIfTrue="1">
      <formula>IF($A743&lt;&gt;"",IF(B743="",TRUE,FALSE),FALSE)</formula>
    </cfRule>
  </conditionalFormatting>
  <conditionalFormatting sqref="M743">
    <cfRule type="expression" dxfId="1907" priority="1873" stopIfTrue="1">
      <formula>IF($F743="I",TRUE,FALSE)</formula>
    </cfRule>
  </conditionalFormatting>
  <conditionalFormatting sqref="B744:D744 F744:G744 I744:P744">
    <cfRule type="expression" dxfId="1906" priority="1872" stopIfTrue="1">
      <formula>IF($A744&lt;&gt;"",IF(B744="",TRUE,FALSE),FALSE)</formula>
    </cfRule>
  </conditionalFormatting>
  <conditionalFormatting sqref="M744">
    <cfRule type="expression" dxfId="1905" priority="1871" stopIfTrue="1">
      <formula>IF($F744="I",TRUE,FALSE)</formula>
    </cfRule>
  </conditionalFormatting>
  <conditionalFormatting sqref="B745:D745 F745:G745 I745:P745">
    <cfRule type="expression" dxfId="1904" priority="1870" stopIfTrue="1">
      <formula>IF($A745&lt;&gt;"",IF(B745="",TRUE,FALSE),FALSE)</formula>
    </cfRule>
  </conditionalFormatting>
  <conditionalFormatting sqref="M745">
    <cfRule type="expression" dxfId="1903" priority="1869" stopIfTrue="1">
      <formula>IF($F745="I",TRUE,FALSE)</formula>
    </cfRule>
  </conditionalFormatting>
  <conditionalFormatting sqref="B746:D746 F746:G746 I746:P746">
    <cfRule type="expression" dxfId="1902" priority="1868" stopIfTrue="1">
      <formula>IF($A746&lt;&gt;"",IF(B746="",TRUE,FALSE),FALSE)</formula>
    </cfRule>
  </conditionalFormatting>
  <conditionalFormatting sqref="M746">
    <cfRule type="expression" dxfId="1901" priority="1867" stopIfTrue="1">
      <formula>IF($F746="I",TRUE,FALSE)</formula>
    </cfRule>
  </conditionalFormatting>
  <conditionalFormatting sqref="B747:D747 F747:G747 I747:P747">
    <cfRule type="expression" dxfId="1900" priority="1866" stopIfTrue="1">
      <formula>IF($A747&lt;&gt;"",IF(B747="",TRUE,FALSE),FALSE)</formula>
    </cfRule>
  </conditionalFormatting>
  <conditionalFormatting sqref="M747">
    <cfRule type="expression" dxfId="1899" priority="1865" stopIfTrue="1">
      <formula>IF($F747="I",TRUE,FALSE)</formula>
    </cfRule>
  </conditionalFormatting>
  <conditionalFormatting sqref="B748:D748 F748:G748 I748:P748">
    <cfRule type="expression" dxfId="1898" priority="1864" stopIfTrue="1">
      <formula>IF($A748&lt;&gt;"",IF(B748="",TRUE,FALSE),FALSE)</formula>
    </cfRule>
  </conditionalFormatting>
  <conditionalFormatting sqref="M748">
    <cfRule type="expression" dxfId="1897" priority="1863" stopIfTrue="1">
      <formula>IF($F748="I",TRUE,FALSE)</formula>
    </cfRule>
  </conditionalFormatting>
  <conditionalFormatting sqref="B749:D749 F749:G749 I749:P749">
    <cfRule type="expression" dxfId="1896" priority="1862" stopIfTrue="1">
      <formula>IF($A749&lt;&gt;"",IF(B749="",TRUE,FALSE),FALSE)</formula>
    </cfRule>
  </conditionalFormatting>
  <conditionalFormatting sqref="M749">
    <cfRule type="expression" dxfId="1895" priority="1861" stopIfTrue="1">
      <formula>IF($F749="I",TRUE,FALSE)</formula>
    </cfRule>
  </conditionalFormatting>
  <conditionalFormatting sqref="B750:D750 F750:G750 I750:P750">
    <cfRule type="expression" dxfId="1894" priority="1860" stopIfTrue="1">
      <formula>IF($A750&lt;&gt;"",IF(B750="",TRUE,FALSE),FALSE)</formula>
    </cfRule>
  </conditionalFormatting>
  <conditionalFormatting sqref="M750">
    <cfRule type="expression" dxfId="1893" priority="1859" stopIfTrue="1">
      <formula>IF($F750="I",TRUE,FALSE)</formula>
    </cfRule>
  </conditionalFormatting>
  <conditionalFormatting sqref="B751:D751 F751:G751 I751:P751">
    <cfRule type="expression" dxfId="1892" priority="1858" stopIfTrue="1">
      <formula>IF($A751&lt;&gt;"",IF(B751="",TRUE,FALSE),FALSE)</formula>
    </cfRule>
  </conditionalFormatting>
  <conditionalFormatting sqref="M751">
    <cfRule type="expression" dxfId="1891" priority="1857" stopIfTrue="1">
      <formula>IF($F751="I",TRUE,FALSE)</formula>
    </cfRule>
  </conditionalFormatting>
  <conditionalFormatting sqref="B752:D752 F752:G752 I752:P752">
    <cfRule type="expression" dxfId="1890" priority="1856" stopIfTrue="1">
      <formula>IF($A752&lt;&gt;"",IF(B752="",TRUE,FALSE),FALSE)</formula>
    </cfRule>
  </conditionalFormatting>
  <conditionalFormatting sqref="M752">
    <cfRule type="expression" dxfId="1889" priority="1855" stopIfTrue="1">
      <formula>IF($F752="I",TRUE,FALSE)</formula>
    </cfRule>
  </conditionalFormatting>
  <conditionalFormatting sqref="B753:D753 F753:G753 I753:P753">
    <cfRule type="expression" dxfId="1888" priority="1854" stopIfTrue="1">
      <formula>IF($A753&lt;&gt;"",IF(B753="",TRUE,FALSE),FALSE)</formula>
    </cfRule>
  </conditionalFormatting>
  <conditionalFormatting sqref="M753">
    <cfRule type="expression" dxfId="1887" priority="1853" stopIfTrue="1">
      <formula>IF($F753="I",TRUE,FALSE)</formula>
    </cfRule>
  </conditionalFormatting>
  <conditionalFormatting sqref="B754:D754 F754:G754 I754:P754">
    <cfRule type="expression" dxfId="1886" priority="1852" stopIfTrue="1">
      <formula>IF($A754&lt;&gt;"",IF(B754="",TRUE,FALSE),FALSE)</formula>
    </cfRule>
  </conditionalFormatting>
  <conditionalFormatting sqref="M754">
    <cfRule type="expression" dxfId="1885" priority="1851" stopIfTrue="1">
      <formula>IF($F754="I",TRUE,FALSE)</formula>
    </cfRule>
  </conditionalFormatting>
  <conditionalFormatting sqref="B755:D755 F755:G755 I755:P755">
    <cfRule type="expression" dxfId="1884" priority="1850" stopIfTrue="1">
      <formula>IF($A755&lt;&gt;"",IF(B755="",TRUE,FALSE),FALSE)</formula>
    </cfRule>
  </conditionalFormatting>
  <conditionalFormatting sqref="M755">
    <cfRule type="expression" dxfId="1883" priority="1849" stopIfTrue="1">
      <formula>IF($F755="I",TRUE,FALSE)</formula>
    </cfRule>
  </conditionalFormatting>
  <conditionalFormatting sqref="B756:D756 F756:G756 I756:P756">
    <cfRule type="expression" dxfId="1882" priority="1848" stopIfTrue="1">
      <formula>IF($A756&lt;&gt;"",IF(B756="",TRUE,FALSE),FALSE)</formula>
    </cfRule>
  </conditionalFormatting>
  <conditionalFormatting sqref="M756">
    <cfRule type="expression" dxfId="1881" priority="1847" stopIfTrue="1">
      <formula>IF($F756="I",TRUE,FALSE)</formula>
    </cfRule>
  </conditionalFormatting>
  <conditionalFormatting sqref="B757:D757 F757:G757 I757:P757">
    <cfRule type="expression" dxfId="1880" priority="1846" stopIfTrue="1">
      <formula>IF($A757&lt;&gt;"",IF(B757="",TRUE,FALSE),FALSE)</formula>
    </cfRule>
  </conditionalFormatting>
  <conditionalFormatting sqref="M757">
    <cfRule type="expression" dxfId="1879" priority="1845" stopIfTrue="1">
      <formula>IF($F757="I",TRUE,FALSE)</formula>
    </cfRule>
  </conditionalFormatting>
  <conditionalFormatting sqref="B758:D758 F758:G758 I758:P758">
    <cfRule type="expression" dxfId="1878" priority="1844" stopIfTrue="1">
      <formula>IF($A758&lt;&gt;"",IF(B758="",TRUE,FALSE),FALSE)</formula>
    </cfRule>
  </conditionalFormatting>
  <conditionalFormatting sqref="M758">
    <cfRule type="expression" dxfId="1877" priority="1843" stopIfTrue="1">
      <formula>IF($F758="I",TRUE,FALSE)</formula>
    </cfRule>
  </conditionalFormatting>
  <conditionalFormatting sqref="B759:D759 F759:G759 I759:P759">
    <cfRule type="expression" dxfId="1876" priority="1842" stopIfTrue="1">
      <formula>IF($A759&lt;&gt;"",IF(B759="",TRUE,FALSE),FALSE)</formula>
    </cfRule>
  </conditionalFormatting>
  <conditionalFormatting sqref="M759">
    <cfRule type="expression" dxfId="1875" priority="1841" stopIfTrue="1">
      <formula>IF($F759="I",TRUE,FALSE)</formula>
    </cfRule>
  </conditionalFormatting>
  <conditionalFormatting sqref="B760:D760 F760:G760 I760:P760">
    <cfRule type="expression" dxfId="1874" priority="1840" stopIfTrue="1">
      <formula>IF($A760&lt;&gt;"",IF(B760="",TRUE,FALSE),FALSE)</formula>
    </cfRule>
  </conditionalFormatting>
  <conditionalFormatting sqref="M760">
    <cfRule type="expression" dxfId="1873" priority="1839" stopIfTrue="1">
      <formula>IF($F760="I",TRUE,FALSE)</formula>
    </cfRule>
  </conditionalFormatting>
  <conditionalFormatting sqref="B761:D761 F761:G761 I761:P761">
    <cfRule type="expression" dxfId="1872" priority="1838" stopIfTrue="1">
      <formula>IF($A761&lt;&gt;"",IF(B761="",TRUE,FALSE),FALSE)</formula>
    </cfRule>
  </conditionalFormatting>
  <conditionalFormatting sqref="M761">
    <cfRule type="expression" dxfId="1871" priority="1837" stopIfTrue="1">
      <formula>IF($F761="I",TRUE,FALSE)</formula>
    </cfRule>
  </conditionalFormatting>
  <conditionalFormatting sqref="B762:D762 F762:G762 I762:P762">
    <cfRule type="expression" dxfId="1870" priority="1836" stopIfTrue="1">
      <formula>IF($A762&lt;&gt;"",IF(B762="",TRUE,FALSE),FALSE)</formula>
    </cfRule>
  </conditionalFormatting>
  <conditionalFormatting sqref="M762">
    <cfRule type="expression" dxfId="1869" priority="1835" stopIfTrue="1">
      <formula>IF($F762="I",TRUE,FALSE)</formula>
    </cfRule>
  </conditionalFormatting>
  <conditionalFormatting sqref="B763:D763 F763:G763 I763:P763">
    <cfRule type="expression" dxfId="1868" priority="1834" stopIfTrue="1">
      <formula>IF($A763&lt;&gt;"",IF(B763="",TRUE,FALSE),FALSE)</formula>
    </cfRule>
  </conditionalFormatting>
  <conditionalFormatting sqref="M763">
    <cfRule type="expression" dxfId="1867" priority="1833" stopIfTrue="1">
      <formula>IF($F763="I",TRUE,FALSE)</formula>
    </cfRule>
  </conditionalFormatting>
  <conditionalFormatting sqref="B764:D764 F764:G764 I764:P764">
    <cfRule type="expression" dxfId="1866" priority="1832" stopIfTrue="1">
      <formula>IF($A764&lt;&gt;"",IF(B764="",TRUE,FALSE),FALSE)</formula>
    </cfRule>
  </conditionalFormatting>
  <conditionalFormatting sqref="M764">
    <cfRule type="expression" dxfId="1865" priority="1831" stopIfTrue="1">
      <formula>IF($F764="I",TRUE,FALSE)</formula>
    </cfRule>
  </conditionalFormatting>
  <conditionalFormatting sqref="B765:D765 F765:G765 I765:P765">
    <cfRule type="expression" dxfId="1864" priority="1830" stopIfTrue="1">
      <formula>IF($A765&lt;&gt;"",IF(B765="",TRUE,FALSE),FALSE)</formula>
    </cfRule>
  </conditionalFormatting>
  <conditionalFormatting sqref="M765">
    <cfRule type="expression" dxfId="1863" priority="1829" stopIfTrue="1">
      <formula>IF($F765="I",TRUE,FALSE)</formula>
    </cfRule>
  </conditionalFormatting>
  <conditionalFormatting sqref="B766:D766 F766:G766 I766:P766">
    <cfRule type="expression" dxfId="1862" priority="1828" stopIfTrue="1">
      <formula>IF($A766&lt;&gt;"",IF(B766="",TRUE,FALSE),FALSE)</formula>
    </cfRule>
  </conditionalFormatting>
  <conditionalFormatting sqref="M766">
    <cfRule type="expression" dxfId="1861" priority="1827" stopIfTrue="1">
      <formula>IF($F766="I",TRUE,FALSE)</formula>
    </cfRule>
  </conditionalFormatting>
  <conditionalFormatting sqref="B767:D767 F767:G767 I767:P767">
    <cfRule type="expression" dxfId="1860" priority="1826" stopIfTrue="1">
      <formula>IF($A767&lt;&gt;"",IF(B767="",TRUE,FALSE),FALSE)</formula>
    </cfRule>
  </conditionalFormatting>
  <conditionalFormatting sqref="M767">
    <cfRule type="expression" dxfId="1859" priority="1825" stopIfTrue="1">
      <formula>IF($F767="I",TRUE,FALSE)</formula>
    </cfRule>
  </conditionalFormatting>
  <conditionalFormatting sqref="B768:D768 F768:G768 I768:P768">
    <cfRule type="expression" dxfId="1858" priority="1824" stopIfTrue="1">
      <formula>IF($A768&lt;&gt;"",IF(B768="",TRUE,FALSE),FALSE)</formula>
    </cfRule>
  </conditionalFormatting>
  <conditionalFormatting sqref="M768">
    <cfRule type="expression" dxfId="1857" priority="1823" stopIfTrue="1">
      <formula>IF($F768="I",TRUE,FALSE)</formula>
    </cfRule>
  </conditionalFormatting>
  <conditionalFormatting sqref="B769:D769 F769:G769 I769:P769">
    <cfRule type="expression" dxfId="1856" priority="1822" stopIfTrue="1">
      <formula>IF($A769&lt;&gt;"",IF(B769="",TRUE,FALSE),FALSE)</formula>
    </cfRule>
  </conditionalFormatting>
  <conditionalFormatting sqref="M769">
    <cfRule type="expression" dxfId="1855" priority="1821" stopIfTrue="1">
      <formula>IF($F769="I",TRUE,FALSE)</formula>
    </cfRule>
  </conditionalFormatting>
  <conditionalFormatting sqref="B770:D770 F770:G770 I770:P770">
    <cfRule type="expression" dxfId="1854" priority="1820" stopIfTrue="1">
      <formula>IF($A770&lt;&gt;"",IF(B770="",TRUE,FALSE),FALSE)</formula>
    </cfRule>
  </conditionalFormatting>
  <conditionalFormatting sqref="M770">
    <cfRule type="expression" dxfId="1853" priority="1819" stopIfTrue="1">
      <formula>IF($F770="I",TRUE,FALSE)</formula>
    </cfRule>
  </conditionalFormatting>
  <conditionalFormatting sqref="B771:D771 F771:G771 I771:P771">
    <cfRule type="expression" dxfId="1852" priority="1818" stopIfTrue="1">
      <formula>IF($A771&lt;&gt;"",IF(B771="",TRUE,FALSE),FALSE)</formula>
    </cfRule>
  </conditionalFormatting>
  <conditionalFormatting sqref="M771">
    <cfRule type="expression" dxfId="1851" priority="1817" stopIfTrue="1">
      <formula>IF($F771="I",TRUE,FALSE)</formula>
    </cfRule>
  </conditionalFormatting>
  <conditionalFormatting sqref="B772:D772 F772:G772 I772:P772">
    <cfRule type="expression" dxfId="1850" priority="1816" stopIfTrue="1">
      <formula>IF($A772&lt;&gt;"",IF(B772="",TRUE,FALSE),FALSE)</formula>
    </cfRule>
  </conditionalFormatting>
  <conditionalFormatting sqref="M772">
    <cfRule type="expression" dxfId="1849" priority="1815" stopIfTrue="1">
      <formula>IF($F772="I",TRUE,FALSE)</formula>
    </cfRule>
  </conditionalFormatting>
  <conditionalFormatting sqref="B773:D773 F773:G773 I773:P773">
    <cfRule type="expression" dxfId="1848" priority="1814" stopIfTrue="1">
      <formula>IF($A773&lt;&gt;"",IF(B773="",TRUE,FALSE),FALSE)</formula>
    </cfRule>
  </conditionalFormatting>
  <conditionalFormatting sqref="M773">
    <cfRule type="expression" dxfId="1847" priority="1813" stopIfTrue="1">
      <formula>IF($F773="I",TRUE,FALSE)</formula>
    </cfRule>
  </conditionalFormatting>
  <conditionalFormatting sqref="B774:D774 F774:G774 I774:P774">
    <cfRule type="expression" dxfId="1846" priority="1812" stopIfTrue="1">
      <formula>IF($A774&lt;&gt;"",IF(B774="",TRUE,FALSE),FALSE)</formula>
    </cfRule>
  </conditionalFormatting>
  <conditionalFormatting sqref="M774">
    <cfRule type="expression" dxfId="1845" priority="1811" stopIfTrue="1">
      <formula>IF($F774="I",TRUE,FALSE)</formula>
    </cfRule>
  </conditionalFormatting>
  <conditionalFormatting sqref="B775:D775 F775:G775 I775:P775">
    <cfRule type="expression" dxfId="1844" priority="1810" stopIfTrue="1">
      <formula>IF($A775&lt;&gt;"",IF(B775="",TRUE,FALSE),FALSE)</formula>
    </cfRule>
  </conditionalFormatting>
  <conditionalFormatting sqref="M775">
    <cfRule type="expression" dxfId="1843" priority="1809" stopIfTrue="1">
      <formula>IF($F775="I",TRUE,FALSE)</formula>
    </cfRule>
  </conditionalFormatting>
  <conditionalFormatting sqref="B776:D776 F776:G776 I776:P776">
    <cfRule type="expression" dxfId="1842" priority="1808" stopIfTrue="1">
      <formula>IF($A776&lt;&gt;"",IF(B776="",TRUE,FALSE),FALSE)</formula>
    </cfRule>
  </conditionalFormatting>
  <conditionalFormatting sqref="M776">
    <cfRule type="expression" dxfId="1841" priority="1807" stopIfTrue="1">
      <formula>IF($F776="I",TRUE,FALSE)</formula>
    </cfRule>
  </conditionalFormatting>
  <conditionalFormatting sqref="B777:D777 F777:G777 I777:P777">
    <cfRule type="expression" dxfId="1840" priority="1806" stopIfTrue="1">
      <formula>IF($A777&lt;&gt;"",IF(B777="",TRUE,FALSE),FALSE)</formula>
    </cfRule>
  </conditionalFormatting>
  <conditionalFormatting sqref="M777">
    <cfRule type="expression" dxfId="1839" priority="1805" stopIfTrue="1">
      <formula>IF($F777="I",TRUE,FALSE)</formula>
    </cfRule>
  </conditionalFormatting>
  <conditionalFormatting sqref="B778:D778 F778:G778 I778:P778">
    <cfRule type="expression" dxfId="1838" priority="1804" stopIfTrue="1">
      <formula>IF($A778&lt;&gt;"",IF(B778="",TRUE,FALSE),FALSE)</formula>
    </cfRule>
  </conditionalFormatting>
  <conditionalFormatting sqref="M778">
    <cfRule type="expression" dxfId="1837" priority="1803" stopIfTrue="1">
      <formula>IF($F778="I",TRUE,FALSE)</formula>
    </cfRule>
  </conditionalFormatting>
  <conditionalFormatting sqref="B779:D779 F779:G779 I779:P779">
    <cfRule type="expression" dxfId="1836" priority="1802" stopIfTrue="1">
      <formula>IF($A779&lt;&gt;"",IF(B779="",TRUE,FALSE),FALSE)</formula>
    </cfRule>
  </conditionalFormatting>
  <conditionalFormatting sqref="M779">
    <cfRule type="expression" dxfId="1835" priority="1801" stopIfTrue="1">
      <formula>IF($F779="I",TRUE,FALSE)</formula>
    </cfRule>
  </conditionalFormatting>
  <conditionalFormatting sqref="B780:D780 F780:G780 I780:P780">
    <cfRule type="expression" dxfId="1834" priority="1800" stopIfTrue="1">
      <formula>IF($A780&lt;&gt;"",IF(B780="",TRUE,FALSE),FALSE)</formula>
    </cfRule>
  </conditionalFormatting>
  <conditionalFormatting sqref="M780">
    <cfRule type="expression" dxfId="1833" priority="1799" stopIfTrue="1">
      <formula>IF($F780="I",TRUE,FALSE)</formula>
    </cfRule>
  </conditionalFormatting>
  <conditionalFormatting sqref="B781:D781 F781:G781 I781:P781">
    <cfRule type="expression" dxfId="1832" priority="1798" stopIfTrue="1">
      <formula>IF($A781&lt;&gt;"",IF(B781="",TRUE,FALSE),FALSE)</formula>
    </cfRule>
  </conditionalFormatting>
  <conditionalFormatting sqref="M781">
    <cfRule type="expression" dxfId="1831" priority="1797" stopIfTrue="1">
      <formula>IF($F781="I",TRUE,FALSE)</formula>
    </cfRule>
  </conditionalFormatting>
  <conditionalFormatting sqref="B782:D782 F782:G782 I782:P782">
    <cfRule type="expression" dxfId="1830" priority="1796" stopIfTrue="1">
      <formula>IF($A782&lt;&gt;"",IF(B782="",TRUE,FALSE),FALSE)</formula>
    </cfRule>
  </conditionalFormatting>
  <conditionalFormatting sqref="M782">
    <cfRule type="expression" dxfId="1829" priority="1795" stopIfTrue="1">
      <formula>IF($F782="I",TRUE,FALSE)</formula>
    </cfRule>
  </conditionalFormatting>
  <conditionalFormatting sqref="B783:D783 F783:G783 I783:P783">
    <cfRule type="expression" dxfId="1828" priority="1794" stopIfTrue="1">
      <formula>IF($A783&lt;&gt;"",IF(B783="",TRUE,FALSE),FALSE)</formula>
    </cfRule>
  </conditionalFormatting>
  <conditionalFormatting sqref="M783">
    <cfRule type="expression" dxfId="1827" priority="1793" stopIfTrue="1">
      <formula>IF($F783="I",TRUE,FALSE)</formula>
    </cfRule>
  </conditionalFormatting>
  <conditionalFormatting sqref="B784:D784 F784:G784 I784:P784">
    <cfRule type="expression" dxfId="1826" priority="1792" stopIfTrue="1">
      <formula>IF($A784&lt;&gt;"",IF(B784="",TRUE,FALSE),FALSE)</formula>
    </cfRule>
  </conditionalFormatting>
  <conditionalFormatting sqref="M784">
    <cfRule type="expression" dxfId="1825" priority="1791" stopIfTrue="1">
      <formula>IF($F784="I",TRUE,FALSE)</formula>
    </cfRule>
  </conditionalFormatting>
  <conditionalFormatting sqref="B785:D785 F785:G785 I785:P785">
    <cfRule type="expression" dxfId="1824" priority="1790" stopIfTrue="1">
      <formula>IF($A785&lt;&gt;"",IF(B785="",TRUE,FALSE),FALSE)</formula>
    </cfRule>
  </conditionalFormatting>
  <conditionalFormatting sqref="M785">
    <cfRule type="expression" dxfId="1823" priority="1789" stopIfTrue="1">
      <formula>IF($F785="I",TRUE,FALSE)</formula>
    </cfRule>
  </conditionalFormatting>
  <conditionalFormatting sqref="B786:D786 F786:G786 I786:P786">
    <cfRule type="expression" dxfId="1822" priority="1788" stopIfTrue="1">
      <formula>IF($A786&lt;&gt;"",IF(B786="",TRUE,FALSE),FALSE)</formula>
    </cfRule>
  </conditionalFormatting>
  <conditionalFormatting sqref="M786">
    <cfRule type="expression" dxfId="1821" priority="1787" stopIfTrue="1">
      <formula>IF($F786="I",TRUE,FALSE)</formula>
    </cfRule>
  </conditionalFormatting>
  <conditionalFormatting sqref="B787:D787 F787:G787 I787:P787">
    <cfRule type="expression" dxfId="1820" priority="1786" stopIfTrue="1">
      <formula>IF($A787&lt;&gt;"",IF(B787="",TRUE,FALSE),FALSE)</formula>
    </cfRule>
  </conditionalFormatting>
  <conditionalFormatting sqref="M787">
    <cfRule type="expression" dxfId="1819" priority="1785" stopIfTrue="1">
      <formula>IF($F787="I",TRUE,FALSE)</formula>
    </cfRule>
  </conditionalFormatting>
  <conditionalFormatting sqref="B788:D788 F788:G788 I788:P788">
    <cfRule type="expression" dxfId="1818" priority="1784" stopIfTrue="1">
      <formula>IF($A788&lt;&gt;"",IF(B788="",TRUE,FALSE),FALSE)</formula>
    </cfRule>
  </conditionalFormatting>
  <conditionalFormatting sqref="M788">
    <cfRule type="expression" dxfId="1817" priority="1783" stopIfTrue="1">
      <formula>IF($F788="I",TRUE,FALSE)</formula>
    </cfRule>
  </conditionalFormatting>
  <conditionalFormatting sqref="B789:D789 F789:G789 I789:P789">
    <cfRule type="expression" dxfId="1816" priority="1782" stopIfTrue="1">
      <formula>IF($A789&lt;&gt;"",IF(B789="",TRUE,FALSE),FALSE)</formula>
    </cfRule>
  </conditionalFormatting>
  <conditionalFormatting sqref="M789">
    <cfRule type="expression" dxfId="1815" priority="1781" stopIfTrue="1">
      <formula>IF($F789="I",TRUE,FALSE)</formula>
    </cfRule>
  </conditionalFormatting>
  <conditionalFormatting sqref="B790:D790 F790:G790 I790:P790">
    <cfRule type="expression" dxfId="1814" priority="1780" stopIfTrue="1">
      <formula>IF($A790&lt;&gt;"",IF(B790="",TRUE,FALSE),FALSE)</formula>
    </cfRule>
  </conditionalFormatting>
  <conditionalFormatting sqref="M790">
    <cfRule type="expression" dxfId="1813" priority="1779" stopIfTrue="1">
      <formula>IF($F790="I",TRUE,FALSE)</formula>
    </cfRule>
  </conditionalFormatting>
  <conditionalFormatting sqref="B791:D791 F791:G791 I791:P791">
    <cfRule type="expression" dxfId="1812" priority="1778" stopIfTrue="1">
      <formula>IF($A791&lt;&gt;"",IF(B791="",TRUE,FALSE),FALSE)</formula>
    </cfRule>
  </conditionalFormatting>
  <conditionalFormatting sqref="M791">
    <cfRule type="expression" dxfId="1811" priority="1777" stopIfTrue="1">
      <formula>IF($F791="I",TRUE,FALSE)</formula>
    </cfRule>
  </conditionalFormatting>
  <conditionalFormatting sqref="B792:D792 F792:G792 I792:P792">
    <cfRule type="expression" dxfId="1810" priority="1776" stopIfTrue="1">
      <formula>IF($A792&lt;&gt;"",IF(B792="",TRUE,FALSE),FALSE)</formula>
    </cfRule>
  </conditionalFormatting>
  <conditionalFormatting sqref="M792">
    <cfRule type="expression" dxfId="1809" priority="1775" stopIfTrue="1">
      <formula>IF($F792="I",TRUE,FALSE)</formula>
    </cfRule>
  </conditionalFormatting>
  <conditionalFormatting sqref="B793:D793 F793:G793 I793:P793">
    <cfRule type="expression" dxfId="1808" priority="1774" stopIfTrue="1">
      <formula>IF($A793&lt;&gt;"",IF(B793="",TRUE,FALSE),FALSE)</formula>
    </cfRule>
  </conditionalFormatting>
  <conditionalFormatting sqref="M793">
    <cfRule type="expression" dxfId="1807" priority="1773" stopIfTrue="1">
      <formula>IF($F793="I",TRUE,FALSE)</formula>
    </cfRule>
  </conditionalFormatting>
  <conditionalFormatting sqref="B794:D794 F794:G794 I794:P794">
    <cfRule type="expression" dxfId="1806" priority="1772" stopIfTrue="1">
      <formula>IF($A794&lt;&gt;"",IF(B794="",TRUE,FALSE),FALSE)</formula>
    </cfRule>
  </conditionalFormatting>
  <conditionalFormatting sqref="M794">
    <cfRule type="expression" dxfId="1805" priority="1771" stopIfTrue="1">
      <formula>IF($F794="I",TRUE,FALSE)</formula>
    </cfRule>
  </conditionalFormatting>
  <conditionalFormatting sqref="B795:D795 F795:G795 I795:P795">
    <cfRule type="expression" dxfId="1804" priority="1770" stopIfTrue="1">
      <formula>IF($A795&lt;&gt;"",IF(B795="",TRUE,FALSE),FALSE)</formula>
    </cfRule>
  </conditionalFormatting>
  <conditionalFormatting sqref="M795">
    <cfRule type="expression" dxfId="1803" priority="1769" stopIfTrue="1">
      <formula>IF($F795="I",TRUE,FALSE)</formula>
    </cfRule>
  </conditionalFormatting>
  <conditionalFormatting sqref="B796:D796 F796:G796 I796:P796">
    <cfRule type="expression" dxfId="1802" priority="1768" stopIfTrue="1">
      <formula>IF($A796&lt;&gt;"",IF(B796="",TRUE,FALSE),FALSE)</formula>
    </cfRule>
  </conditionalFormatting>
  <conditionalFormatting sqref="M796">
    <cfRule type="expression" dxfId="1801" priority="1767" stopIfTrue="1">
      <formula>IF($F796="I",TRUE,FALSE)</formula>
    </cfRule>
  </conditionalFormatting>
  <conditionalFormatting sqref="B797:D797 F797:G797 I797:P797">
    <cfRule type="expression" dxfId="1800" priority="1766" stopIfTrue="1">
      <formula>IF($A797&lt;&gt;"",IF(B797="",TRUE,FALSE),FALSE)</formula>
    </cfRule>
  </conditionalFormatting>
  <conditionalFormatting sqref="M797">
    <cfRule type="expression" dxfId="1799" priority="1765" stopIfTrue="1">
      <formula>IF($F797="I",TRUE,FALSE)</formula>
    </cfRule>
  </conditionalFormatting>
  <conditionalFormatting sqref="B798:D798 F798:G798 I798:P798">
    <cfRule type="expression" dxfId="1798" priority="1764" stopIfTrue="1">
      <formula>IF($A798&lt;&gt;"",IF(B798="",TRUE,FALSE),FALSE)</formula>
    </cfRule>
  </conditionalFormatting>
  <conditionalFormatting sqref="M798">
    <cfRule type="expression" dxfId="1797" priority="1763" stopIfTrue="1">
      <formula>IF($F798="I",TRUE,FALSE)</formula>
    </cfRule>
  </conditionalFormatting>
  <conditionalFormatting sqref="B799:D799 F799:G799 I799:P799">
    <cfRule type="expression" dxfId="1796" priority="1762" stopIfTrue="1">
      <formula>IF($A799&lt;&gt;"",IF(B799="",TRUE,FALSE),FALSE)</formula>
    </cfRule>
  </conditionalFormatting>
  <conditionalFormatting sqref="M799">
    <cfRule type="expression" dxfId="1795" priority="1761" stopIfTrue="1">
      <formula>IF($F799="I",TRUE,FALSE)</formula>
    </cfRule>
  </conditionalFormatting>
  <conditionalFormatting sqref="B800:D800 F800:G800 I800:P800">
    <cfRule type="expression" dxfId="1794" priority="1760" stopIfTrue="1">
      <formula>IF($A800&lt;&gt;"",IF(B800="",TRUE,FALSE),FALSE)</formula>
    </cfRule>
  </conditionalFormatting>
  <conditionalFormatting sqref="M800">
    <cfRule type="expression" dxfId="1793" priority="1759" stopIfTrue="1">
      <formula>IF($F800="I",TRUE,FALSE)</formula>
    </cfRule>
  </conditionalFormatting>
  <conditionalFormatting sqref="B801:D801 F801:G801 I801:P801">
    <cfRule type="expression" dxfId="1792" priority="1758" stopIfTrue="1">
      <formula>IF($A801&lt;&gt;"",IF(B801="",TRUE,FALSE),FALSE)</formula>
    </cfRule>
  </conditionalFormatting>
  <conditionalFormatting sqref="M801">
    <cfRule type="expression" dxfId="1791" priority="1757" stopIfTrue="1">
      <formula>IF($F801="I",TRUE,FALSE)</formula>
    </cfRule>
  </conditionalFormatting>
  <conditionalFormatting sqref="B802:D802 F802:G802 I802:P802">
    <cfRule type="expression" dxfId="1790" priority="1756" stopIfTrue="1">
      <formula>IF($A802&lt;&gt;"",IF(B802="",TRUE,FALSE),FALSE)</formula>
    </cfRule>
  </conditionalFormatting>
  <conditionalFormatting sqref="M802">
    <cfRule type="expression" dxfId="1789" priority="1755" stopIfTrue="1">
      <formula>IF($F802="I",TRUE,FALSE)</formula>
    </cfRule>
  </conditionalFormatting>
  <conditionalFormatting sqref="B803:D803 F803:G803 I803:P803">
    <cfRule type="expression" dxfId="1788" priority="1754" stopIfTrue="1">
      <formula>IF($A803&lt;&gt;"",IF(B803="",TRUE,FALSE),FALSE)</formula>
    </cfRule>
  </conditionalFormatting>
  <conditionalFormatting sqref="M803">
    <cfRule type="expression" dxfId="1787" priority="1753" stopIfTrue="1">
      <formula>IF($F803="I",TRUE,FALSE)</formula>
    </cfRule>
  </conditionalFormatting>
  <conditionalFormatting sqref="B804:D804 F804:G804 I804:P804">
    <cfRule type="expression" dxfId="1786" priority="1752" stopIfTrue="1">
      <formula>IF($A804&lt;&gt;"",IF(B804="",TRUE,FALSE),FALSE)</formula>
    </cfRule>
  </conditionalFormatting>
  <conditionalFormatting sqref="M804">
    <cfRule type="expression" dxfId="1785" priority="1751" stopIfTrue="1">
      <formula>IF($F804="I",TRUE,FALSE)</formula>
    </cfRule>
  </conditionalFormatting>
  <conditionalFormatting sqref="B805:D805 F805:G805 I805:P805">
    <cfRule type="expression" dxfId="1784" priority="1750" stopIfTrue="1">
      <formula>IF($A805&lt;&gt;"",IF(B805="",TRUE,FALSE),FALSE)</formula>
    </cfRule>
  </conditionalFormatting>
  <conditionalFormatting sqref="M805">
    <cfRule type="expression" dxfId="1783" priority="1749" stopIfTrue="1">
      <formula>IF($F805="I",TRUE,FALSE)</formula>
    </cfRule>
  </conditionalFormatting>
  <conditionalFormatting sqref="B806:D806 F806:G806 I806:P806">
    <cfRule type="expression" dxfId="1782" priority="1748" stopIfTrue="1">
      <formula>IF($A806&lt;&gt;"",IF(B806="",TRUE,FALSE),FALSE)</formula>
    </cfRule>
  </conditionalFormatting>
  <conditionalFormatting sqref="M806">
    <cfRule type="expression" dxfId="1781" priority="1747" stopIfTrue="1">
      <formula>IF($F806="I",TRUE,FALSE)</formula>
    </cfRule>
  </conditionalFormatting>
  <conditionalFormatting sqref="B807:D807 F807:G807 I807:P807">
    <cfRule type="expression" dxfId="1780" priority="1746" stopIfTrue="1">
      <formula>IF($A807&lt;&gt;"",IF(B807="",TRUE,FALSE),FALSE)</formula>
    </cfRule>
  </conditionalFormatting>
  <conditionalFormatting sqref="M807">
    <cfRule type="expression" dxfId="1779" priority="1745" stopIfTrue="1">
      <formula>IF($F807="I",TRUE,FALSE)</formula>
    </cfRule>
  </conditionalFormatting>
  <conditionalFormatting sqref="B808:D808 F808:G808 I808:P808">
    <cfRule type="expression" dxfId="1778" priority="1744" stopIfTrue="1">
      <formula>IF($A808&lt;&gt;"",IF(B808="",TRUE,FALSE),FALSE)</formula>
    </cfRule>
  </conditionalFormatting>
  <conditionalFormatting sqref="M808">
    <cfRule type="expression" dxfId="1777" priority="1743" stopIfTrue="1">
      <formula>IF($F808="I",TRUE,FALSE)</formula>
    </cfRule>
  </conditionalFormatting>
  <conditionalFormatting sqref="B809:D809 F809:G809 I809:P809">
    <cfRule type="expression" dxfId="1776" priority="1742" stopIfTrue="1">
      <formula>IF($A809&lt;&gt;"",IF(B809="",TRUE,FALSE),FALSE)</formula>
    </cfRule>
  </conditionalFormatting>
  <conditionalFormatting sqref="M809">
    <cfRule type="expression" dxfId="1775" priority="1741" stopIfTrue="1">
      <formula>IF($F809="I",TRUE,FALSE)</formula>
    </cfRule>
  </conditionalFormatting>
  <conditionalFormatting sqref="B810:D810 F810:G810 I810:P810">
    <cfRule type="expression" dxfId="1774" priority="1740" stopIfTrue="1">
      <formula>IF($A810&lt;&gt;"",IF(B810="",TRUE,FALSE),FALSE)</formula>
    </cfRule>
  </conditionalFormatting>
  <conditionalFormatting sqref="M810">
    <cfRule type="expression" dxfId="1773" priority="1739" stopIfTrue="1">
      <formula>IF($F810="I",TRUE,FALSE)</formula>
    </cfRule>
  </conditionalFormatting>
  <conditionalFormatting sqref="B811:D811 F811:G811 I811:P811">
    <cfRule type="expression" dxfId="1772" priority="1738" stopIfTrue="1">
      <formula>IF($A811&lt;&gt;"",IF(B811="",TRUE,FALSE),FALSE)</formula>
    </cfRule>
  </conditionalFormatting>
  <conditionalFormatting sqref="M811">
    <cfRule type="expression" dxfId="1771" priority="1737" stopIfTrue="1">
      <formula>IF($F811="I",TRUE,FALSE)</formula>
    </cfRule>
  </conditionalFormatting>
  <conditionalFormatting sqref="B812:D812 F812:G812 I812:P812">
    <cfRule type="expression" dxfId="1770" priority="1736" stopIfTrue="1">
      <formula>IF($A812&lt;&gt;"",IF(B812="",TRUE,FALSE),FALSE)</formula>
    </cfRule>
  </conditionalFormatting>
  <conditionalFormatting sqref="M812">
    <cfRule type="expression" dxfId="1769" priority="1735" stopIfTrue="1">
      <formula>IF($F812="I",TRUE,FALSE)</formula>
    </cfRule>
  </conditionalFormatting>
  <conditionalFormatting sqref="B813:D813 F813:G813 I813:P813">
    <cfRule type="expression" dxfId="1768" priority="1734" stopIfTrue="1">
      <formula>IF($A813&lt;&gt;"",IF(B813="",TRUE,FALSE),FALSE)</formula>
    </cfRule>
  </conditionalFormatting>
  <conditionalFormatting sqref="M813">
    <cfRule type="expression" dxfId="1767" priority="1733" stopIfTrue="1">
      <formula>IF($F813="I",TRUE,FALSE)</formula>
    </cfRule>
  </conditionalFormatting>
  <conditionalFormatting sqref="B814:D814 F814:G814 I814:P814">
    <cfRule type="expression" dxfId="1766" priority="1732" stopIfTrue="1">
      <formula>IF($A814&lt;&gt;"",IF(B814="",TRUE,FALSE),FALSE)</formula>
    </cfRule>
  </conditionalFormatting>
  <conditionalFormatting sqref="M814">
    <cfRule type="expression" dxfId="1765" priority="1731" stopIfTrue="1">
      <formula>IF($F814="I",TRUE,FALSE)</formula>
    </cfRule>
  </conditionalFormatting>
  <conditionalFormatting sqref="B815:D815 F815:G815 I815:P815">
    <cfRule type="expression" dxfId="1764" priority="1730" stopIfTrue="1">
      <formula>IF($A815&lt;&gt;"",IF(B815="",TRUE,FALSE),FALSE)</formula>
    </cfRule>
  </conditionalFormatting>
  <conditionalFormatting sqref="M815">
    <cfRule type="expression" dxfId="1763" priority="1729" stopIfTrue="1">
      <formula>IF($F815="I",TRUE,FALSE)</formula>
    </cfRule>
  </conditionalFormatting>
  <conditionalFormatting sqref="B816:D816 F816:G816 I816:P816">
    <cfRule type="expression" dxfId="1762" priority="1728" stopIfTrue="1">
      <formula>IF($A816&lt;&gt;"",IF(B816="",TRUE,FALSE),FALSE)</formula>
    </cfRule>
  </conditionalFormatting>
  <conditionalFormatting sqref="M816">
    <cfRule type="expression" dxfId="1761" priority="1727" stopIfTrue="1">
      <formula>IF($F816="I",TRUE,FALSE)</formula>
    </cfRule>
  </conditionalFormatting>
  <conditionalFormatting sqref="B817:D817 F817:G817 I817:P817">
    <cfRule type="expression" dxfId="1760" priority="1726" stopIfTrue="1">
      <formula>IF($A817&lt;&gt;"",IF(B817="",TRUE,FALSE),FALSE)</formula>
    </cfRule>
  </conditionalFormatting>
  <conditionalFormatting sqref="M817">
    <cfRule type="expression" dxfId="1759" priority="1725" stopIfTrue="1">
      <formula>IF($F817="I",TRUE,FALSE)</formula>
    </cfRule>
  </conditionalFormatting>
  <conditionalFormatting sqref="B818:D818 F818:G818 I818:P818">
    <cfRule type="expression" dxfId="1758" priority="1724" stopIfTrue="1">
      <formula>IF($A818&lt;&gt;"",IF(B818="",TRUE,FALSE),FALSE)</formula>
    </cfRule>
  </conditionalFormatting>
  <conditionalFormatting sqref="M818">
    <cfRule type="expression" dxfId="1757" priority="1723" stopIfTrue="1">
      <formula>IF($F818="I",TRUE,FALSE)</formula>
    </cfRule>
  </conditionalFormatting>
  <conditionalFormatting sqref="B819:D819 F819:G819 I819:P819">
    <cfRule type="expression" dxfId="1756" priority="1722" stopIfTrue="1">
      <formula>IF($A819&lt;&gt;"",IF(B819="",TRUE,FALSE),FALSE)</formula>
    </cfRule>
  </conditionalFormatting>
  <conditionalFormatting sqref="M819">
    <cfRule type="expression" dxfId="1755" priority="1721" stopIfTrue="1">
      <formula>IF($F819="I",TRUE,FALSE)</formula>
    </cfRule>
  </conditionalFormatting>
  <conditionalFormatting sqref="B820:D820 F820:G820 I820:P820">
    <cfRule type="expression" dxfId="1754" priority="1720" stopIfTrue="1">
      <formula>IF($A820&lt;&gt;"",IF(B820="",TRUE,FALSE),FALSE)</formula>
    </cfRule>
  </conditionalFormatting>
  <conditionalFormatting sqref="M820">
    <cfRule type="expression" dxfId="1753" priority="1719" stopIfTrue="1">
      <formula>IF($F820="I",TRUE,FALSE)</formula>
    </cfRule>
  </conditionalFormatting>
  <conditionalFormatting sqref="B821:D821 F821:G821 I821:P821">
    <cfRule type="expression" dxfId="1752" priority="1718" stopIfTrue="1">
      <formula>IF($A821&lt;&gt;"",IF(B821="",TRUE,FALSE),FALSE)</formula>
    </cfRule>
  </conditionalFormatting>
  <conditionalFormatting sqref="M821">
    <cfRule type="expression" dxfId="1751" priority="1717" stopIfTrue="1">
      <formula>IF($F821="I",TRUE,FALSE)</formula>
    </cfRule>
  </conditionalFormatting>
  <conditionalFormatting sqref="B822:D822 F822:G822 I822:P822">
    <cfRule type="expression" dxfId="1750" priority="1716" stopIfTrue="1">
      <formula>IF($A822&lt;&gt;"",IF(B822="",TRUE,FALSE),FALSE)</formula>
    </cfRule>
  </conditionalFormatting>
  <conditionalFormatting sqref="M822">
    <cfRule type="expression" dxfId="1749" priority="1715" stopIfTrue="1">
      <formula>IF($F822="I",TRUE,FALSE)</formula>
    </cfRule>
  </conditionalFormatting>
  <conditionalFormatting sqref="B823:D823 F823:G823 I823:P823">
    <cfRule type="expression" dxfId="1748" priority="1714" stopIfTrue="1">
      <formula>IF($A823&lt;&gt;"",IF(B823="",TRUE,FALSE),FALSE)</formula>
    </cfRule>
  </conditionalFormatting>
  <conditionalFormatting sqref="M823">
    <cfRule type="expression" dxfId="1747" priority="1713" stopIfTrue="1">
      <formula>IF($F823="I",TRUE,FALSE)</formula>
    </cfRule>
  </conditionalFormatting>
  <conditionalFormatting sqref="B824:D824 F824:G824 I824:P824">
    <cfRule type="expression" dxfId="1746" priority="1712" stopIfTrue="1">
      <formula>IF($A824&lt;&gt;"",IF(B824="",TRUE,FALSE),FALSE)</formula>
    </cfRule>
  </conditionalFormatting>
  <conditionalFormatting sqref="M824">
    <cfRule type="expression" dxfId="1745" priority="1711" stopIfTrue="1">
      <formula>IF($F824="I",TRUE,FALSE)</formula>
    </cfRule>
  </conditionalFormatting>
  <conditionalFormatting sqref="B825:D825 F825:G825 I825:P825">
    <cfRule type="expression" dxfId="1744" priority="1710" stopIfTrue="1">
      <formula>IF($A825&lt;&gt;"",IF(B825="",TRUE,FALSE),FALSE)</formula>
    </cfRule>
  </conditionalFormatting>
  <conditionalFormatting sqref="M825">
    <cfRule type="expression" dxfId="1743" priority="1709" stopIfTrue="1">
      <formula>IF($F825="I",TRUE,FALSE)</formula>
    </cfRule>
  </conditionalFormatting>
  <conditionalFormatting sqref="B826:D826 F826:G826 I826:P826">
    <cfRule type="expression" dxfId="1742" priority="1708" stopIfTrue="1">
      <formula>IF($A826&lt;&gt;"",IF(B826="",TRUE,FALSE),FALSE)</formula>
    </cfRule>
  </conditionalFormatting>
  <conditionalFormatting sqref="M826">
    <cfRule type="expression" dxfId="1741" priority="1707" stopIfTrue="1">
      <formula>IF($F826="I",TRUE,FALSE)</formula>
    </cfRule>
  </conditionalFormatting>
  <conditionalFormatting sqref="B827:D827 F827:G827 I827:P827">
    <cfRule type="expression" dxfId="1740" priority="1706" stopIfTrue="1">
      <formula>IF($A827&lt;&gt;"",IF(B827="",TRUE,FALSE),FALSE)</formula>
    </cfRule>
  </conditionalFormatting>
  <conditionalFormatting sqref="M827">
    <cfRule type="expression" dxfId="1739" priority="1705" stopIfTrue="1">
      <formula>IF($F827="I",TRUE,FALSE)</formula>
    </cfRule>
  </conditionalFormatting>
  <conditionalFormatting sqref="B828:D828 F828:G828 I828:P828">
    <cfRule type="expression" dxfId="1738" priority="1704" stopIfTrue="1">
      <formula>IF($A828&lt;&gt;"",IF(B828="",TRUE,FALSE),FALSE)</formula>
    </cfRule>
  </conditionalFormatting>
  <conditionalFormatting sqref="M828">
    <cfRule type="expression" dxfId="1737" priority="1703" stopIfTrue="1">
      <formula>IF($F828="I",TRUE,FALSE)</formula>
    </cfRule>
  </conditionalFormatting>
  <conditionalFormatting sqref="B829:D829 F829:G829 I829:P829">
    <cfRule type="expression" dxfId="1736" priority="1702" stopIfTrue="1">
      <formula>IF($A829&lt;&gt;"",IF(B829="",TRUE,FALSE),FALSE)</formula>
    </cfRule>
  </conditionalFormatting>
  <conditionalFormatting sqref="M829">
    <cfRule type="expression" dxfId="1735" priority="1701" stopIfTrue="1">
      <formula>IF($F829="I",TRUE,FALSE)</formula>
    </cfRule>
  </conditionalFormatting>
  <conditionalFormatting sqref="B830:D830 F830:G830 I830:P830">
    <cfRule type="expression" dxfId="1734" priority="1700" stopIfTrue="1">
      <formula>IF($A830&lt;&gt;"",IF(B830="",TRUE,FALSE),FALSE)</formula>
    </cfRule>
  </conditionalFormatting>
  <conditionalFormatting sqref="M830">
    <cfRule type="expression" dxfId="1733" priority="1699" stopIfTrue="1">
      <formula>IF($F830="I",TRUE,FALSE)</formula>
    </cfRule>
  </conditionalFormatting>
  <conditionalFormatting sqref="B831:D831 F831:G831 I831:P831">
    <cfRule type="expression" dxfId="1732" priority="1698" stopIfTrue="1">
      <formula>IF($A831&lt;&gt;"",IF(B831="",TRUE,FALSE),FALSE)</formula>
    </cfRule>
  </conditionalFormatting>
  <conditionalFormatting sqref="M831">
    <cfRule type="expression" dxfId="1731" priority="1697" stopIfTrue="1">
      <formula>IF($F831="I",TRUE,FALSE)</formula>
    </cfRule>
  </conditionalFormatting>
  <conditionalFormatting sqref="B832:D832 F832:G832 I832:P832">
    <cfRule type="expression" dxfId="1730" priority="1696" stopIfTrue="1">
      <formula>IF($A832&lt;&gt;"",IF(B832="",TRUE,FALSE),FALSE)</formula>
    </cfRule>
  </conditionalFormatting>
  <conditionalFormatting sqref="M832">
    <cfRule type="expression" dxfId="1729" priority="1695" stopIfTrue="1">
      <formula>IF($F832="I",TRUE,FALSE)</formula>
    </cfRule>
  </conditionalFormatting>
  <conditionalFormatting sqref="B833:D833 F833:G833 I833:P833">
    <cfRule type="expression" dxfId="1728" priority="1694" stopIfTrue="1">
      <formula>IF($A833&lt;&gt;"",IF(B833="",TRUE,FALSE),FALSE)</formula>
    </cfRule>
  </conditionalFormatting>
  <conditionalFormatting sqref="M833">
    <cfRule type="expression" dxfId="1727" priority="1693" stopIfTrue="1">
      <formula>IF($F833="I",TRUE,FALSE)</formula>
    </cfRule>
  </conditionalFormatting>
  <conditionalFormatting sqref="B834:D834 F834:G834 I834:P834">
    <cfRule type="expression" dxfId="1726" priority="1692" stopIfTrue="1">
      <formula>IF($A834&lt;&gt;"",IF(B834="",TRUE,FALSE),FALSE)</formula>
    </cfRule>
  </conditionalFormatting>
  <conditionalFormatting sqref="M834">
    <cfRule type="expression" dxfId="1725" priority="1691" stopIfTrue="1">
      <formula>IF($F834="I",TRUE,FALSE)</formula>
    </cfRule>
  </conditionalFormatting>
  <conditionalFormatting sqref="B835:D835 F835:G835 I835:P835">
    <cfRule type="expression" dxfId="1724" priority="1690" stopIfTrue="1">
      <formula>IF($A835&lt;&gt;"",IF(B835="",TRUE,FALSE),FALSE)</formula>
    </cfRule>
  </conditionalFormatting>
  <conditionalFormatting sqref="M835">
    <cfRule type="expression" dxfId="1723" priority="1689" stopIfTrue="1">
      <formula>IF($F835="I",TRUE,FALSE)</formula>
    </cfRule>
  </conditionalFormatting>
  <conditionalFormatting sqref="B836:D836 F836:G836 I836:P836">
    <cfRule type="expression" dxfId="1722" priority="1688" stopIfTrue="1">
      <formula>IF($A836&lt;&gt;"",IF(B836="",TRUE,FALSE),FALSE)</formula>
    </cfRule>
  </conditionalFormatting>
  <conditionalFormatting sqref="M836">
    <cfRule type="expression" dxfId="1721" priority="1687" stopIfTrue="1">
      <formula>IF($F836="I",TRUE,FALSE)</formula>
    </cfRule>
  </conditionalFormatting>
  <conditionalFormatting sqref="B837:D837 F837:G837 I837:P837">
    <cfRule type="expression" dxfId="1720" priority="1686" stopIfTrue="1">
      <formula>IF($A837&lt;&gt;"",IF(B837="",TRUE,FALSE),FALSE)</formula>
    </cfRule>
  </conditionalFormatting>
  <conditionalFormatting sqref="M837">
    <cfRule type="expression" dxfId="1719" priority="1685" stopIfTrue="1">
      <formula>IF($F837="I",TRUE,FALSE)</formula>
    </cfRule>
  </conditionalFormatting>
  <conditionalFormatting sqref="B838:D838 F838:G838 I838:P838">
    <cfRule type="expression" dxfId="1718" priority="1684" stopIfTrue="1">
      <formula>IF($A838&lt;&gt;"",IF(B838="",TRUE,FALSE),FALSE)</formula>
    </cfRule>
  </conditionalFormatting>
  <conditionalFormatting sqref="M838">
    <cfRule type="expression" dxfId="1717" priority="1683" stopIfTrue="1">
      <formula>IF($F838="I",TRUE,FALSE)</formula>
    </cfRule>
  </conditionalFormatting>
  <conditionalFormatting sqref="B839:D839 F839:G839 I839:P839">
    <cfRule type="expression" dxfId="1716" priority="1682" stopIfTrue="1">
      <formula>IF($A839&lt;&gt;"",IF(B839="",TRUE,FALSE),FALSE)</formula>
    </cfRule>
  </conditionalFormatting>
  <conditionalFormatting sqref="M839">
    <cfRule type="expression" dxfId="1715" priority="1681" stopIfTrue="1">
      <formula>IF($F839="I",TRUE,FALSE)</formula>
    </cfRule>
  </conditionalFormatting>
  <conditionalFormatting sqref="B840:D840 F840:G840 I840:P840">
    <cfRule type="expression" dxfId="1714" priority="1680" stopIfTrue="1">
      <formula>IF($A840&lt;&gt;"",IF(B840="",TRUE,FALSE),FALSE)</formula>
    </cfRule>
  </conditionalFormatting>
  <conditionalFormatting sqref="M840">
    <cfRule type="expression" dxfId="1713" priority="1679" stopIfTrue="1">
      <formula>IF($F840="I",TRUE,FALSE)</formula>
    </cfRule>
  </conditionalFormatting>
  <conditionalFormatting sqref="B841:D841 F841:G841 I841:P841">
    <cfRule type="expression" dxfId="1712" priority="1678" stopIfTrue="1">
      <formula>IF($A841&lt;&gt;"",IF(B841="",TRUE,FALSE),FALSE)</formula>
    </cfRule>
  </conditionalFormatting>
  <conditionalFormatting sqref="M841">
    <cfRule type="expression" dxfId="1711" priority="1677" stopIfTrue="1">
      <formula>IF($F841="I",TRUE,FALSE)</formula>
    </cfRule>
  </conditionalFormatting>
  <conditionalFormatting sqref="B842:D842 F842:G842 I842:P842">
    <cfRule type="expression" dxfId="1710" priority="1676" stopIfTrue="1">
      <formula>IF($A842&lt;&gt;"",IF(B842="",TRUE,FALSE),FALSE)</formula>
    </cfRule>
  </conditionalFormatting>
  <conditionalFormatting sqref="M842">
    <cfRule type="expression" dxfId="1709" priority="1675" stopIfTrue="1">
      <formula>IF($F842="I",TRUE,FALSE)</formula>
    </cfRule>
  </conditionalFormatting>
  <conditionalFormatting sqref="B843:D843 F843:G843 I843:P843">
    <cfRule type="expression" dxfId="1708" priority="1674" stopIfTrue="1">
      <formula>IF($A843&lt;&gt;"",IF(B843="",TRUE,FALSE),FALSE)</formula>
    </cfRule>
  </conditionalFormatting>
  <conditionalFormatting sqref="M843">
    <cfRule type="expression" dxfId="1707" priority="1673" stopIfTrue="1">
      <formula>IF($F843="I",TRUE,FALSE)</formula>
    </cfRule>
  </conditionalFormatting>
  <conditionalFormatting sqref="B844:D844 F844:G844 I844:P844">
    <cfRule type="expression" dxfId="1706" priority="1672" stopIfTrue="1">
      <formula>IF($A844&lt;&gt;"",IF(B844="",TRUE,FALSE),FALSE)</formula>
    </cfRule>
  </conditionalFormatting>
  <conditionalFormatting sqref="M844">
    <cfRule type="expression" dxfId="1705" priority="1671" stopIfTrue="1">
      <formula>IF($F844="I",TRUE,FALSE)</formula>
    </cfRule>
  </conditionalFormatting>
  <conditionalFormatting sqref="B845:D845 F845:G845 I845:P845">
    <cfRule type="expression" dxfId="1704" priority="1670" stopIfTrue="1">
      <formula>IF($A845&lt;&gt;"",IF(B845="",TRUE,FALSE),FALSE)</formula>
    </cfRule>
  </conditionalFormatting>
  <conditionalFormatting sqref="M845">
    <cfRule type="expression" dxfId="1703" priority="1669" stopIfTrue="1">
      <formula>IF($F845="I",TRUE,FALSE)</formula>
    </cfRule>
  </conditionalFormatting>
  <conditionalFormatting sqref="B846:D846 F846:G846 I846:P846">
    <cfRule type="expression" dxfId="1702" priority="1668" stopIfTrue="1">
      <formula>IF($A846&lt;&gt;"",IF(B846="",TRUE,FALSE),FALSE)</formula>
    </cfRule>
  </conditionalFormatting>
  <conditionalFormatting sqref="M846">
    <cfRule type="expression" dxfId="1701" priority="1667" stopIfTrue="1">
      <formula>IF($F846="I",TRUE,FALSE)</formula>
    </cfRule>
  </conditionalFormatting>
  <conditionalFormatting sqref="B847:D847 F847:G847 I847:P847">
    <cfRule type="expression" dxfId="1700" priority="1666" stopIfTrue="1">
      <formula>IF($A847&lt;&gt;"",IF(B847="",TRUE,FALSE),FALSE)</formula>
    </cfRule>
  </conditionalFormatting>
  <conditionalFormatting sqref="M847">
    <cfRule type="expression" dxfId="1699" priority="1665" stopIfTrue="1">
      <formula>IF($F847="I",TRUE,FALSE)</formula>
    </cfRule>
  </conditionalFormatting>
  <conditionalFormatting sqref="B848:D848 F848:G848 I848:P848">
    <cfRule type="expression" dxfId="1698" priority="1664" stopIfTrue="1">
      <formula>IF($A848&lt;&gt;"",IF(B848="",TRUE,FALSE),FALSE)</formula>
    </cfRule>
  </conditionalFormatting>
  <conditionalFormatting sqref="M848">
    <cfRule type="expression" dxfId="1697" priority="1663" stopIfTrue="1">
      <formula>IF($F848="I",TRUE,FALSE)</formula>
    </cfRule>
  </conditionalFormatting>
  <conditionalFormatting sqref="B849:D849 F849:G849 I849:P849">
    <cfRule type="expression" dxfId="1696" priority="1662" stopIfTrue="1">
      <formula>IF($A849&lt;&gt;"",IF(B849="",TRUE,FALSE),FALSE)</formula>
    </cfRule>
  </conditionalFormatting>
  <conditionalFormatting sqref="M849">
    <cfRule type="expression" dxfId="1695" priority="1661" stopIfTrue="1">
      <formula>IF($F849="I",TRUE,FALSE)</formula>
    </cfRule>
  </conditionalFormatting>
  <conditionalFormatting sqref="B850:D850 F850:G850 I850:P850">
    <cfRule type="expression" dxfId="1694" priority="1660" stopIfTrue="1">
      <formula>IF($A850&lt;&gt;"",IF(B850="",TRUE,FALSE),FALSE)</formula>
    </cfRule>
  </conditionalFormatting>
  <conditionalFormatting sqref="M850">
    <cfRule type="expression" dxfId="1693" priority="1659" stopIfTrue="1">
      <formula>IF($F850="I",TRUE,FALSE)</formula>
    </cfRule>
  </conditionalFormatting>
  <conditionalFormatting sqref="B851:D851 F851:G851 I851:P851">
    <cfRule type="expression" dxfId="1692" priority="1658" stopIfTrue="1">
      <formula>IF($A851&lt;&gt;"",IF(B851="",TRUE,FALSE),FALSE)</formula>
    </cfRule>
  </conditionalFormatting>
  <conditionalFormatting sqref="M851">
    <cfRule type="expression" dxfId="1691" priority="1657" stopIfTrue="1">
      <formula>IF($F851="I",TRUE,FALSE)</formula>
    </cfRule>
  </conditionalFormatting>
  <conditionalFormatting sqref="B852:D852 F852:G852 I852:P852">
    <cfRule type="expression" dxfId="1690" priority="1656" stopIfTrue="1">
      <formula>IF($A852&lt;&gt;"",IF(B852="",TRUE,FALSE),FALSE)</formula>
    </cfRule>
  </conditionalFormatting>
  <conditionalFormatting sqref="M852">
    <cfRule type="expression" dxfId="1689" priority="1655" stopIfTrue="1">
      <formula>IF($F852="I",TRUE,FALSE)</formula>
    </cfRule>
  </conditionalFormatting>
  <conditionalFormatting sqref="B853:D853 F853:G853 I853:P853">
    <cfRule type="expression" dxfId="1688" priority="1654" stopIfTrue="1">
      <formula>IF($A853&lt;&gt;"",IF(B853="",TRUE,FALSE),FALSE)</formula>
    </cfRule>
  </conditionalFormatting>
  <conditionalFormatting sqref="M853">
    <cfRule type="expression" dxfId="1687" priority="1653" stopIfTrue="1">
      <formula>IF($F853="I",TRUE,FALSE)</formula>
    </cfRule>
  </conditionalFormatting>
  <conditionalFormatting sqref="B854:D854 F854:G854 I854:P854">
    <cfRule type="expression" dxfId="1686" priority="1652" stopIfTrue="1">
      <formula>IF($A854&lt;&gt;"",IF(B854="",TRUE,FALSE),FALSE)</formula>
    </cfRule>
  </conditionalFormatting>
  <conditionalFormatting sqref="M854">
    <cfRule type="expression" dxfId="1685" priority="1651" stopIfTrue="1">
      <formula>IF($F854="I",TRUE,FALSE)</formula>
    </cfRule>
  </conditionalFormatting>
  <conditionalFormatting sqref="B855:D855 F855:G855 I855:P855">
    <cfRule type="expression" dxfId="1684" priority="1650" stopIfTrue="1">
      <formula>IF($A855&lt;&gt;"",IF(B855="",TRUE,FALSE),FALSE)</formula>
    </cfRule>
  </conditionalFormatting>
  <conditionalFormatting sqref="M855">
    <cfRule type="expression" dxfId="1683" priority="1649" stopIfTrue="1">
      <formula>IF($F855="I",TRUE,FALSE)</formula>
    </cfRule>
  </conditionalFormatting>
  <conditionalFormatting sqref="B856:D856 F856:G856 I856:P856">
    <cfRule type="expression" dxfId="1682" priority="1648" stopIfTrue="1">
      <formula>IF($A856&lt;&gt;"",IF(B856="",TRUE,FALSE),FALSE)</formula>
    </cfRule>
  </conditionalFormatting>
  <conditionalFormatting sqref="M856">
    <cfRule type="expression" dxfId="1681" priority="1647" stopIfTrue="1">
      <formula>IF($F856="I",TRUE,FALSE)</formula>
    </cfRule>
  </conditionalFormatting>
  <conditionalFormatting sqref="B857:D857 F857:G857 I857:P857">
    <cfRule type="expression" dxfId="1680" priority="1646" stopIfTrue="1">
      <formula>IF($A857&lt;&gt;"",IF(B857="",TRUE,FALSE),FALSE)</formula>
    </cfRule>
  </conditionalFormatting>
  <conditionalFormatting sqref="M857">
    <cfRule type="expression" dxfId="1679" priority="1645" stopIfTrue="1">
      <formula>IF($F857="I",TRUE,FALSE)</formula>
    </cfRule>
  </conditionalFormatting>
  <conditionalFormatting sqref="B858:D858 F858:G858 I858:P858">
    <cfRule type="expression" dxfId="1678" priority="1644" stopIfTrue="1">
      <formula>IF($A858&lt;&gt;"",IF(B858="",TRUE,FALSE),FALSE)</formula>
    </cfRule>
  </conditionalFormatting>
  <conditionalFormatting sqref="M858">
    <cfRule type="expression" dxfId="1677" priority="1643" stopIfTrue="1">
      <formula>IF($F858="I",TRUE,FALSE)</formula>
    </cfRule>
  </conditionalFormatting>
  <conditionalFormatting sqref="B859:D859 F859:G859 I859:P859">
    <cfRule type="expression" dxfId="1676" priority="1642" stopIfTrue="1">
      <formula>IF($A859&lt;&gt;"",IF(B859="",TRUE,FALSE),FALSE)</formula>
    </cfRule>
  </conditionalFormatting>
  <conditionalFormatting sqref="M859">
    <cfRule type="expression" dxfId="1675" priority="1641" stopIfTrue="1">
      <formula>IF($F859="I",TRUE,FALSE)</formula>
    </cfRule>
  </conditionalFormatting>
  <conditionalFormatting sqref="B860:D860 F860:G860 I860:P860">
    <cfRule type="expression" dxfId="1674" priority="1640" stopIfTrue="1">
      <formula>IF($A860&lt;&gt;"",IF(B860="",TRUE,FALSE),FALSE)</formula>
    </cfRule>
  </conditionalFormatting>
  <conditionalFormatting sqref="M860">
    <cfRule type="expression" dxfId="1673" priority="1639" stopIfTrue="1">
      <formula>IF($F860="I",TRUE,FALSE)</formula>
    </cfRule>
  </conditionalFormatting>
  <conditionalFormatting sqref="B861:D861 F861:G861 I861:P861">
    <cfRule type="expression" dxfId="1672" priority="1638" stopIfTrue="1">
      <formula>IF($A861&lt;&gt;"",IF(B861="",TRUE,FALSE),FALSE)</formula>
    </cfRule>
  </conditionalFormatting>
  <conditionalFormatting sqref="M861">
    <cfRule type="expression" dxfId="1671" priority="1637" stopIfTrue="1">
      <formula>IF($F861="I",TRUE,FALSE)</formula>
    </cfRule>
  </conditionalFormatting>
  <conditionalFormatting sqref="B862:D862 F862:G862 I862:P862">
    <cfRule type="expression" dxfId="1670" priority="1636" stopIfTrue="1">
      <formula>IF($A862&lt;&gt;"",IF(B862="",TRUE,FALSE),FALSE)</formula>
    </cfRule>
  </conditionalFormatting>
  <conditionalFormatting sqref="M862">
    <cfRule type="expression" dxfId="1669" priority="1635" stopIfTrue="1">
      <formula>IF($F862="I",TRUE,FALSE)</formula>
    </cfRule>
  </conditionalFormatting>
  <conditionalFormatting sqref="B863:D863 F863:G863 I863:P863">
    <cfRule type="expression" dxfId="1668" priority="1634" stopIfTrue="1">
      <formula>IF($A863&lt;&gt;"",IF(B863="",TRUE,FALSE),FALSE)</formula>
    </cfRule>
  </conditionalFormatting>
  <conditionalFormatting sqref="M863">
    <cfRule type="expression" dxfId="1667" priority="1633" stopIfTrue="1">
      <formula>IF($F863="I",TRUE,FALSE)</formula>
    </cfRule>
  </conditionalFormatting>
  <conditionalFormatting sqref="B864:D864 F864:G864 I864:P864">
    <cfRule type="expression" dxfId="1666" priority="1632" stopIfTrue="1">
      <formula>IF($A864&lt;&gt;"",IF(B864="",TRUE,FALSE),FALSE)</formula>
    </cfRule>
  </conditionalFormatting>
  <conditionalFormatting sqref="M864">
    <cfRule type="expression" dxfId="1665" priority="1631" stopIfTrue="1">
      <formula>IF($F864="I",TRUE,FALSE)</formula>
    </cfRule>
  </conditionalFormatting>
  <conditionalFormatting sqref="B865:D865 F865:G865 I865:P865">
    <cfRule type="expression" dxfId="1664" priority="1630" stopIfTrue="1">
      <formula>IF($A865&lt;&gt;"",IF(B865="",TRUE,FALSE),FALSE)</formula>
    </cfRule>
  </conditionalFormatting>
  <conditionalFormatting sqref="M865">
    <cfRule type="expression" dxfId="1663" priority="1629" stopIfTrue="1">
      <formula>IF($F865="I",TRUE,FALSE)</formula>
    </cfRule>
  </conditionalFormatting>
  <conditionalFormatting sqref="B866:D866 F866:G866 I866:P866">
    <cfRule type="expression" dxfId="1662" priority="1628" stopIfTrue="1">
      <formula>IF($A866&lt;&gt;"",IF(B866="",TRUE,FALSE),FALSE)</formula>
    </cfRule>
  </conditionalFormatting>
  <conditionalFormatting sqref="M866">
    <cfRule type="expression" dxfId="1661" priority="1627" stopIfTrue="1">
      <formula>IF($F866="I",TRUE,FALSE)</formula>
    </cfRule>
  </conditionalFormatting>
  <conditionalFormatting sqref="B867:D867 F867:G867 I867:P867">
    <cfRule type="expression" dxfId="1660" priority="1626" stopIfTrue="1">
      <formula>IF($A867&lt;&gt;"",IF(B867="",TRUE,FALSE),FALSE)</formula>
    </cfRule>
  </conditionalFormatting>
  <conditionalFormatting sqref="M867">
    <cfRule type="expression" dxfId="1659" priority="1625" stopIfTrue="1">
      <formula>IF($F867="I",TRUE,FALSE)</formula>
    </cfRule>
  </conditionalFormatting>
  <conditionalFormatting sqref="B868:D868 F868:G868 I868:P868">
    <cfRule type="expression" dxfId="1658" priority="1624" stopIfTrue="1">
      <formula>IF($A868&lt;&gt;"",IF(B868="",TRUE,FALSE),FALSE)</formula>
    </cfRule>
  </conditionalFormatting>
  <conditionalFormatting sqref="M868">
    <cfRule type="expression" dxfId="1657" priority="1623" stopIfTrue="1">
      <formula>IF($F868="I",TRUE,FALSE)</formula>
    </cfRule>
  </conditionalFormatting>
  <conditionalFormatting sqref="B869:D869 F869:G869 I869:P869">
    <cfRule type="expression" dxfId="1656" priority="1622" stopIfTrue="1">
      <formula>IF($A869&lt;&gt;"",IF(B869="",TRUE,FALSE),FALSE)</formula>
    </cfRule>
  </conditionalFormatting>
  <conditionalFormatting sqref="M869">
    <cfRule type="expression" dxfId="1655" priority="1621" stopIfTrue="1">
      <formula>IF($F869="I",TRUE,FALSE)</formula>
    </cfRule>
  </conditionalFormatting>
  <conditionalFormatting sqref="B870:D870 F870:G870 I870:P870">
    <cfRule type="expression" dxfId="1654" priority="1620" stopIfTrue="1">
      <formula>IF($A870&lt;&gt;"",IF(B870="",TRUE,FALSE),FALSE)</formula>
    </cfRule>
  </conditionalFormatting>
  <conditionalFormatting sqref="M870">
    <cfRule type="expression" dxfId="1653" priority="1619" stopIfTrue="1">
      <formula>IF($F870="I",TRUE,FALSE)</formula>
    </cfRule>
  </conditionalFormatting>
  <conditionalFormatting sqref="B871:D871 F871:G871 I871:P871">
    <cfRule type="expression" dxfId="1652" priority="1618" stopIfTrue="1">
      <formula>IF($A871&lt;&gt;"",IF(B871="",TRUE,FALSE),FALSE)</formula>
    </cfRule>
  </conditionalFormatting>
  <conditionalFormatting sqref="M871">
    <cfRule type="expression" dxfId="1651" priority="1617" stopIfTrue="1">
      <formula>IF($F871="I",TRUE,FALSE)</formula>
    </cfRule>
  </conditionalFormatting>
  <conditionalFormatting sqref="B872:D872 F872:G872 I872:P872">
    <cfRule type="expression" dxfId="1650" priority="1616" stopIfTrue="1">
      <formula>IF($A872&lt;&gt;"",IF(B872="",TRUE,FALSE),FALSE)</formula>
    </cfRule>
  </conditionalFormatting>
  <conditionalFormatting sqref="M872">
    <cfRule type="expression" dxfId="1649" priority="1615" stopIfTrue="1">
      <formula>IF($F872="I",TRUE,FALSE)</formula>
    </cfRule>
  </conditionalFormatting>
  <conditionalFormatting sqref="B873:D873 F873:G873 I873:P873">
    <cfRule type="expression" dxfId="1648" priority="1614" stopIfTrue="1">
      <formula>IF($A873&lt;&gt;"",IF(B873="",TRUE,FALSE),FALSE)</formula>
    </cfRule>
  </conditionalFormatting>
  <conditionalFormatting sqref="M873">
    <cfRule type="expression" dxfId="1647" priority="1613" stopIfTrue="1">
      <formula>IF($F873="I",TRUE,FALSE)</formula>
    </cfRule>
  </conditionalFormatting>
  <conditionalFormatting sqref="B874:D874 F874:G874 I874:P874">
    <cfRule type="expression" dxfId="1646" priority="1612" stopIfTrue="1">
      <formula>IF($A874&lt;&gt;"",IF(B874="",TRUE,FALSE),FALSE)</formula>
    </cfRule>
  </conditionalFormatting>
  <conditionalFormatting sqref="M874">
    <cfRule type="expression" dxfId="1645" priority="1611" stopIfTrue="1">
      <formula>IF($F874="I",TRUE,FALSE)</formula>
    </cfRule>
  </conditionalFormatting>
  <conditionalFormatting sqref="B875:D875 F875:G875 I875:P875">
    <cfRule type="expression" dxfId="1644" priority="1610" stopIfTrue="1">
      <formula>IF($A875&lt;&gt;"",IF(B875="",TRUE,FALSE),FALSE)</formula>
    </cfRule>
  </conditionalFormatting>
  <conditionalFormatting sqref="M875">
    <cfRule type="expression" dxfId="1643" priority="1609" stopIfTrue="1">
      <formula>IF($F875="I",TRUE,FALSE)</formula>
    </cfRule>
  </conditionalFormatting>
  <conditionalFormatting sqref="B876:D876 F876:G876 I876:P876">
    <cfRule type="expression" dxfId="1642" priority="1608" stopIfTrue="1">
      <formula>IF($A876&lt;&gt;"",IF(B876="",TRUE,FALSE),FALSE)</formula>
    </cfRule>
  </conditionalFormatting>
  <conditionalFormatting sqref="M876">
    <cfRule type="expression" dxfId="1641" priority="1607" stopIfTrue="1">
      <formula>IF($F876="I",TRUE,FALSE)</formula>
    </cfRule>
  </conditionalFormatting>
  <conditionalFormatting sqref="B877:D877 F877:G877 I877:P877">
    <cfRule type="expression" dxfId="1640" priority="1606" stopIfTrue="1">
      <formula>IF($A877&lt;&gt;"",IF(B877="",TRUE,FALSE),FALSE)</formula>
    </cfRule>
  </conditionalFormatting>
  <conditionalFormatting sqref="M877">
    <cfRule type="expression" dxfId="1639" priority="1605" stopIfTrue="1">
      <formula>IF($F877="I",TRUE,FALSE)</formula>
    </cfRule>
  </conditionalFormatting>
  <conditionalFormatting sqref="B878:D878 F878:G878 I878:P878">
    <cfRule type="expression" dxfId="1638" priority="1604" stopIfTrue="1">
      <formula>IF($A878&lt;&gt;"",IF(B878="",TRUE,FALSE),FALSE)</formula>
    </cfRule>
  </conditionalFormatting>
  <conditionalFormatting sqref="M878">
    <cfRule type="expression" dxfId="1637" priority="1603" stopIfTrue="1">
      <formula>IF($F878="I",TRUE,FALSE)</formula>
    </cfRule>
  </conditionalFormatting>
  <conditionalFormatting sqref="B879:D879 F879:G879 I879:P879">
    <cfRule type="expression" dxfId="1636" priority="1602" stopIfTrue="1">
      <formula>IF($A879&lt;&gt;"",IF(B879="",TRUE,FALSE),FALSE)</formula>
    </cfRule>
  </conditionalFormatting>
  <conditionalFormatting sqref="M879">
    <cfRule type="expression" dxfId="1635" priority="1601" stopIfTrue="1">
      <formula>IF($F879="I",TRUE,FALSE)</formula>
    </cfRule>
  </conditionalFormatting>
  <conditionalFormatting sqref="B880:D880 F880:G880 I880:P880">
    <cfRule type="expression" dxfId="1634" priority="1600" stopIfTrue="1">
      <formula>IF($A880&lt;&gt;"",IF(B880="",TRUE,FALSE),FALSE)</formula>
    </cfRule>
  </conditionalFormatting>
  <conditionalFormatting sqref="M880">
    <cfRule type="expression" dxfId="1633" priority="1599" stopIfTrue="1">
      <formula>IF($F880="I",TRUE,FALSE)</formula>
    </cfRule>
  </conditionalFormatting>
  <conditionalFormatting sqref="B881:D881 F881:G881 I881:P881">
    <cfRule type="expression" dxfId="1632" priority="1598" stopIfTrue="1">
      <formula>IF($A881&lt;&gt;"",IF(B881="",TRUE,FALSE),FALSE)</formula>
    </cfRule>
  </conditionalFormatting>
  <conditionalFormatting sqref="M881">
    <cfRule type="expression" dxfId="1631" priority="1597" stopIfTrue="1">
      <formula>IF($F881="I",TRUE,FALSE)</formula>
    </cfRule>
  </conditionalFormatting>
  <conditionalFormatting sqref="B882:D882 F882:G882 I882:P882">
    <cfRule type="expression" dxfId="1630" priority="1596" stopIfTrue="1">
      <formula>IF($A882&lt;&gt;"",IF(B882="",TRUE,FALSE),FALSE)</formula>
    </cfRule>
  </conditionalFormatting>
  <conditionalFormatting sqref="M882">
    <cfRule type="expression" dxfId="1629" priority="1595" stopIfTrue="1">
      <formula>IF($F882="I",TRUE,FALSE)</formula>
    </cfRule>
  </conditionalFormatting>
  <conditionalFormatting sqref="B883:D883 F883:G883 I883:P883">
    <cfRule type="expression" dxfId="1628" priority="1594" stopIfTrue="1">
      <formula>IF($A883&lt;&gt;"",IF(B883="",TRUE,FALSE),FALSE)</formula>
    </cfRule>
  </conditionalFormatting>
  <conditionalFormatting sqref="M883">
    <cfRule type="expression" dxfId="1627" priority="1593" stopIfTrue="1">
      <formula>IF($F883="I",TRUE,FALSE)</formula>
    </cfRule>
  </conditionalFormatting>
  <conditionalFormatting sqref="B884:D884 F884:G884 I884:P884">
    <cfRule type="expression" dxfId="1626" priority="1592" stopIfTrue="1">
      <formula>IF($A884&lt;&gt;"",IF(B884="",TRUE,FALSE),FALSE)</formula>
    </cfRule>
  </conditionalFormatting>
  <conditionalFormatting sqref="M884">
    <cfRule type="expression" dxfId="1625" priority="1591" stopIfTrue="1">
      <formula>IF($F884="I",TRUE,FALSE)</formula>
    </cfRule>
  </conditionalFormatting>
  <conditionalFormatting sqref="B885:D885 F885:G885 I885:P885">
    <cfRule type="expression" dxfId="1624" priority="1590" stopIfTrue="1">
      <formula>IF($A885&lt;&gt;"",IF(B885="",TRUE,FALSE),FALSE)</formula>
    </cfRule>
  </conditionalFormatting>
  <conditionalFormatting sqref="M885">
    <cfRule type="expression" dxfId="1623" priority="1589" stopIfTrue="1">
      <formula>IF($F885="I",TRUE,FALSE)</formula>
    </cfRule>
  </conditionalFormatting>
  <conditionalFormatting sqref="B886:D886 F886:G886 I886:P886">
    <cfRule type="expression" dxfId="1622" priority="1588" stopIfTrue="1">
      <formula>IF($A886&lt;&gt;"",IF(B886="",TRUE,FALSE),FALSE)</formula>
    </cfRule>
  </conditionalFormatting>
  <conditionalFormatting sqref="M886">
    <cfRule type="expression" dxfId="1621" priority="1587" stopIfTrue="1">
      <formula>IF($F886="I",TRUE,FALSE)</formula>
    </cfRule>
  </conditionalFormatting>
  <conditionalFormatting sqref="B887:D887 F887:G887 I887:P887">
    <cfRule type="expression" dxfId="1620" priority="1586" stopIfTrue="1">
      <formula>IF($A887&lt;&gt;"",IF(B887="",TRUE,FALSE),FALSE)</formula>
    </cfRule>
  </conditionalFormatting>
  <conditionalFormatting sqref="M887">
    <cfRule type="expression" dxfId="1619" priority="1585" stopIfTrue="1">
      <formula>IF($F887="I",TRUE,FALSE)</formula>
    </cfRule>
  </conditionalFormatting>
  <conditionalFormatting sqref="B888:D888 F888:G888 I888:P888">
    <cfRule type="expression" dxfId="1618" priority="1584" stopIfTrue="1">
      <formula>IF($A888&lt;&gt;"",IF(B888="",TRUE,FALSE),FALSE)</formula>
    </cfRule>
  </conditionalFormatting>
  <conditionalFormatting sqref="M888">
    <cfRule type="expression" dxfId="1617" priority="1583" stopIfTrue="1">
      <formula>IF($F888="I",TRUE,FALSE)</formula>
    </cfRule>
  </conditionalFormatting>
  <conditionalFormatting sqref="B889:D889 F889:G889 I889:P889">
    <cfRule type="expression" dxfId="1616" priority="1582" stopIfTrue="1">
      <formula>IF($A889&lt;&gt;"",IF(B889="",TRUE,FALSE),FALSE)</formula>
    </cfRule>
  </conditionalFormatting>
  <conditionalFormatting sqref="M889">
    <cfRule type="expression" dxfId="1615" priority="1581" stopIfTrue="1">
      <formula>IF($F889="I",TRUE,FALSE)</formula>
    </cfRule>
  </conditionalFormatting>
  <conditionalFormatting sqref="B890:D890 F890:G890 I890:P890">
    <cfRule type="expression" dxfId="1614" priority="1580" stopIfTrue="1">
      <formula>IF($A890&lt;&gt;"",IF(B890="",TRUE,FALSE),FALSE)</formula>
    </cfRule>
  </conditionalFormatting>
  <conditionalFormatting sqref="M890">
    <cfRule type="expression" dxfId="1613" priority="1579" stopIfTrue="1">
      <formula>IF($F890="I",TRUE,FALSE)</formula>
    </cfRule>
  </conditionalFormatting>
  <conditionalFormatting sqref="B891:D891 F891:G891 I891:P891">
    <cfRule type="expression" dxfId="1612" priority="1578" stopIfTrue="1">
      <formula>IF($A891&lt;&gt;"",IF(B891="",TRUE,FALSE),FALSE)</formula>
    </cfRule>
  </conditionalFormatting>
  <conditionalFormatting sqref="M891">
    <cfRule type="expression" dxfId="1611" priority="1577" stopIfTrue="1">
      <formula>IF($F891="I",TRUE,FALSE)</formula>
    </cfRule>
  </conditionalFormatting>
  <conditionalFormatting sqref="B892:D892 F892:G892 I892:P892">
    <cfRule type="expression" dxfId="1610" priority="1576" stopIfTrue="1">
      <formula>IF($A892&lt;&gt;"",IF(B892="",TRUE,FALSE),FALSE)</formula>
    </cfRule>
  </conditionalFormatting>
  <conditionalFormatting sqref="M892">
    <cfRule type="expression" dxfId="1609" priority="1575" stopIfTrue="1">
      <formula>IF($F892="I",TRUE,FALSE)</formula>
    </cfRule>
  </conditionalFormatting>
  <conditionalFormatting sqref="B893:D893 F893:G893 I893:P893">
    <cfRule type="expression" dxfId="1608" priority="1574" stopIfTrue="1">
      <formula>IF($A893&lt;&gt;"",IF(B893="",TRUE,FALSE),FALSE)</formula>
    </cfRule>
  </conditionalFormatting>
  <conditionalFormatting sqref="M893">
    <cfRule type="expression" dxfId="1607" priority="1573" stopIfTrue="1">
      <formula>IF($F893="I",TRUE,FALSE)</formula>
    </cfRule>
  </conditionalFormatting>
  <conditionalFormatting sqref="B894:D894 F894:G894 I894:P894">
    <cfRule type="expression" dxfId="1606" priority="1572" stopIfTrue="1">
      <formula>IF($A894&lt;&gt;"",IF(B894="",TRUE,FALSE),FALSE)</formula>
    </cfRule>
  </conditionalFormatting>
  <conditionalFormatting sqref="M894">
    <cfRule type="expression" dxfId="1605" priority="1571" stopIfTrue="1">
      <formula>IF($F894="I",TRUE,FALSE)</formula>
    </cfRule>
  </conditionalFormatting>
  <conditionalFormatting sqref="B895:D895 F895:G895 I895:P895">
    <cfRule type="expression" dxfId="1604" priority="1570" stopIfTrue="1">
      <formula>IF($A895&lt;&gt;"",IF(B895="",TRUE,FALSE),FALSE)</formula>
    </cfRule>
  </conditionalFormatting>
  <conditionalFormatting sqref="M895">
    <cfRule type="expression" dxfId="1603" priority="1569" stopIfTrue="1">
      <formula>IF($F895="I",TRUE,FALSE)</formula>
    </cfRule>
  </conditionalFormatting>
  <conditionalFormatting sqref="B896:D896 F896:G896 I896:P896">
    <cfRule type="expression" dxfId="1602" priority="1568" stopIfTrue="1">
      <formula>IF($A896&lt;&gt;"",IF(B896="",TRUE,FALSE),FALSE)</formula>
    </cfRule>
  </conditionalFormatting>
  <conditionalFormatting sqref="M896">
    <cfRule type="expression" dxfId="1601" priority="1567" stopIfTrue="1">
      <formula>IF($F896="I",TRUE,FALSE)</formula>
    </cfRule>
  </conditionalFormatting>
  <conditionalFormatting sqref="B897:D897 F897:G897 I897:P897">
    <cfRule type="expression" dxfId="1600" priority="1566" stopIfTrue="1">
      <formula>IF($A897&lt;&gt;"",IF(B897="",TRUE,FALSE),FALSE)</formula>
    </cfRule>
  </conditionalFormatting>
  <conditionalFormatting sqref="M897">
    <cfRule type="expression" dxfId="1599" priority="1565" stopIfTrue="1">
      <formula>IF($F897="I",TRUE,FALSE)</formula>
    </cfRule>
  </conditionalFormatting>
  <conditionalFormatting sqref="B898:D898 F898:G898 I898:P898">
    <cfRule type="expression" dxfId="1598" priority="1564" stopIfTrue="1">
      <formula>IF($A898&lt;&gt;"",IF(B898="",TRUE,FALSE),FALSE)</formula>
    </cfRule>
  </conditionalFormatting>
  <conditionalFormatting sqref="M898">
    <cfRule type="expression" dxfId="1597" priority="1563" stopIfTrue="1">
      <formula>IF($F898="I",TRUE,FALSE)</formula>
    </cfRule>
  </conditionalFormatting>
  <conditionalFormatting sqref="B899:D899 F899:G899 I899:P899">
    <cfRule type="expression" dxfId="1596" priority="1562" stopIfTrue="1">
      <formula>IF($A899&lt;&gt;"",IF(B899="",TRUE,FALSE),FALSE)</formula>
    </cfRule>
  </conditionalFormatting>
  <conditionalFormatting sqref="M899">
    <cfRule type="expression" dxfId="1595" priority="1561" stopIfTrue="1">
      <formula>IF($F899="I",TRUE,FALSE)</formula>
    </cfRule>
  </conditionalFormatting>
  <conditionalFormatting sqref="B900:D900 F900:G900 I900:P900">
    <cfRule type="expression" dxfId="1594" priority="1560" stopIfTrue="1">
      <formula>IF($A900&lt;&gt;"",IF(B900="",TRUE,FALSE),FALSE)</formula>
    </cfRule>
  </conditionalFormatting>
  <conditionalFormatting sqref="M900">
    <cfRule type="expression" dxfId="1593" priority="1559" stopIfTrue="1">
      <formula>IF($F900="I",TRUE,FALSE)</formula>
    </cfRule>
  </conditionalFormatting>
  <conditionalFormatting sqref="B901:D901 F901:G901 I901:P901">
    <cfRule type="expression" dxfId="1592" priority="1558" stopIfTrue="1">
      <formula>IF($A901&lt;&gt;"",IF(B901="",TRUE,FALSE),FALSE)</formula>
    </cfRule>
  </conditionalFormatting>
  <conditionalFormatting sqref="M901">
    <cfRule type="expression" dxfId="1591" priority="1557" stopIfTrue="1">
      <formula>IF($F901="I",TRUE,FALSE)</formula>
    </cfRule>
  </conditionalFormatting>
  <conditionalFormatting sqref="B902:D902 F902:G902 I902:P902">
    <cfRule type="expression" dxfId="1590" priority="1556" stopIfTrue="1">
      <formula>IF($A902&lt;&gt;"",IF(B902="",TRUE,FALSE),FALSE)</formula>
    </cfRule>
  </conditionalFormatting>
  <conditionalFormatting sqref="M902">
    <cfRule type="expression" dxfId="1589" priority="1555" stopIfTrue="1">
      <formula>IF($F902="I",TRUE,FALSE)</formula>
    </cfRule>
  </conditionalFormatting>
  <conditionalFormatting sqref="B903:D903 F903:G903 I903:P903">
    <cfRule type="expression" dxfId="1588" priority="1554" stopIfTrue="1">
      <formula>IF($A903&lt;&gt;"",IF(B903="",TRUE,FALSE),FALSE)</formula>
    </cfRule>
  </conditionalFormatting>
  <conditionalFormatting sqref="M903">
    <cfRule type="expression" dxfId="1587" priority="1553" stopIfTrue="1">
      <formula>IF($F903="I",TRUE,FALSE)</formula>
    </cfRule>
  </conditionalFormatting>
  <conditionalFormatting sqref="B904:D904 F904:G904 I904:P904">
    <cfRule type="expression" dxfId="1586" priority="1552" stopIfTrue="1">
      <formula>IF($A904&lt;&gt;"",IF(B904="",TRUE,FALSE),FALSE)</formula>
    </cfRule>
  </conditionalFormatting>
  <conditionalFormatting sqref="M904">
    <cfRule type="expression" dxfId="1585" priority="1551" stopIfTrue="1">
      <formula>IF($F904="I",TRUE,FALSE)</formula>
    </cfRule>
  </conditionalFormatting>
  <conditionalFormatting sqref="B905:D905 F905:G905 I905:P905">
    <cfRule type="expression" dxfId="1584" priority="1550" stopIfTrue="1">
      <formula>IF($A905&lt;&gt;"",IF(B905="",TRUE,FALSE),FALSE)</formula>
    </cfRule>
  </conditionalFormatting>
  <conditionalFormatting sqref="M905">
    <cfRule type="expression" dxfId="1583" priority="1549" stopIfTrue="1">
      <formula>IF($F905="I",TRUE,FALSE)</formula>
    </cfRule>
  </conditionalFormatting>
  <conditionalFormatting sqref="B906:D906 F906:G906 I906:P906">
    <cfRule type="expression" dxfId="1582" priority="1548" stopIfTrue="1">
      <formula>IF($A906&lt;&gt;"",IF(B906="",TRUE,FALSE),FALSE)</formula>
    </cfRule>
  </conditionalFormatting>
  <conditionalFormatting sqref="M906">
    <cfRule type="expression" dxfId="1581" priority="1547" stopIfTrue="1">
      <formula>IF($F906="I",TRUE,FALSE)</formula>
    </cfRule>
  </conditionalFormatting>
  <conditionalFormatting sqref="B907:D907 F907:G907 I907:P907">
    <cfRule type="expression" dxfId="1580" priority="1546" stopIfTrue="1">
      <formula>IF($A907&lt;&gt;"",IF(B907="",TRUE,FALSE),FALSE)</formula>
    </cfRule>
  </conditionalFormatting>
  <conditionalFormatting sqref="M907">
    <cfRule type="expression" dxfId="1579" priority="1545" stopIfTrue="1">
      <formula>IF($F907="I",TRUE,FALSE)</formula>
    </cfRule>
  </conditionalFormatting>
  <conditionalFormatting sqref="B908:D908 F908:G908 I908:P908">
    <cfRule type="expression" dxfId="1578" priority="1544" stopIfTrue="1">
      <formula>IF($A908&lt;&gt;"",IF(B908="",TRUE,FALSE),FALSE)</formula>
    </cfRule>
  </conditionalFormatting>
  <conditionalFormatting sqref="M908">
    <cfRule type="expression" dxfId="1577" priority="1543" stopIfTrue="1">
      <formula>IF($F908="I",TRUE,FALSE)</formula>
    </cfRule>
  </conditionalFormatting>
  <conditionalFormatting sqref="B909:D909 F909:G909 I909:P909">
    <cfRule type="expression" dxfId="1576" priority="1542" stopIfTrue="1">
      <formula>IF($A909&lt;&gt;"",IF(B909="",TRUE,FALSE),FALSE)</formula>
    </cfRule>
  </conditionalFormatting>
  <conditionalFormatting sqref="M909">
    <cfRule type="expression" dxfId="1575" priority="1541" stopIfTrue="1">
      <formula>IF($F909="I",TRUE,FALSE)</formula>
    </cfRule>
  </conditionalFormatting>
  <conditionalFormatting sqref="B910:D910 F910:G910 I910:P910">
    <cfRule type="expression" dxfId="1574" priority="1540" stopIfTrue="1">
      <formula>IF($A910&lt;&gt;"",IF(B910="",TRUE,FALSE),FALSE)</formula>
    </cfRule>
  </conditionalFormatting>
  <conditionalFormatting sqref="M910">
    <cfRule type="expression" dxfId="1573" priority="1539" stopIfTrue="1">
      <formula>IF($F910="I",TRUE,FALSE)</formula>
    </cfRule>
  </conditionalFormatting>
  <conditionalFormatting sqref="B911:D911 F911:G911 I911:P911">
    <cfRule type="expression" dxfId="1572" priority="1538" stopIfTrue="1">
      <formula>IF($A911&lt;&gt;"",IF(B911="",TRUE,FALSE),FALSE)</formula>
    </cfRule>
  </conditionalFormatting>
  <conditionalFormatting sqref="M911">
    <cfRule type="expression" dxfId="1571" priority="1537" stopIfTrue="1">
      <formula>IF($F911="I",TRUE,FALSE)</formula>
    </cfRule>
  </conditionalFormatting>
  <conditionalFormatting sqref="B912:D912 F912:G912 I912:P912">
    <cfRule type="expression" dxfId="1570" priority="1536" stopIfTrue="1">
      <formula>IF($A912&lt;&gt;"",IF(B912="",TRUE,FALSE),FALSE)</formula>
    </cfRule>
  </conditionalFormatting>
  <conditionalFormatting sqref="M912">
    <cfRule type="expression" dxfId="1569" priority="1535" stopIfTrue="1">
      <formula>IF($F912="I",TRUE,FALSE)</formula>
    </cfRule>
  </conditionalFormatting>
  <conditionalFormatting sqref="B913:D913 F913:G913 I913:P913">
    <cfRule type="expression" dxfId="1568" priority="1534" stopIfTrue="1">
      <formula>IF($A913&lt;&gt;"",IF(B913="",TRUE,FALSE),FALSE)</formula>
    </cfRule>
  </conditionalFormatting>
  <conditionalFormatting sqref="M913">
    <cfRule type="expression" dxfId="1567" priority="1533" stopIfTrue="1">
      <formula>IF($F913="I",TRUE,FALSE)</formula>
    </cfRule>
  </conditionalFormatting>
  <conditionalFormatting sqref="B914:D914 F914:G914 I914:P914">
    <cfRule type="expression" dxfId="1566" priority="1532" stopIfTrue="1">
      <formula>IF($A914&lt;&gt;"",IF(B914="",TRUE,FALSE),FALSE)</formula>
    </cfRule>
  </conditionalFormatting>
  <conditionalFormatting sqref="M914">
    <cfRule type="expression" dxfId="1565" priority="1531" stopIfTrue="1">
      <formula>IF($F914="I",TRUE,FALSE)</formula>
    </cfRule>
  </conditionalFormatting>
  <conditionalFormatting sqref="B915:D915 F915:G915 I915:P915">
    <cfRule type="expression" dxfId="1564" priority="1530" stopIfTrue="1">
      <formula>IF($A915&lt;&gt;"",IF(B915="",TRUE,FALSE),FALSE)</formula>
    </cfRule>
  </conditionalFormatting>
  <conditionalFormatting sqref="M915">
    <cfRule type="expression" dxfId="1563" priority="1529" stopIfTrue="1">
      <formula>IF($F915="I",TRUE,FALSE)</formula>
    </cfRule>
  </conditionalFormatting>
  <conditionalFormatting sqref="B916:D916 F916:G916 I916:P916">
    <cfRule type="expression" dxfId="1562" priority="1528" stopIfTrue="1">
      <formula>IF($A916&lt;&gt;"",IF(B916="",TRUE,FALSE),FALSE)</formula>
    </cfRule>
  </conditionalFormatting>
  <conditionalFormatting sqref="M916">
    <cfRule type="expression" dxfId="1561" priority="1527" stopIfTrue="1">
      <formula>IF($F916="I",TRUE,FALSE)</formula>
    </cfRule>
  </conditionalFormatting>
  <conditionalFormatting sqref="B917:D917 F917:G917 I917:P917">
    <cfRule type="expression" dxfId="1560" priority="1526" stopIfTrue="1">
      <formula>IF($A917&lt;&gt;"",IF(B917="",TRUE,FALSE),FALSE)</formula>
    </cfRule>
  </conditionalFormatting>
  <conditionalFormatting sqref="M917">
    <cfRule type="expression" dxfId="1559" priority="1525" stopIfTrue="1">
      <formula>IF($F917="I",TRUE,FALSE)</formula>
    </cfRule>
  </conditionalFormatting>
  <conditionalFormatting sqref="B918:D918 F918:G918 I918:P918">
    <cfRule type="expression" dxfId="1558" priority="1524" stopIfTrue="1">
      <formula>IF($A918&lt;&gt;"",IF(B918="",TRUE,FALSE),FALSE)</formula>
    </cfRule>
  </conditionalFormatting>
  <conditionalFormatting sqref="M918">
    <cfRule type="expression" dxfId="1557" priority="1523" stopIfTrue="1">
      <formula>IF($F918="I",TRUE,FALSE)</formula>
    </cfRule>
  </conditionalFormatting>
  <conditionalFormatting sqref="B919:D919 F919:G919 I919:P919">
    <cfRule type="expression" dxfId="1556" priority="1522" stopIfTrue="1">
      <formula>IF($A919&lt;&gt;"",IF(B919="",TRUE,FALSE),FALSE)</formula>
    </cfRule>
  </conditionalFormatting>
  <conditionalFormatting sqref="M919">
    <cfRule type="expression" dxfId="1555" priority="1521" stopIfTrue="1">
      <formula>IF($F919="I",TRUE,FALSE)</formula>
    </cfRule>
  </conditionalFormatting>
  <conditionalFormatting sqref="B920:D920 F920:G920 I920:P920">
    <cfRule type="expression" dxfId="1554" priority="1520" stopIfTrue="1">
      <formula>IF($A920&lt;&gt;"",IF(B920="",TRUE,FALSE),FALSE)</formula>
    </cfRule>
  </conditionalFormatting>
  <conditionalFormatting sqref="M920">
    <cfRule type="expression" dxfId="1553" priority="1519" stopIfTrue="1">
      <formula>IF($F920="I",TRUE,FALSE)</formula>
    </cfRule>
  </conditionalFormatting>
  <conditionalFormatting sqref="B921:D921 F921:G921 I921:P921">
    <cfRule type="expression" dxfId="1552" priority="1518" stopIfTrue="1">
      <formula>IF($A921&lt;&gt;"",IF(B921="",TRUE,FALSE),FALSE)</formula>
    </cfRule>
  </conditionalFormatting>
  <conditionalFormatting sqref="M921">
    <cfRule type="expression" dxfId="1551" priority="1517" stopIfTrue="1">
      <formula>IF($F921="I",TRUE,FALSE)</formula>
    </cfRule>
  </conditionalFormatting>
  <conditionalFormatting sqref="B922:D922 F922:G922 I922:P922">
    <cfRule type="expression" dxfId="1550" priority="1516" stopIfTrue="1">
      <formula>IF($A922&lt;&gt;"",IF(B922="",TRUE,FALSE),FALSE)</formula>
    </cfRule>
  </conditionalFormatting>
  <conditionalFormatting sqref="M922">
    <cfRule type="expression" dxfId="1549" priority="1515" stopIfTrue="1">
      <formula>IF($F922="I",TRUE,FALSE)</formula>
    </cfRule>
  </conditionalFormatting>
  <conditionalFormatting sqref="B923:D923 F923:G923 I923:P923">
    <cfRule type="expression" dxfId="1548" priority="1514" stopIfTrue="1">
      <formula>IF($A923&lt;&gt;"",IF(B923="",TRUE,FALSE),FALSE)</formula>
    </cfRule>
  </conditionalFormatting>
  <conditionalFormatting sqref="M923">
    <cfRule type="expression" dxfId="1547" priority="1513" stopIfTrue="1">
      <formula>IF($F923="I",TRUE,FALSE)</formula>
    </cfRule>
  </conditionalFormatting>
  <conditionalFormatting sqref="B924:D924 F924:G924 I924:P924">
    <cfRule type="expression" dxfId="1546" priority="1512" stopIfTrue="1">
      <formula>IF($A924&lt;&gt;"",IF(B924="",TRUE,FALSE),FALSE)</formula>
    </cfRule>
  </conditionalFormatting>
  <conditionalFormatting sqref="M924">
    <cfRule type="expression" dxfId="1545" priority="1511" stopIfTrue="1">
      <formula>IF($F924="I",TRUE,FALSE)</formula>
    </cfRule>
  </conditionalFormatting>
  <conditionalFormatting sqref="B925:D925 F925:G925 I925:P925">
    <cfRule type="expression" dxfId="1544" priority="1510" stopIfTrue="1">
      <formula>IF($A925&lt;&gt;"",IF(B925="",TRUE,FALSE),FALSE)</formula>
    </cfRule>
  </conditionalFormatting>
  <conditionalFormatting sqref="M925">
    <cfRule type="expression" dxfId="1543" priority="1509" stopIfTrue="1">
      <formula>IF($F925="I",TRUE,FALSE)</formula>
    </cfRule>
  </conditionalFormatting>
  <conditionalFormatting sqref="B926:D926 F926:G926 I926:P926">
    <cfRule type="expression" dxfId="1542" priority="1508" stopIfTrue="1">
      <formula>IF($A926&lt;&gt;"",IF(B926="",TRUE,FALSE),FALSE)</formula>
    </cfRule>
  </conditionalFormatting>
  <conditionalFormatting sqref="M926">
    <cfRule type="expression" dxfId="1541" priority="1507" stopIfTrue="1">
      <formula>IF($F926="I",TRUE,FALSE)</formula>
    </cfRule>
  </conditionalFormatting>
  <conditionalFormatting sqref="B927:D927 F927:G927 I927:P927">
    <cfRule type="expression" dxfId="1540" priority="1506" stopIfTrue="1">
      <formula>IF($A927&lt;&gt;"",IF(B927="",TRUE,FALSE),FALSE)</formula>
    </cfRule>
  </conditionalFormatting>
  <conditionalFormatting sqref="M927">
    <cfRule type="expression" dxfId="1539" priority="1505" stopIfTrue="1">
      <formula>IF($F927="I",TRUE,FALSE)</formula>
    </cfRule>
  </conditionalFormatting>
  <conditionalFormatting sqref="B928:D928 F928:G928 I928:P928">
    <cfRule type="expression" dxfId="1538" priority="1504" stopIfTrue="1">
      <formula>IF($A928&lt;&gt;"",IF(B928="",TRUE,FALSE),FALSE)</formula>
    </cfRule>
  </conditionalFormatting>
  <conditionalFormatting sqref="M928">
    <cfRule type="expression" dxfId="1537" priority="1503" stopIfTrue="1">
      <formula>IF($F928="I",TRUE,FALSE)</formula>
    </cfRule>
  </conditionalFormatting>
  <conditionalFormatting sqref="B929:D929 F929:G929 I929:P929">
    <cfRule type="expression" dxfId="1536" priority="1502" stopIfTrue="1">
      <formula>IF($A929&lt;&gt;"",IF(B929="",TRUE,FALSE),FALSE)</formula>
    </cfRule>
  </conditionalFormatting>
  <conditionalFormatting sqref="M929">
    <cfRule type="expression" dxfId="1535" priority="1501" stopIfTrue="1">
      <formula>IF($F929="I",TRUE,FALSE)</formula>
    </cfRule>
  </conditionalFormatting>
  <conditionalFormatting sqref="B930:D930 F930:G930 I930:P930">
    <cfRule type="expression" dxfId="1534" priority="1500" stopIfTrue="1">
      <formula>IF($A930&lt;&gt;"",IF(B930="",TRUE,FALSE),FALSE)</formula>
    </cfRule>
  </conditionalFormatting>
  <conditionalFormatting sqref="M930">
    <cfRule type="expression" dxfId="1533" priority="1499" stopIfTrue="1">
      <formula>IF($F930="I",TRUE,FALSE)</formula>
    </cfRule>
  </conditionalFormatting>
  <conditionalFormatting sqref="B931:D931 F931:G931 I931:P931">
    <cfRule type="expression" dxfId="1532" priority="1498" stopIfTrue="1">
      <formula>IF($A931&lt;&gt;"",IF(B931="",TRUE,FALSE),FALSE)</formula>
    </cfRule>
  </conditionalFormatting>
  <conditionalFormatting sqref="M931">
    <cfRule type="expression" dxfId="1531" priority="1497" stopIfTrue="1">
      <formula>IF($F931="I",TRUE,FALSE)</formula>
    </cfRule>
  </conditionalFormatting>
  <conditionalFormatting sqref="B932:D932 F932:G932 I932:P932">
    <cfRule type="expression" dxfId="1530" priority="1496" stopIfTrue="1">
      <formula>IF($A932&lt;&gt;"",IF(B932="",TRUE,FALSE),FALSE)</formula>
    </cfRule>
  </conditionalFormatting>
  <conditionalFormatting sqref="M932">
    <cfRule type="expression" dxfId="1529" priority="1495" stopIfTrue="1">
      <formula>IF($F932="I",TRUE,FALSE)</formula>
    </cfRule>
  </conditionalFormatting>
  <conditionalFormatting sqref="B933:D933 F933:G933 I933:P933">
    <cfRule type="expression" dxfId="1528" priority="1494" stopIfTrue="1">
      <formula>IF($A933&lt;&gt;"",IF(B933="",TRUE,FALSE),FALSE)</formula>
    </cfRule>
  </conditionalFormatting>
  <conditionalFormatting sqref="M933">
    <cfRule type="expression" dxfId="1527" priority="1493" stopIfTrue="1">
      <formula>IF($F933="I",TRUE,FALSE)</formula>
    </cfRule>
  </conditionalFormatting>
  <conditionalFormatting sqref="B934:D934 F934:G934 I934:P934">
    <cfRule type="expression" dxfId="1526" priority="1492" stopIfTrue="1">
      <formula>IF($A934&lt;&gt;"",IF(B934="",TRUE,FALSE),FALSE)</formula>
    </cfRule>
  </conditionalFormatting>
  <conditionalFormatting sqref="M934">
    <cfRule type="expression" dxfId="1525" priority="1491" stopIfTrue="1">
      <formula>IF($F934="I",TRUE,FALSE)</formula>
    </cfRule>
  </conditionalFormatting>
  <conditionalFormatting sqref="B935:D935 F935:G935 I935:P935">
    <cfRule type="expression" dxfId="1524" priority="1490" stopIfTrue="1">
      <formula>IF($A935&lt;&gt;"",IF(B935="",TRUE,FALSE),FALSE)</formula>
    </cfRule>
  </conditionalFormatting>
  <conditionalFormatting sqref="M935">
    <cfRule type="expression" dxfId="1523" priority="1489" stopIfTrue="1">
      <formula>IF($F935="I",TRUE,FALSE)</formula>
    </cfRule>
  </conditionalFormatting>
  <conditionalFormatting sqref="B936:D936 F936:G936 I936:P936">
    <cfRule type="expression" dxfId="1522" priority="1488" stopIfTrue="1">
      <formula>IF($A936&lt;&gt;"",IF(B936="",TRUE,FALSE),FALSE)</formula>
    </cfRule>
  </conditionalFormatting>
  <conditionalFormatting sqref="M936">
    <cfRule type="expression" dxfId="1521" priority="1487" stopIfTrue="1">
      <formula>IF($F936="I",TRUE,FALSE)</formula>
    </cfRule>
  </conditionalFormatting>
  <conditionalFormatting sqref="B937:D937 F937:G937 I937:P937">
    <cfRule type="expression" dxfId="1520" priority="1486" stopIfTrue="1">
      <formula>IF($A937&lt;&gt;"",IF(B937="",TRUE,FALSE),FALSE)</formula>
    </cfRule>
  </conditionalFormatting>
  <conditionalFormatting sqref="M937">
    <cfRule type="expression" dxfId="1519" priority="1485" stopIfTrue="1">
      <formula>IF($F937="I",TRUE,FALSE)</formula>
    </cfRule>
  </conditionalFormatting>
  <conditionalFormatting sqref="B938:D938 F938:G938 I938:P938">
    <cfRule type="expression" dxfId="1518" priority="1484" stopIfTrue="1">
      <formula>IF($A938&lt;&gt;"",IF(B938="",TRUE,FALSE),FALSE)</formula>
    </cfRule>
  </conditionalFormatting>
  <conditionalFormatting sqref="M938">
    <cfRule type="expression" dxfId="1517" priority="1483" stopIfTrue="1">
      <formula>IF($F938="I",TRUE,FALSE)</formula>
    </cfRule>
  </conditionalFormatting>
  <conditionalFormatting sqref="B939:D939 F939:G939 I939:P939">
    <cfRule type="expression" dxfId="1516" priority="1482" stopIfTrue="1">
      <formula>IF($A939&lt;&gt;"",IF(B939="",TRUE,FALSE),FALSE)</formula>
    </cfRule>
  </conditionalFormatting>
  <conditionalFormatting sqref="M939">
    <cfRule type="expression" dxfId="1515" priority="1481" stopIfTrue="1">
      <formula>IF($F939="I",TRUE,FALSE)</formula>
    </cfRule>
  </conditionalFormatting>
  <conditionalFormatting sqref="B940:D940 F940:G940 I940:P940">
    <cfRule type="expression" dxfId="1514" priority="1480" stopIfTrue="1">
      <formula>IF($A940&lt;&gt;"",IF(B940="",TRUE,FALSE),FALSE)</formula>
    </cfRule>
  </conditionalFormatting>
  <conditionalFormatting sqref="M940">
    <cfRule type="expression" dxfId="1513" priority="1479" stopIfTrue="1">
      <formula>IF($F940="I",TRUE,FALSE)</formula>
    </cfRule>
  </conditionalFormatting>
  <conditionalFormatting sqref="B941:D941 F941:G941 I941:P941">
    <cfRule type="expression" dxfId="1512" priority="1478" stopIfTrue="1">
      <formula>IF($A941&lt;&gt;"",IF(B941="",TRUE,FALSE),FALSE)</formula>
    </cfRule>
  </conditionalFormatting>
  <conditionalFormatting sqref="M941">
    <cfRule type="expression" dxfId="1511" priority="1477" stopIfTrue="1">
      <formula>IF($F941="I",TRUE,FALSE)</formula>
    </cfRule>
  </conditionalFormatting>
  <conditionalFormatting sqref="B942:D942 F942:G942 I942:P942">
    <cfRule type="expression" dxfId="1510" priority="1476" stopIfTrue="1">
      <formula>IF($A942&lt;&gt;"",IF(B942="",TRUE,FALSE),FALSE)</formula>
    </cfRule>
  </conditionalFormatting>
  <conditionalFormatting sqref="M942">
    <cfRule type="expression" dxfId="1509" priority="1475" stopIfTrue="1">
      <formula>IF($F942="I",TRUE,FALSE)</formula>
    </cfRule>
  </conditionalFormatting>
  <conditionalFormatting sqref="B943:D943 F943:G943 I943:P943">
    <cfRule type="expression" dxfId="1508" priority="1474" stopIfTrue="1">
      <formula>IF($A943&lt;&gt;"",IF(B943="",TRUE,FALSE),FALSE)</formula>
    </cfRule>
  </conditionalFormatting>
  <conditionalFormatting sqref="M943">
    <cfRule type="expression" dxfId="1507" priority="1473" stopIfTrue="1">
      <formula>IF($F943="I",TRUE,FALSE)</formula>
    </cfRule>
  </conditionalFormatting>
  <conditionalFormatting sqref="B944:D944 F944:G944 I944:P944">
    <cfRule type="expression" dxfId="1506" priority="1472" stopIfTrue="1">
      <formula>IF($A944&lt;&gt;"",IF(B944="",TRUE,FALSE),FALSE)</formula>
    </cfRule>
  </conditionalFormatting>
  <conditionalFormatting sqref="M944">
    <cfRule type="expression" dxfId="1505" priority="1471" stopIfTrue="1">
      <formula>IF($F944="I",TRUE,FALSE)</formula>
    </cfRule>
  </conditionalFormatting>
  <conditionalFormatting sqref="B945:D945 F945:G945 I945:P945">
    <cfRule type="expression" dxfId="1504" priority="1470" stopIfTrue="1">
      <formula>IF($A945&lt;&gt;"",IF(B945="",TRUE,FALSE),FALSE)</formula>
    </cfRule>
  </conditionalFormatting>
  <conditionalFormatting sqref="M945">
    <cfRule type="expression" dxfId="1503" priority="1469" stopIfTrue="1">
      <formula>IF($F945="I",TRUE,FALSE)</formula>
    </cfRule>
  </conditionalFormatting>
  <conditionalFormatting sqref="B946:D946 F946:G946 I946:P946">
    <cfRule type="expression" dxfId="1502" priority="1468" stopIfTrue="1">
      <formula>IF($A946&lt;&gt;"",IF(B946="",TRUE,FALSE),FALSE)</formula>
    </cfRule>
  </conditionalFormatting>
  <conditionalFormatting sqref="M946">
    <cfRule type="expression" dxfId="1501" priority="1467" stopIfTrue="1">
      <formula>IF($F946="I",TRUE,FALSE)</formula>
    </cfRule>
  </conditionalFormatting>
  <conditionalFormatting sqref="B947:D947 F947:G947 I947:P947">
    <cfRule type="expression" dxfId="1500" priority="1466" stopIfTrue="1">
      <formula>IF($A947&lt;&gt;"",IF(B947="",TRUE,FALSE),FALSE)</formula>
    </cfRule>
  </conditionalFormatting>
  <conditionalFormatting sqref="M947">
    <cfRule type="expression" dxfId="1499" priority="1465" stopIfTrue="1">
      <formula>IF($F947="I",TRUE,FALSE)</formula>
    </cfRule>
  </conditionalFormatting>
  <conditionalFormatting sqref="B948:D948 F948:G948 I948:P948">
    <cfRule type="expression" dxfId="1498" priority="1464" stopIfTrue="1">
      <formula>IF($A948&lt;&gt;"",IF(B948="",TRUE,FALSE),FALSE)</formula>
    </cfRule>
  </conditionalFormatting>
  <conditionalFormatting sqref="M948">
    <cfRule type="expression" dxfId="1497" priority="1463" stopIfTrue="1">
      <formula>IF($F948="I",TRUE,FALSE)</formula>
    </cfRule>
  </conditionalFormatting>
  <conditionalFormatting sqref="B949:D949 F949:G949 I949:P949">
    <cfRule type="expression" dxfId="1496" priority="1462" stopIfTrue="1">
      <formula>IF($A949&lt;&gt;"",IF(B949="",TRUE,FALSE),FALSE)</formula>
    </cfRule>
  </conditionalFormatting>
  <conditionalFormatting sqref="M949">
    <cfRule type="expression" dxfId="1495" priority="1461" stopIfTrue="1">
      <formula>IF($F949="I",TRUE,FALSE)</formula>
    </cfRule>
  </conditionalFormatting>
  <conditionalFormatting sqref="B950:D950 F950:G950 I950:P950">
    <cfRule type="expression" dxfId="1494" priority="1460" stopIfTrue="1">
      <formula>IF($A950&lt;&gt;"",IF(B950="",TRUE,FALSE),FALSE)</formula>
    </cfRule>
  </conditionalFormatting>
  <conditionalFormatting sqref="M950">
    <cfRule type="expression" dxfId="1493" priority="1459" stopIfTrue="1">
      <formula>IF($F950="I",TRUE,FALSE)</formula>
    </cfRule>
  </conditionalFormatting>
  <conditionalFormatting sqref="B951:D951 F951:G951 I951:P951">
    <cfRule type="expression" dxfId="1492" priority="1458" stopIfTrue="1">
      <formula>IF($A951&lt;&gt;"",IF(B951="",TRUE,FALSE),FALSE)</formula>
    </cfRule>
  </conditionalFormatting>
  <conditionalFormatting sqref="M951">
    <cfRule type="expression" dxfId="1491" priority="1457" stopIfTrue="1">
      <formula>IF($F951="I",TRUE,FALSE)</formula>
    </cfRule>
  </conditionalFormatting>
  <conditionalFormatting sqref="B952:D952 F952:G952 I952:P952">
    <cfRule type="expression" dxfId="1490" priority="1456" stopIfTrue="1">
      <formula>IF($A952&lt;&gt;"",IF(B952="",TRUE,FALSE),FALSE)</formula>
    </cfRule>
  </conditionalFormatting>
  <conditionalFormatting sqref="M952">
    <cfRule type="expression" dxfId="1489" priority="1455" stopIfTrue="1">
      <formula>IF($F952="I",TRUE,FALSE)</formula>
    </cfRule>
  </conditionalFormatting>
  <conditionalFormatting sqref="B953:D953 F953:G953 I953:P953">
    <cfRule type="expression" dxfId="1488" priority="1454" stopIfTrue="1">
      <formula>IF($A953&lt;&gt;"",IF(B953="",TRUE,FALSE),FALSE)</formula>
    </cfRule>
  </conditionalFormatting>
  <conditionalFormatting sqref="M953">
    <cfRule type="expression" dxfId="1487" priority="1453" stopIfTrue="1">
      <formula>IF($F953="I",TRUE,FALSE)</formula>
    </cfRule>
  </conditionalFormatting>
  <conditionalFormatting sqref="B954:D954 F954:G954 I954:P954">
    <cfRule type="expression" dxfId="1486" priority="1452" stopIfTrue="1">
      <formula>IF($A954&lt;&gt;"",IF(B954="",TRUE,FALSE),FALSE)</formula>
    </cfRule>
  </conditionalFormatting>
  <conditionalFormatting sqref="M954">
    <cfRule type="expression" dxfId="1485" priority="1451" stopIfTrue="1">
      <formula>IF($F954="I",TRUE,FALSE)</formula>
    </cfRule>
  </conditionalFormatting>
  <conditionalFormatting sqref="B955:D955 F955:G955 I955:P955">
    <cfRule type="expression" dxfId="1484" priority="1450" stopIfTrue="1">
      <formula>IF($A955&lt;&gt;"",IF(B955="",TRUE,FALSE),FALSE)</formula>
    </cfRule>
  </conditionalFormatting>
  <conditionalFormatting sqref="M955">
    <cfRule type="expression" dxfId="1483" priority="1449" stopIfTrue="1">
      <formula>IF($F955="I",TRUE,FALSE)</formula>
    </cfRule>
  </conditionalFormatting>
  <conditionalFormatting sqref="B956:D956 F956:G956 I956:P956">
    <cfRule type="expression" dxfId="1482" priority="1448" stopIfTrue="1">
      <formula>IF($A956&lt;&gt;"",IF(B956="",TRUE,FALSE),FALSE)</formula>
    </cfRule>
  </conditionalFormatting>
  <conditionalFormatting sqref="M956">
    <cfRule type="expression" dxfId="1481" priority="1447" stopIfTrue="1">
      <formula>IF($F956="I",TRUE,FALSE)</formula>
    </cfRule>
  </conditionalFormatting>
  <conditionalFormatting sqref="B957:D957 F957:G957 I957:P957">
    <cfRule type="expression" dxfId="1480" priority="1446" stopIfTrue="1">
      <formula>IF($A957&lt;&gt;"",IF(B957="",TRUE,FALSE),FALSE)</formula>
    </cfRule>
  </conditionalFormatting>
  <conditionalFormatting sqref="M957">
    <cfRule type="expression" dxfId="1479" priority="1445" stopIfTrue="1">
      <formula>IF($F957="I",TRUE,FALSE)</formula>
    </cfRule>
  </conditionalFormatting>
  <conditionalFormatting sqref="B958:D958 F958:G958 I958:P958">
    <cfRule type="expression" dxfId="1478" priority="1444" stopIfTrue="1">
      <formula>IF($A958&lt;&gt;"",IF(B958="",TRUE,FALSE),FALSE)</formula>
    </cfRule>
  </conditionalFormatting>
  <conditionalFormatting sqref="M958">
    <cfRule type="expression" dxfId="1477" priority="1443" stopIfTrue="1">
      <formula>IF($F958="I",TRUE,FALSE)</formula>
    </cfRule>
  </conditionalFormatting>
  <conditionalFormatting sqref="B959:D959 F959:G959 I959:P959">
    <cfRule type="expression" dxfId="1476" priority="1442" stopIfTrue="1">
      <formula>IF($A959&lt;&gt;"",IF(B959="",TRUE,FALSE),FALSE)</formula>
    </cfRule>
  </conditionalFormatting>
  <conditionalFormatting sqref="M959">
    <cfRule type="expression" dxfId="1475" priority="1441" stopIfTrue="1">
      <formula>IF($F959="I",TRUE,FALSE)</formula>
    </cfRule>
  </conditionalFormatting>
  <conditionalFormatting sqref="B960:D960 F960:G960 I960:P960">
    <cfRule type="expression" dxfId="1474" priority="1440" stopIfTrue="1">
      <formula>IF($A960&lt;&gt;"",IF(B960="",TRUE,FALSE),FALSE)</formula>
    </cfRule>
  </conditionalFormatting>
  <conditionalFormatting sqref="M960">
    <cfRule type="expression" dxfId="1473" priority="1439" stopIfTrue="1">
      <formula>IF($F960="I",TRUE,FALSE)</formula>
    </cfRule>
  </conditionalFormatting>
  <conditionalFormatting sqref="B961:D961 F961:G961 I961:P961">
    <cfRule type="expression" dxfId="1472" priority="1438" stopIfTrue="1">
      <formula>IF($A961&lt;&gt;"",IF(B961="",TRUE,FALSE),FALSE)</formula>
    </cfRule>
  </conditionalFormatting>
  <conditionalFormatting sqref="M961">
    <cfRule type="expression" dxfId="1471" priority="1437" stopIfTrue="1">
      <formula>IF($F961="I",TRUE,FALSE)</formula>
    </cfRule>
  </conditionalFormatting>
  <conditionalFormatting sqref="B962:D962 F962:G962 I962:P962">
    <cfRule type="expression" dxfId="1470" priority="1436" stopIfTrue="1">
      <formula>IF($A962&lt;&gt;"",IF(B962="",TRUE,FALSE),FALSE)</formula>
    </cfRule>
  </conditionalFormatting>
  <conditionalFormatting sqref="M962">
    <cfRule type="expression" dxfId="1469" priority="1435" stopIfTrue="1">
      <formula>IF($F962="I",TRUE,FALSE)</formula>
    </cfRule>
  </conditionalFormatting>
  <conditionalFormatting sqref="B963:D963 F963:G963 I963:P963">
    <cfRule type="expression" dxfId="1468" priority="1434" stopIfTrue="1">
      <formula>IF($A963&lt;&gt;"",IF(B963="",TRUE,FALSE),FALSE)</formula>
    </cfRule>
  </conditionalFormatting>
  <conditionalFormatting sqref="M963">
    <cfRule type="expression" dxfId="1467" priority="1433" stopIfTrue="1">
      <formula>IF($F963="I",TRUE,FALSE)</formula>
    </cfRule>
  </conditionalFormatting>
  <conditionalFormatting sqref="B964:D964 F964:G964 I964:P964">
    <cfRule type="expression" dxfId="1466" priority="1432" stopIfTrue="1">
      <formula>IF($A964&lt;&gt;"",IF(B964="",TRUE,FALSE),FALSE)</formula>
    </cfRule>
  </conditionalFormatting>
  <conditionalFormatting sqref="M964">
    <cfRule type="expression" dxfId="1465" priority="1431" stopIfTrue="1">
      <formula>IF($F964="I",TRUE,FALSE)</formula>
    </cfRule>
  </conditionalFormatting>
  <conditionalFormatting sqref="B965:D965 F965:G965 I965:P965">
    <cfRule type="expression" dxfId="1464" priority="1430" stopIfTrue="1">
      <formula>IF($A965&lt;&gt;"",IF(B965="",TRUE,FALSE),FALSE)</formula>
    </cfRule>
  </conditionalFormatting>
  <conditionalFormatting sqref="M965">
    <cfRule type="expression" dxfId="1463" priority="1429" stopIfTrue="1">
      <formula>IF($F965="I",TRUE,FALSE)</formula>
    </cfRule>
  </conditionalFormatting>
  <conditionalFormatting sqref="B966:D966 F966:G966 I966:P966">
    <cfRule type="expression" dxfId="1462" priority="1428" stopIfTrue="1">
      <formula>IF($A966&lt;&gt;"",IF(B966="",TRUE,FALSE),FALSE)</formula>
    </cfRule>
  </conditionalFormatting>
  <conditionalFormatting sqref="M966">
    <cfRule type="expression" dxfId="1461" priority="1427" stopIfTrue="1">
      <formula>IF($F966="I",TRUE,FALSE)</formula>
    </cfRule>
  </conditionalFormatting>
  <conditionalFormatting sqref="B967:D967 F967:G967 I967:P967">
    <cfRule type="expression" dxfId="1460" priority="1426" stopIfTrue="1">
      <formula>IF($A967&lt;&gt;"",IF(B967="",TRUE,FALSE),FALSE)</formula>
    </cfRule>
  </conditionalFormatting>
  <conditionalFormatting sqref="M967">
    <cfRule type="expression" dxfId="1459" priority="1425" stopIfTrue="1">
      <formula>IF($F967="I",TRUE,FALSE)</formula>
    </cfRule>
  </conditionalFormatting>
  <conditionalFormatting sqref="B968:D968 F968:G968 I968:P968">
    <cfRule type="expression" dxfId="1458" priority="1424" stopIfTrue="1">
      <formula>IF($A968&lt;&gt;"",IF(B968="",TRUE,FALSE),FALSE)</formula>
    </cfRule>
  </conditionalFormatting>
  <conditionalFormatting sqref="M968">
    <cfRule type="expression" dxfId="1457" priority="1423" stopIfTrue="1">
      <formula>IF($F968="I",TRUE,FALSE)</formula>
    </cfRule>
  </conditionalFormatting>
  <conditionalFormatting sqref="B969:D969 F969:G969 I969:P969">
    <cfRule type="expression" dxfId="1456" priority="1422" stopIfTrue="1">
      <formula>IF($A969&lt;&gt;"",IF(B969="",TRUE,FALSE),FALSE)</formula>
    </cfRule>
  </conditionalFormatting>
  <conditionalFormatting sqref="M969">
    <cfRule type="expression" dxfId="1455" priority="1421" stopIfTrue="1">
      <formula>IF($F969="I",TRUE,FALSE)</formula>
    </cfRule>
  </conditionalFormatting>
  <conditionalFormatting sqref="B970:D970 F970:G970 I970:P970">
    <cfRule type="expression" dxfId="1454" priority="1420" stopIfTrue="1">
      <formula>IF($A970&lt;&gt;"",IF(B970="",TRUE,FALSE),FALSE)</formula>
    </cfRule>
  </conditionalFormatting>
  <conditionalFormatting sqref="M970">
    <cfRule type="expression" dxfId="1453" priority="1419" stopIfTrue="1">
      <formula>IF($F970="I",TRUE,FALSE)</formula>
    </cfRule>
  </conditionalFormatting>
  <conditionalFormatting sqref="B971:D971 F971:G971 I971:P971">
    <cfRule type="expression" dxfId="1452" priority="1418" stopIfTrue="1">
      <formula>IF($A971&lt;&gt;"",IF(B971="",TRUE,FALSE),FALSE)</formula>
    </cfRule>
  </conditionalFormatting>
  <conditionalFormatting sqref="M971">
    <cfRule type="expression" dxfId="1451" priority="1417" stopIfTrue="1">
      <formula>IF($F971="I",TRUE,FALSE)</formula>
    </cfRule>
  </conditionalFormatting>
  <conditionalFormatting sqref="B972:D972 F972:G972 I972:P972">
    <cfRule type="expression" dxfId="1450" priority="1416" stopIfTrue="1">
      <formula>IF($A972&lt;&gt;"",IF(B972="",TRUE,FALSE),FALSE)</formula>
    </cfRule>
  </conditionalFormatting>
  <conditionalFormatting sqref="M972">
    <cfRule type="expression" dxfId="1449" priority="1415" stopIfTrue="1">
      <formula>IF($F972="I",TRUE,FALSE)</formula>
    </cfRule>
  </conditionalFormatting>
  <conditionalFormatting sqref="B973:D973 F973:G973 I973:P973">
    <cfRule type="expression" dxfId="1448" priority="1414" stopIfTrue="1">
      <formula>IF($A973&lt;&gt;"",IF(B973="",TRUE,FALSE),FALSE)</formula>
    </cfRule>
  </conditionalFormatting>
  <conditionalFormatting sqref="M973">
    <cfRule type="expression" dxfId="1447" priority="1413" stopIfTrue="1">
      <formula>IF($F973="I",TRUE,FALSE)</formula>
    </cfRule>
  </conditionalFormatting>
  <conditionalFormatting sqref="B974:D974 F974:G974 I974:P974">
    <cfRule type="expression" dxfId="1446" priority="1412" stopIfTrue="1">
      <formula>IF($A974&lt;&gt;"",IF(B974="",TRUE,FALSE),FALSE)</formula>
    </cfRule>
  </conditionalFormatting>
  <conditionalFormatting sqref="M974">
    <cfRule type="expression" dxfId="1445" priority="1411" stopIfTrue="1">
      <formula>IF($F974="I",TRUE,FALSE)</formula>
    </cfRule>
  </conditionalFormatting>
  <conditionalFormatting sqref="B975:D975 F975:G975 I975:P975">
    <cfRule type="expression" dxfId="1444" priority="1410" stopIfTrue="1">
      <formula>IF($A975&lt;&gt;"",IF(B975="",TRUE,FALSE),FALSE)</formula>
    </cfRule>
  </conditionalFormatting>
  <conditionalFormatting sqref="M975">
    <cfRule type="expression" dxfId="1443" priority="1409" stopIfTrue="1">
      <formula>IF($F975="I",TRUE,FALSE)</formula>
    </cfRule>
  </conditionalFormatting>
  <conditionalFormatting sqref="B976:D976 F976:G976 I976:P976">
    <cfRule type="expression" dxfId="1442" priority="1408" stopIfTrue="1">
      <formula>IF($A976&lt;&gt;"",IF(B976="",TRUE,FALSE),FALSE)</formula>
    </cfRule>
  </conditionalFormatting>
  <conditionalFormatting sqref="M976">
    <cfRule type="expression" dxfId="1441" priority="1407" stopIfTrue="1">
      <formula>IF($F976="I",TRUE,FALSE)</formula>
    </cfRule>
  </conditionalFormatting>
  <conditionalFormatting sqref="B977:D977 F977:G977 I977:P977">
    <cfRule type="expression" dxfId="1440" priority="1406" stopIfTrue="1">
      <formula>IF($A977&lt;&gt;"",IF(B977="",TRUE,FALSE),FALSE)</formula>
    </cfRule>
  </conditionalFormatting>
  <conditionalFormatting sqref="M977">
    <cfRule type="expression" dxfId="1439" priority="1405" stopIfTrue="1">
      <formula>IF($F977="I",TRUE,FALSE)</formula>
    </cfRule>
  </conditionalFormatting>
  <conditionalFormatting sqref="B978:D978 F978:G978 I978:P978">
    <cfRule type="expression" dxfId="1438" priority="1404" stopIfTrue="1">
      <formula>IF($A978&lt;&gt;"",IF(B978="",TRUE,FALSE),FALSE)</formula>
    </cfRule>
  </conditionalFormatting>
  <conditionalFormatting sqref="M978">
    <cfRule type="expression" dxfId="1437" priority="1403" stopIfTrue="1">
      <formula>IF($F978="I",TRUE,FALSE)</formula>
    </cfRule>
  </conditionalFormatting>
  <conditionalFormatting sqref="B979:D979 F979:G979 I979:P979">
    <cfRule type="expression" dxfId="1436" priority="1402" stopIfTrue="1">
      <formula>IF($A979&lt;&gt;"",IF(B979="",TRUE,FALSE),FALSE)</formula>
    </cfRule>
  </conditionalFormatting>
  <conditionalFormatting sqref="M979">
    <cfRule type="expression" dxfId="1435" priority="1401" stopIfTrue="1">
      <formula>IF($F979="I",TRUE,FALSE)</formula>
    </cfRule>
  </conditionalFormatting>
  <conditionalFormatting sqref="B980:D980 F980:G980 I980:P980">
    <cfRule type="expression" dxfId="1434" priority="1400" stopIfTrue="1">
      <formula>IF($A980&lt;&gt;"",IF(B980="",TRUE,FALSE),FALSE)</formula>
    </cfRule>
  </conditionalFormatting>
  <conditionalFormatting sqref="M980">
    <cfRule type="expression" dxfId="1433" priority="1399" stopIfTrue="1">
      <formula>IF($F980="I",TRUE,FALSE)</formula>
    </cfRule>
  </conditionalFormatting>
  <conditionalFormatting sqref="B981:D981 F981:G981 I981:P981">
    <cfRule type="expression" dxfId="1432" priority="1398" stopIfTrue="1">
      <formula>IF($A981&lt;&gt;"",IF(B981="",TRUE,FALSE),FALSE)</formula>
    </cfRule>
  </conditionalFormatting>
  <conditionalFormatting sqref="M981">
    <cfRule type="expression" dxfId="1431" priority="1397" stopIfTrue="1">
      <formula>IF($F981="I",TRUE,FALSE)</formula>
    </cfRule>
  </conditionalFormatting>
  <conditionalFormatting sqref="B982:D982 F982:G982 I982:P982">
    <cfRule type="expression" dxfId="1430" priority="1396" stopIfTrue="1">
      <formula>IF($A982&lt;&gt;"",IF(B982="",TRUE,FALSE),FALSE)</formula>
    </cfRule>
  </conditionalFormatting>
  <conditionalFormatting sqref="M982">
    <cfRule type="expression" dxfId="1429" priority="1395" stopIfTrue="1">
      <formula>IF($F982="I",TRUE,FALSE)</formula>
    </cfRule>
  </conditionalFormatting>
  <conditionalFormatting sqref="B983:D983 F983:G983 I983:P983">
    <cfRule type="expression" dxfId="1428" priority="1394" stopIfTrue="1">
      <formula>IF($A983&lt;&gt;"",IF(B983="",TRUE,FALSE),FALSE)</formula>
    </cfRule>
  </conditionalFormatting>
  <conditionalFormatting sqref="M983">
    <cfRule type="expression" dxfId="1427" priority="1393" stopIfTrue="1">
      <formula>IF($F983="I",TRUE,FALSE)</formula>
    </cfRule>
  </conditionalFormatting>
  <conditionalFormatting sqref="B984:D984 F984:G984 I984:P984">
    <cfRule type="expression" dxfId="1426" priority="1392" stopIfTrue="1">
      <formula>IF($A984&lt;&gt;"",IF(B984="",TRUE,FALSE),FALSE)</formula>
    </cfRule>
  </conditionalFormatting>
  <conditionalFormatting sqref="M984">
    <cfRule type="expression" dxfId="1425" priority="1391" stopIfTrue="1">
      <formula>IF($F984="I",TRUE,FALSE)</formula>
    </cfRule>
  </conditionalFormatting>
  <conditionalFormatting sqref="B985:D985 F985:G985 I985:P985">
    <cfRule type="expression" dxfId="1424" priority="1390" stopIfTrue="1">
      <formula>IF($A985&lt;&gt;"",IF(B985="",TRUE,FALSE),FALSE)</formula>
    </cfRule>
  </conditionalFormatting>
  <conditionalFormatting sqref="M985">
    <cfRule type="expression" dxfId="1423" priority="1389" stopIfTrue="1">
      <formula>IF($F985="I",TRUE,FALSE)</formula>
    </cfRule>
  </conditionalFormatting>
  <conditionalFormatting sqref="B986:D986 F986:G986 I986:P986">
    <cfRule type="expression" dxfId="1422" priority="1388" stopIfTrue="1">
      <formula>IF($A986&lt;&gt;"",IF(B986="",TRUE,FALSE),FALSE)</formula>
    </cfRule>
  </conditionalFormatting>
  <conditionalFormatting sqref="M986">
    <cfRule type="expression" dxfId="1421" priority="1387" stopIfTrue="1">
      <formula>IF($F986="I",TRUE,FALSE)</formula>
    </cfRule>
  </conditionalFormatting>
  <conditionalFormatting sqref="B987:D987 F987:G987 I987:P987">
    <cfRule type="expression" dxfId="1420" priority="1386" stopIfTrue="1">
      <formula>IF($A987&lt;&gt;"",IF(B987="",TRUE,FALSE),FALSE)</formula>
    </cfRule>
  </conditionalFormatting>
  <conditionalFormatting sqref="M987">
    <cfRule type="expression" dxfId="1419" priority="1385" stopIfTrue="1">
      <formula>IF($F987="I",TRUE,FALSE)</formula>
    </cfRule>
  </conditionalFormatting>
  <conditionalFormatting sqref="B988:D988 F988:G988 I988:P988">
    <cfRule type="expression" dxfId="1418" priority="1384" stopIfTrue="1">
      <formula>IF($A988&lt;&gt;"",IF(B988="",TRUE,FALSE),FALSE)</formula>
    </cfRule>
  </conditionalFormatting>
  <conditionalFormatting sqref="M988">
    <cfRule type="expression" dxfId="1417" priority="1383" stopIfTrue="1">
      <formula>IF($F988="I",TRUE,FALSE)</formula>
    </cfRule>
  </conditionalFormatting>
  <conditionalFormatting sqref="B989:D989 F989:G989 I989:P989">
    <cfRule type="expression" dxfId="1416" priority="1382" stopIfTrue="1">
      <formula>IF($A989&lt;&gt;"",IF(B989="",TRUE,FALSE),FALSE)</formula>
    </cfRule>
  </conditionalFormatting>
  <conditionalFormatting sqref="M989">
    <cfRule type="expression" dxfId="1415" priority="1381" stopIfTrue="1">
      <formula>IF($F989="I",TRUE,FALSE)</formula>
    </cfRule>
  </conditionalFormatting>
  <conditionalFormatting sqref="B990:D990 F990:G990 I990:P990">
    <cfRule type="expression" dxfId="1414" priority="1380" stopIfTrue="1">
      <formula>IF($A990&lt;&gt;"",IF(B990="",TRUE,FALSE),FALSE)</formula>
    </cfRule>
  </conditionalFormatting>
  <conditionalFormatting sqref="M990">
    <cfRule type="expression" dxfId="1413" priority="1379" stopIfTrue="1">
      <formula>IF($F990="I",TRUE,FALSE)</formula>
    </cfRule>
  </conditionalFormatting>
  <conditionalFormatting sqref="B991:D991 F991:G991 I991:P991">
    <cfRule type="expression" dxfId="1412" priority="1378" stopIfTrue="1">
      <formula>IF($A991&lt;&gt;"",IF(B991="",TRUE,FALSE),FALSE)</formula>
    </cfRule>
  </conditionalFormatting>
  <conditionalFormatting sqref="M991">
    <cfRule type="expression" dxfId="1411" priority="1377" stopIfTrue="1">
      <formula>IF($F991="I",TRUE,FALSE)</formula>
    </cfRule>
  </conditionalFormatting>
  <conditionalFormatting sqref="B992:D992 F992:G992 I992:P992">
    <cfRule type="expression" dxfId="1410" priority="1376" stopIfTrue="1">
      <formula>IF($A992&lt;&gt;"",IF(B992="",TRUE,FALSE),FALSE)</formula>
    </cfRule>
  </conditionalFormatting>
  <conditionalFormatting sqref="M992">
    <cfRule type="expression" dxfId="1409" priority="1375" stopIfTrue="1">
      <formula>IF($F992="I",TRUE,FALSE)</formula>
    </cfRule>
  </conditionalFormatting>
  <conditionalFormatting sqref="B993:D993 F993:G993 I993:P993">
    <cfRule type="expression" dxfId="1408" priority="1374" stopIfTrue="1">
      <formula>IF($A993&lt;&gt;"",IF(B993="",TRUE,FALSE),FALSE)</formula>
    </cfRule>
  </conditionalFormatting>
  <conditionalFormatting sqref="M993">
    <cfRule type="expression" dxfId="1407" priority="1373" stopIfTrue="1">
      <formula>IF($F993="I",TRUE,FALSE)</formula>
    </cfRule>
  </conditionalFormatting>
  <conditionalFormatting sqref="B994:D994 F994:G994 I994:P994">
    <cfRule type="expression" dxfId="1406" priority="1372" stopIfTrue="1">
      <formula>IF($A994&lt;&gt;"",IF(B994="",TRUE,FALSE),FALSE)</formula>
    </cfRule>
  </conditionalFormatting>
  <conditionalFormatting sqref="M994">
    <cfRule type="expression" dxfId="1405" priority="1371" stopIfTrue="1">
      <formula>IF($F994="I",TRUE,FALSE)</formula>
    </cfRule>
  </conditionalFormatting>
  <conditionalFormatting sqref="B995:D995 F995:G995 I995:P995">
    <cfRule type="expression" dxfId="1404" priority="1370" stopIfTrue="1">
      <formula>IF($A995&lt;&gt;"",IF(B995="",TRUE,FALSE),FALSE)</formula>
    </cfRule>
  </conditionalFormatting>
  <conditionalFormatting sqref="M995">
    <cfRule type="expression" dxfId="1403" priority="1369" stopIfTrue="1">
      <formula>IF($F995="I",TRUE,FALSE)</formula>
    </cfRule>
  </conditionalFormatting>
  <conditionalFormatting sqref="B996:D996 F996:G996 I996:P996">
    <cfRule type="expression" dxfId="1402" priority="1368" stopIfTrue="1">
      <formula>IF($A996&lt;&gt;"",IF(B996="",TRUE,FALSE),FALSE)</formula>
    </cfRule>
  </conditionalFormatting>
  <conditionalFormatting sqref="M996">
    <cfRule type="expression" dxfId="1401" priority="1367" stopIfTrue="1">
      <formula>IF($F996="I",TRUE,FALSE)</formula>
    </cfRule>
  </conditionalFormatting>
  <conditionalFormatting sqref="B997:D997 F997:G997 I997:P997">
    <cfRule type="expression" dxfId="1400" priority="1366" stopIfTrue="1">
      <formula>IF($A997&lt;&gt;"",IF(B997="",TRUE,FALSE),FALSE)</formula>
    </cfRule>
  </conditionalFormatting>
  <conditionalFormatting sqref="M997">
    <cfRule type="expression" dxfId="1399" priority="1365" stopIfTrue="1">
      <formula>IF($F997="I",TRUE,FALSE)</formula>
    </cfRule>
  </conditionalFormatting>
  <conditionalFormatting sqref="B998:D998 F998:G998 I998:P998">
    <cfRule type="expression" dxfId="1398" priority="1364" stopIfTrue="1">
      <formula>IF($A998&lt;&gt;"",IF(B998="",TRUE,FALSE),FALSE)</formula>
    </cfRule>
  </conditionalFormatting>
  <conditionalFormatting sqref="M998">
    <cfRule type="expression" dxfId="1397" priority="1363" stopIfTrue="1">
      <formula>IF($F998="I",TRUE,FALSE)</formula>
    </cfRule>
  </conditionalFormatting>
  <conditionalFormatting sqref="B999:D999 F999:G999 I999:P999">
    <cfRule type="expression" dxfId="1396" priority="1362" stopIfTrue="1">
      <formula>IF($A999&lt;&gt;"",IF(B999="",TRUE,FALSE),FALSE)</formula>
    </cfRule>
  </conditionalFormatting>
  <conditionalFormatting sqref="M999">
    <cfRule type="expression" dxfId="1395" priority="1361" stopIfTrue="1">
      <formula>IF($F999="I",TRUE,FALSE)</formula>
    </cfRule>
  </conditionalFormatting>
  <conditionalFormatting sqref="B1000:D1000 F1000:G1000 I1000:P1000">
    <cfRule type="expression" dxfId="1394" priority="1360" stopIfTrue="1">
      <formula>IF($A1000&lt;&gt;"",IF(B1000="",TRUE,FALSE),FALSE)</formula>
    </cfRule>
  </conditionalFormatting>
  <conditionalFormatting sqref="M1000">
    <cfRule type="expression" dxfId="1393" priority="1359" stopIfTrue="1">
      <formula>IF($F1000="I",TRUE,FALSE)</formula>
    </cfRule>
  </conditionalFormatting>
  <conditionalFormatting sqref="B1001:D1001 F1001:G1001 I1001:P1001">
    <cfRule type="expression" dxfId="1392" priority="1358" stopIfTrue="1">
      <formula>IF($A1001&lt;&gt;"",IF(B1001="",TRUE,FALSE),FALSE)</formula>
    </cfRule>
  </conditionalFormatting>
  <conditionalFormatting sqref="M1001">
    <cfRule type="expression" dxfId="1391" priority="1357" stopIfTrue="1">
      <formula>IF($F1001="I",TRUE,FALSE)</formula>
    </cfRule>
  </conditionalFormatting>
  <conditionalFormatting sqref="B1002:D1002 F1002:G1002 I1002:P1002">
    <cfRule type="expression" dxfId="1390" priority="1356" stopIfTrue="1">
      <formula>IF($A1002&lt;&gt;"",IF(B1002="",TRUE,FALSE),FALSE)</formula>
    </cfRule>
  </conditionalFormatting>
  <conditionalFormatting sqref="M1002">
    <cfRule type="expression" dxfId="1389" priority="1355" stopIfTrue="1">
      <formula>IF($F1002="I",TRUE,FALSE)</formula>
    </cfRule>
  </conditionalFormatting>
  <conditionalFormatting sqref="B1003:D1003 F1003:G1003 I1003:P1003">
    <cfRule type="expression" dxfId="1388" priority="1354" stopIfTrue="1">
      <formula>IF($A1003&lt;&gt;"",IF(B1003="",TRUE,FALSE),FALSE)</formula>
    </cfRule>
  </conditionalFormatting>
  <conditionalFormatting sqref="M1003">
    <cfRule type="expression" dxfId="1387" priority="1353" stopIfTrue="1">
      <formula>IF($F1003="I",TRUE,FALSE)</formula>
    </cfRule>
  </conditionalFormatting>
  <conditionalFormatting sqref="B1004:D1004 F1004:G1004 I1004:P1004">
    <cfRule type="expression" dxfId="1386" priority="1352" stopIfTrue="1">
      <formula>IF($A1004&lt;&gt;"",IF(B1004="",TRUE,FALSE),FALSE)</formula>
    </cfRule>
  </conditionalFormatting>
  <conditionalFormatting sqref="M1004">
    <cfRule type="expression" dxfId="1385" priority="1351" stopIfTrue="1">
      <formula>IF($F1004="I",TRUE,FALSE)</formula>
    </cfRule>
  </conditionalFormatting>
  <conditionalFormatting sqref="B1005:D1005 F1005:G1005 I1005:P1005">
    <cfRule type="expression" dxfId="1384" priority="1350" stopIfTrue="1">
      <formula>IF($A1005&lt;&gt;"",IF(B1005="",TRUE,FALSE),FALSE)</formula>
    </cfRule>
  </conditionalFormatting>
  <conditionalFormatting sqref="M1005">
    <cfRule type="expression" dxfId="1383" priority="1349" stopIfTrue="1">
      <formula>IF($F1005="I",TRUE,FALSE)</formula>
    </cfRule>
  </conditionalFormatting>
  <conditionalFormatting sqref="B1006:D1006 F1006:G1006 I1006:P1006">
    <cfRule type="expression" dxfId="1382" priority="1348" stopIfTrue="1">
      <formula>IF($A1006&lt;&gt;"",IF(B1006="",TRUE,FALSE),FALSE)</formula>
    </cfRule>
  </conditionalFormatting>
  <conditionalFormatting sqref="M1006">
    <cfRule type="expression" dxfId="1381" priority="1347" stopIfTrue="1">
      <formula>IF($F1006="I",TRUE,FALSE)</formula>
    </cfRule>
  </conditionalFormatting>
  <conditionalFormatting sqref="B1007:D1007 F1007:G1007 I1007:P1007">
    <cfRule type="expression" dxfId="1380" priority="1346" stopIfTrue="1">
      <formula>IF($A1007&lt;&gt;"",IF(B1007="",TRUE,FALSE),FALSE)</formula>
    </cfRule>
  </conditionalFormatting>
  <conditionalFormatting sqref="M1007">
    <cfRule type="expression" dxfId="1379" priority="1345" stopIfTrue="1">
      <formula>IF($F1007="I",TRUE,FALSE)</formula>
    </cfRule>
  </conditionalFormatting>
  <conditionalFormatting sqref="B1008:D1008 F1008:G1008 I1008:P1008">
    <cfRule type="expression" dxfId="1378" priority="1344" stopIfTrue="1">
      <formula>IF($A1008&lt;&gt;"",IF(B1008="",TRUE,FALSE),FALSE)</formula>
    </cfRule>
  </conditionalFormatting>
  <conditionalFormatting sqref="M1008">
    <cfRule type="expression" dxfId="1377" priority="1343" stopIfTrue="1">
      <formula>IF($F1008="I",TRUE,FALSE)</formula>
    </cfRule>
  </conditionalFormatting>
  <conditionalFormatting sqref="B1009:D1009 F1009:G1009 I1009:P1009">
    <cfRule type="expression" dxfId="1376" priority="1342" stopIfTrue="1">
      <formula>IF($A1009&lt;&gt;"",IF(B1009="",TRUE,FALSE),FALSE)</formula>
    </cfRule>
  </conditionalFormatting>
  <conditionalFormatting sqref="M1009">
    <cfRule type="expression" dxfId="1375" priority="1341" stopIfTrue="1">
      <formula>IF($F1009="I",TRUE,FALSE)</formula>
    </cfRule>
  </conditionalFormatting>
  <conditionalFormatting sqref="B1010:D1010 F1010:G1010 I1010:P1010">
    <cfRule type="expression" dxfId="1374" priority="1340" stopIfTrue="1">
      <formula>IF($A1010&lt;&gt;"",IF(B1010="",TRUE,FALSE),FALSE)</formula>
    </cfRule>
  </conditionalFormatting>
  <conditionalFormatting sqref="M1010">
    <cfRule type="expression" dxfId="1373" priority="1339" stopIfTrue="1">
      <formula>IF($F1010="I",TRUE,FALSE)</formula>
    </cfRule>
  </conditionalFormatting>
  <conditionalFormatting sqref="B1011:D1011 F1011:G1011 I1011:P1011">
    <cfRule type="expression" dxfId="1372" priority="1338" stopIfTrue="1">
      <formula>IF($A1011&lt;&gt;"",IF(B1011="",TRUE,FALSE),FALSE)</formula>
    </cfRule>
  </conditionalFormatting>
  <conditionalFormatting sqref="M1011">
    <cfRule type="expression" dxfId="1371" priority="1337" stopIfTrue="1">
      <formula>IF($F1011="I",TRUE,FALSE)</formula>
    </cfRule>
  </conditionalFormatting>
  <conditionalFormatting sqref="B1012:D1012 F1012:G1012 I1012:P1012">
    <cfRule type="expression" dxfId="1370" priority="1336" stopIfTrue="1">
      <formula>IF($A1012&lt;&gt;"",IF(B1012="",TRUE,FALSE),FALSE)</formula>
    </cfRule>
  </conditionalFormatting>
  <conditionalFormatting sqref="M1012">
    <cfRule type="expression" dxfId="1369" priority="1335" stopIfTrue="1">
      <formula>IF($F1012="I",TRUE,FALSE)</formula>
    </cfRule>
  </conditionalFormatting>
  <conditionalFormatting sqref="B1013:D1013 F1013:G1013 I1013:P1013">
    <cfRule type="expression" dxfId="1368" priority="1334" stopIfTrue="1">
      <formula>IF($A1013&lt;&gt;"",IF(B1013="",TRUE,FALSE),FALSE)</formula>
    </cfRule>
  </conditionalFormatting>
  <conditionalFormatting sqref="M1013">
    <cfRule type="expression" dxfId="1367" priority="1333" stopIfTrue="1">
      <formula>IF($F1013="I",TRUE,FALSE)</formula>
    </cfRule>
  </conditionalFormatting>
  <conditionalFormatting sqref="B1014:D1014 F1014:G1014 I1014:P1014">
    <cfRule type="expression" dxfId="1366" priority="1332" stopIfTrue="1">
      <formula>IF($A1014&lt;&gt;"",IF(B1014="",TRUE,FALSE),FALSE)</formula>
    </cfRule>
  </conditionalFormatting>
  <conditionalFormatting sqref="M1014">
    <cfRule type="expression" dxfId="1365" priority="1331" stopIfTrue="1">
      <formula>IF($F1014="I",TRUE,FALSE)</formula>
    </cfRule>
  </conditionalFormatting>
  <conditionalFormatting sqref="B1015:D1015 F1015:G1015 I1015:P1015">
    <cfRule type="expression" dxfId="1364" priority="1330" stopIfTrue="1">
      <formula>IF($A1015&lt;&gt;"",IF(B1015="",TRUE,FALSE),FALSE)</formula>
    </cfRule>
  </conditionalFormatting>
  <conditionalFormatting sqref="M1015">
    <cfRule type="expression" dxfId="1363" priority="1329" stopIfTrue="1">
      <formula>IF($F1015="I",TRUE,FALSE)</formula>
    </cfRule>
  </conditionalFormatting>
  <conditionalFormatting sqref="B1016:D1016 F1016:G1016 I1016:P1016">
    <cfRule type="expression" dxfId="1362" priority="1328" stopIfTrue="1">
      <formula>IF($A1016&lt;&gt;"",IF(B1016="",TRUE,FALSE),FALSE)</formula>
    </cfRule>
  </conditionalFormatting>
  <conditionalFormatting sqref="M1016">
    <cfRule type="expression" dxfId="1361" priority="1327" stopIfTrue="1">
      <formula>IF($F1016="I",TRUE,FALSE)</formula>
    </cfRule>
  </conditionalFormatting>
  <conditionalFormatting sqref="B1017:D1017 F1017:G1017 I1017:P1017">
    <cfRule type="expression" dxfId="1360" priority="1326" stopIfTrue="1">
      <formula>IF($A1017&lt;&gt;"",IF(B1017="",TRUE,FALSE),FALSE)</formula>
    </cfRule>
  </conditionalFormatting>
  <conditionalFormatting sqref="M1017">
    <cfRule type="expression" dxfId="1359" priority="1325" stopIfTrue="1">
      <formula>IF($F1017="I",TRUE,FALSE)</formula>
    </cfRule>
  </conditionalFormatting>
  <conditionalFormatting sqref="B1018:D1018 F1018:G1018 I1018:P1018">
    <cfRule type="expression" dxfId="1358" priority="1324" stopIfTrue="1">
      <formula>IF($A1018&lt;&gt;"",IF(B1018="",TRUE,FALSE),FALSE)</formula>
    </cfRule>
  </conditionalFormatting>
  <conditionalFormatting sqref="M1018">
    <cfRule type="expression" dxfId="1357" priority="1323" stopIfTrue="1">
      <formula>IF($F1018="I",TRUE,FALSE)</formula>
    </cfRule>
  </conditionalFormatting>
  <conditionalFormatting sqref="B1019:D1019 F1019:G1019 I1019:P1019">
    <cfRule type="expression" dxfId="1356" priority="1322" stopIfTrue="1">
      <formula>IF($A1019&lt;&gt;"",IF(B1019="",TRUE,FALSE),FALSE)</formula>
    </cfRule>
  </conditionalFormatting>
  <conditionalFormatting sqref="M1019">
    <cfRule type="expression" dxfId="1355" priority="1321" stopIfTrue="1">
      <formula>IF($F1019="I",TRUE,FALSE)</formula>
    </cfRule>
  </conditionalFormatting>
  <conditionalFormatting sqref="B1020:D1020 F1020:G1020 I1020:P1020">
    <cfRule type="expression" dxfId="1354" priority="1320" stopIfTrue="1">
      <formula>IF($A1020&lt;&gt;"",IF(B1020="",TRUE,FALSE),FALSE)</formula>
    </cfRule>
  </conditionalFormatting>
  <conditionalFormatting sqref="M1020">
    <cfRule type="expression" dxfId="1353" priority="1319" stopIfTrue="1">
      <formula>IF($F1020="I",TRUE,FALSE)</formula>
    </cfRule>
  </conditionalFormatting>
  <conditionalFormatting sqref="B1021:D1021 F1021:G1021 I1021:P1021">
    <cfRule type="expression" dxfId="1352" priority="1318" stopIfTrue="1">
      <formula>IF($A1021&lt;&gt;"",IF(B1021="",TRUE,FALSE),FALSE)</formula>
    </cfRule>
  </conditionalFormatting>
  <conditionalFormatting sqref="M1021">
    <cfRule type="expression" dxfId="1351" priority="1317" stopIfTrue="1">
      <formula>IF($F1021="I",TRUE,FALSE)</formula>
    </cfRule>
  </conditionalFormatting>
  <conditionalFormatting sqref="B1022:D1022 F1022:G1022 I1022:P1022">
    <cfRule type="expression" dxfId="1350" priority="1316" stopIfTrue="1">
      <formula>IF($A1022&lt;&gt;"",IF(B1022="",TRUE,FALSE),FALSE)</formula>
    </cfRule>
  </conditionalFormatting>
  <conditionalFormatting sqref="M1022">
    <cfRule type="expression" dxfId="1349" priority="1315" stopIfTrue="1">
      <formula>IF($F1022="I",TRUE,FALSE)</formula>
    </cfRule>
  </conditionalFormatting>
  <conditionalFormatting sqref="B1023:D1023 F1023:G1023 I1023:P1023">
    <cfRule type="expression" dxfId="1348" priority="1314" stopIfTrue="1">
      <formula>IF($A1023&lt;&gt;"",IF(B1023="",TRUE,FALSE),FALSE)</formula>
    </cfRule>
  </conditionalFormatting>
  <conditionalFormatting sqref="M1023">
    <cfRule type="expression" dxfId="1347" priority="1313" stopIfTrue="1">
      <formula>IF($F1023="I",TRUE,FALSE)</formula>
    </cfRule>
  </conditionalFormatting>
  <conditionalFormatting sqref="B1024:D1024 F1024:G1024 I1024:P1024">
    <cfRule type="expression" dxfId="1346" priority="1312" stopIfTrue="1">
      <formula>IF($A1024&lt;&gt;"",IF(B1024="",TRUE,FALSE),FALSE)</formula>
    </cfRule>
  </conditionalFormatting>
  <conditionalFormatting sqref="M1024">
    <cfRule type="expression" dxfId="1345" priority="1311" stopIfTrue="1">
      <formula>IF($F1024="I",TRUE,FALSE)</formula>
    </cfRule>
  </conditionalFormatting>
  <conditionalFormatting sqref="B1025:D1025 F1025:G1025 I1025:P1025">
    <cfRule type="expression" dxfId="1344" priority="1310" stopIfTrue="1">
      <formula>IF($A1025&lt;&gt;"",IF(B1025="",TRUE,FALSE),FALSE)</formula>
    </cfRule>
  </conditionalFormatting>
  <conditionalFormatting sqref="M1025">
    <cfRule type="expression" dxfId="1343" priority="1309" stopIfTrue="1">
      <formula>IF($F1025="I",TRUE,FALSE)</formula>
    </cfRule>
  </conditionalFormatting>
  <conditionalFormatting sqref="B1026:D1026 F1026:G1026 I1026:P1026">
    <cfRule type="expression" dxfId="1342" priority="1308" stopIfTrue="1">
      <formula>IF($A1026&lt;&gt;"",IF(B1026="",TRUE,FALSE),FALSE)</formula>
    </cfRule>
  </conditionalFormatting>
  <conditionalFormatting sqref="M1026">
    <cfRule type="expression" dxfId="1341" priority="1307" stopIfTrue="1">
      <formula>IF($F1026="I",TRUE,FALSE)</formula>
    </cfRule>
  </conditionalFormatting>
  <conditionalFormatting sqref="B1027:D1027 F1027:G1027 I1027:P1027">
    <cfRule type="expression" dxfId="1340" priority="1306" stopIfTrue="1">
      <formula>IF($A1027&lt;&gt;"",IF(B1027="",TRUE,FALSE),FALSE)</formula>
    </cfRule>
  </conditionalFormatting>
  <conditionalFormatting sqref="M1027">
    <cfRule type="expression" dxfId="1339" priority="1305" stopIfTrue="1">
      <formula>IF($F1027="I",TRUE,FALSE)</formula>
    </cfRule>
  </conditionalFormatting>
  <conditionalFormatting sqref="B1028:D1028 F1028:G1028 I1028:P1028">
    <cfRule type="expression" dxfId="1338" priority="1304" stopIfTrue="1">
      <formula>IF($A1028&lt;&gt;"",IF(B1028="",TRUE,FALSE),FALSE)</formula>
    </cfRule>
  </conditionalFormatting>
  <conditionalFormatting sqref="M1028">
    <cfRule type="expression" dxfId="1337" priority="1303" stopIfTrue="1">
      <formula>IF($F1028="I",TRUE,FALSE)</formula>
    </cfRule>
  </conditionalFormatting>
  <conditionalFormatting sqref="B1029:D1029 F1029:G1029 I1029:P1029">
    <cfRule type="expression" dxfId="1336" priority="1302" stopIfTrue="1">
      <formula>IF($A1029&lt;&gt;"",IF(B1029="",TRUE,FALSE),FALSE)</formula>
    </cfRule>
  </conditionalFormatting>
  <conditionalFormatting sqref="M1029">
    <cfRule type="expression" dxfId="1335" priority="1301" stopIfTrue="1">
      <formula>IF($F1029="I",TRUE,FALSE)</formula>
    </cfRule>
  </conditionalFormatting>
  <conditionalFormatting sqref="B1030:D1030 F1030:G1030 I1030:P1030">
    <cfRule type="expression" dxfId="1334" priority="1300" stopIfTrue="1">
      <formula>IF($A1030&lt;&gt;"",IF(B1030="",TRUE,FALSE),FALSE)</formula>
    </cfRule>
  </conditionalFormatting>
  <conditionalFormatting sqref="M1030">
    <cfRule type="expression" dxfId="1333" priority="1299" stopIfTrue="1">
      <formula>IF($F1030="I",TRUE,FALSE)</formula>
    </cfRule>
  </conditionalFormatting>
  <conditionalFormatting sqref="B1031:D1031 F1031:G1031 I1031:P1031">
    <cfRule type="expression" dxfId="1332" priority="1298" stopIfTrue="1">
      <formula>IF($A1031&lt;&gt;"",IF(B1031="",TRUE,FALSE),FALSE)</formula>
    </cfRule>
  </conditionalFormatting>
  <conditionalFormatting sqref="M1031">
    <cfRule type="expression" dxfId="1331" priority="1297" stopIfTrue="1">
      <formula>IF($F1031="I",TRUE,FALSE)</formula>
    </cfRule>
  </conditionalFormatting>
  <conditionalFormatting sqref="B1032:D1032 F1032:G1032 I1032:P1032">
    <cfRule type="expression" dxfId="1330" priority="1296" stopIfTrue="1">
      <formula>IF($A1032&lt;&gt;"",IF(B1032="",TRUE,FALSE),FALSE)</formula>
    </cfRule>
  </conditionalFormatting>
  <conditionalFormatting sqref="M1032">
    <cfRule type="expression" dxfId="1329" priority="1295" stopIfTrue="1">
      <formula>IF($F1032="I",TRUE,FALSE)</formula>
    </cfRule>
  </conditionalFormatting>
  <conditionalFormatting sqref="B1033:D1033 F1033:G1033 I1033:P1033">
    <cfRule type="expression" dxfId="1328" priority="1294" stopIfTrue="1">
      <formula>IF($A1033&lt;&gt;"",IF(B1033="",TRUE,FALSE),FALSE)</formula>
    </cfRule>
  </conditionalFormatting>
  <conditionalFormatting sqref="M1033">
    <cfRule type="expression" dxfId="1327" priority="1293" stopIfTrue="1">
      <formula>IF($F1033="I",TRUE,FALSE)</formula>
    </cfRule>
  </conditionalFormatting>
  <conditionalFormatting sqref="B1034:D1034 F1034:G1034 I1034:P1034">
    <cfRule type="expression" dxfId="1326" priority="1292" stopIfTrue="1">
      <formula>IF($A1034&lt;&gt;"",IF(B1034="",TRUE,FALSE),FALSE)</formula>
    </cfRule>
  </conditionalFormatting>
  <conditionalFormatting sqref="M1034">
    <cfRule type="expression" dxfId="1325" priority="1291" stopIfTrue="1">
      <formula>IF($F1034="I",TRUE,FALSE)</formula>
    </cfRule>
  </conditionalFormatting>
  <conditionalFormatting sqref="B1035:D1035 F1035:G1035 I1035:P1035">
    <cfRule type="expression" dxfId="1324" priority="1290" stopIfTrue="1">
      <formula>IF($A1035&lt;&gt;"",IF(B1035="",TRUE,FALSE),FALSE)</formula>
    </cfRule>
  </conditionalFormatting>
  <conditionalFormatting sqref="M1035">
    <cfRule type="expression" dxfId="1323" priority="1289" stopIfTrue="1">
      <formula>IF($F1035="I",TRUE,FALSE)</formula>
    </cfRule>
  </conditionalFormatting>
  <conditionalFormatting sqref="B1036:D1036 F1036:G1036 I1036:P1036">
    <cfRule type="expression" dxfId="1322" priority="1288" stopIfTrue="1">
      <formula>IF($A1036&lt;&gt;"",IF(B1036="",TRUE,FALSE),FALSE)</formula>
    </cfRule>
  </conditionalFormatting>
  <conditionalFormatting sqref="M1036">
    <cfRule type="expression" dxfId="1321" priority="1287" stopIfTrue="1">
      <formula>IF($F1036="I",TRUE,FALSE)</formula>
    </cfRule>
  </conditionalFormatting>
  <conditionalFormatting sqref="B1037:D1037 F1037:G1037 I1037:P1037">
    <cfRule type="expression" dxfId="1320" priority="1286" stopIfTrue="1">
      <formula>IF($A1037&lt;&gt;"",IF(B1037="",TRUE,FALSE),FALSE)</formula>
    </cfRule>
  </conditionalFormatting>
  <conditionalFormatting sqref="M1037">
    <cfRule type="expression" dxfId="1319" priority="1285" stopIfTrue="1">
      <formula>IF($F1037="I",TRUE,FALSE)</formula>
    </cfRule>
  </conditionalFormatting>
  <conditionalFormatting sqref="B1038:D1038 F1038:G1038 I1038:P1038">
    <cfRule type="expression" dxfId="1318" priority="1284" stopIfTrue="1">
      <formula>IF($A1038&lt;&gt;"",IF(B1038="",TRUE,FALSE),FALSE)</formula>
    </cfRule>
  </conditionalFormatting>
  <conditionalFormatting sqref="M1038">
    <cfRule type="expression" dxfId="1317" priority="1283" stopIfTrue="1">
      <formula>IF($F1038="I",TRUE,FALSE)</formula>
    </cfRule>
  </conditionalFormatting>
  <conditionalFormatting sqref="B1039:D1039 F1039:G1039 I1039:P1039">
    <cfRule type="expression" dxfId="1316" priority="1282" stopIfTrue="1">
      <formula>IF($A1039&lt;&gt;"",IF(B1039="",TRUE,FALSE),FALSE)</formula>
    </cfRule>
  </conditionalFormatting>
  <conditionalFormatting sqref="M1039">
    <cfRule type="expression" dxfId="1315" priority="1281" stopIfTrue="1">
      <formula>IF($F1039="I",TRUE,FALSE)</formula>
    </cfRule>
  </conditionalFormatting>
  <conditionalFormatting sqref="B1040:D1040 F1040:G1040 I1040:P1040">
    <cfRule type="expression" dxfId="1314" priority="1280" stopIfTrue="1">
      <formula>IF($A1040&lt;&gt;"",IF(B1040="",TRUE,FALSE),FALSE)</formula>
    </cfRule>
  </conditionalFormatting>
  <conditionalFormatting sqref="M1040">
    <cfRule type="expression" dxfId="1313" priority="1279" stopIfTrue="1">
      <formula>IF($F1040="I",TRUE,FALSE)</formula>
    </cfRule>
  </conditionalFormatting>
  <conditionalFormatting sqref="B1041:D1041 F1041:G1041 I1041:P1041">
    <cfRule type="expression" dxfId="1312" priority="1278" stopIfTrue="1">
      <formula>IF($A1041&lt;&gt;"",IF(B1041="",TRUE,FALSE),FALSE)</formula>
    </cfRule>
  </conditionalFormatting>
  <conditionalFormatting sqref="M1041">
    <cfRule type="expression" dxfId="1311" priority="1277" stopIfTrue="1">
      <formula>IF($F1041="I",TRUE,FALSE)</formula>
    </cfRule>
  </conditionalFormatting>
  <conditionalFormatting sqref="B1042:D1042 F1042:G1042 I1042:P1042">
    <cfRule type="expression" dxfId="1310" priority="1276" stopIfTrue="1">
      <formula>IF($A1042&lt;&gt;"",IF(B1042="",TRUE,FALSE),FALSE)</formula>
    </cfRule>
  </conditionalFormatting>
  <conditionalFormatting sqref="M1042">
    <cfRule type="expression" dxfId="1309" priority="1275" stopIfTrue="1">
      <formula>IF($F1042="I",TRUE,FALSE)</formula>
    </cfRule>
  </conditionalFormatting>
  <conditionalFormatting sqref="B1043:D1043 F1043:G1043 I1043:P1043">
    <cfRule type="expression" dxfId="1308" priority="1274" stopIfTrue="1">
      <formula>IF($A1043&lt;&gt;"",IF(B1043="",TRUE,FALSE),FALSE)</formula>
    </cfRule>
  </conditionalFormatting>
  <conditionalFormatting sqref="M1043">
    <cfRule type="expression" dxfId="1307" priority="1273" stopIfTrue="1">
      <formula>IF($F1043="I",TRUE,FALSE)</formula>
    </cfRule>
  </conditionalFormatting>
  <conditionalFormatting sqref="B1044:D1044 F1044:G1044 I1044:P1044">
    <cfRule type="expression" dxfId="1306" priority="1272" stopIfTrue="1">
      <formula>IF($A1044&lt;&gt;"",IF(B1044="",TRUE,FALSE),FALSE)</formula>
    </cfRule>
  </conditionalFormatting>
  <conditionalFormatting sqref="M1044">
    <cfRule type="expression" dxfId="1305" priority="1271" stopIfTrue="1">
      <formula>IF($F1044="I",TRUE,FALSE)</formula>
    </cfRule>
  </conditionalFormatting>
  <conditionalFormatting sqref="B1045:D1045 F1045:G1045 I1045:P1045">
    <cfRule type="expression" dxfId="1304" priority="1270" stopIfTrue="1">
      <formula>IF($A1045&lt;&gt;"",IF(B1045="",TRUE,FALSE),FALSE)</formula>
    </cfRule>
  </conditionalFormatting>
  <conditionalFormatting sqref="M1045">
    <cfRule type="expression" dxfId="1303" priority="1269" stopIfTrue="1">
      <formula>IF($F1045="I",TRUE,FALSE)</formula>
    </cfRule>
  </conditionalFormatting>
  <conditionalFormatting sqref="B1046:D1046 F1046:G1046 I1046:P1046">
    <cfRule type="expression" dxfId="1302" priority="1268" stopIfTrue="1">
      <formula>IF($A1046&lt;&gt;"",IF(B1046="",TRUE,FALSE),FALSE)</formula>
    </cfRule>
  </conditionalFormatting>
  <conditionalFormatting sqref="M1046">
    <cfRule type="expression" dxfId="1301" priority="1267" stopIfTrue="1">
      <formula>IF($F1046="I",TRUE,FALSE)</formula>
    </cfRule>
  </conditionalFormatting>
  <conditionalFormatting sqref="B1047:D1047 F1047:G1047 I1047:P1047">
    <cfRule type="expression" dxfId="1300" priority="1266" stopIfTrue="1">
      <formula>IF($A1047&lt;&gt;"",IF(B1047="",TRUE,FALSE),FALSE)</formula>
    </cfRule>
  </conditionalFormatting>
  <conditionalFormatting sqref="M1047">
    <cfRule type="expression" dxfId="1299" priority="1265" stopIfTrue="1">
      <formula>IF($F1047="I",TRUE,FALSE)</formula>
    </cfRule>
  </conditionalFormatting>
  <conditionalFormatting sqref="B1048:D1048 F1048:G1048 I1048:P1048">
    <cfRule type="expression" dxfId="1298" priority="1264" stopIfTrue="1">
      <formula>IF($A1048&lt;&gt;"",IF(B1048="",TRUE,FALSE),FALSE)</formula>
    </cfRule>
  </conditionalFormatting>
  <conditionalFormatting sqref="M1048">
    <cfRule type="expression" dxfId="1297" priority="1263" stopIfTrue="1">
      <formula>IF($F1048="I",TRUE,FALSE)</formula>
    </cfRule>
  </conditionalFormatting>
  <conditionalFormatting sqref="B1049:D1049 F1049:G1049 I1049:P1049">
    <cfRule type="expression" dxfId="1296" priority="1262" stopIfTrue="1">
      <formula>IF($A1049&lt;&gt;"",IF(B1049="",TRUE,FALSE),FALSE)</formula>
    </cfRule>
  </conditionalFormatting>
  <conditionalFormatting sqref="M1049">
    <cfRule type="expression" dxfId="1295" priority="1261" stopIfTrue="1">
      <formula>IF($F1049="I",TRUE,FALSE)</formula>
    </cfRule>
  </conditionalFormatting>
  <conditionalFormatting sqref="B1050:D1050 F1050:G1050 I1050:P1050">
    <cfRule type="expression" dxfId="1294" priority="1260" stopIfTrue="1">
      <formula>IF($A1050&lt;&gt;"",IF(B1050="",TRUE,FALSE),FALSE)</formula>
    </cfRule>
  </conditionalFormatting>
  <conditionalFormatting sqref="M1050">
    <cfRule type="expression" dxfId="1293" priority="1259" stopIfTrue="1">
      <formula>IF($F1050="I",TRUE,FALSE)</formula>
    </cfRule>
  </conditionalFormatting>
  <conditionalFormatting sqref="B1051:D1051 F1051:G1051 I1051:P1051">
    <cfRule type="expression" dxfId="1292" priority="1258" stopIfTrue="1">
      <formula>IF($A1051&lt;&gt;"",IF(B1051="",TRUE,FALSE),FALSE)</formula>
    </cfRule>
  </conditionalFormatting>
  <conditionalFormatting sqref="M1051">
    <cfRule type="expression" dxfId="1291" priority="1257" stopIfTrue="1">
      <formula>IF($F1051="I",TRUE,FALSE)</formula>
    </cfRule>
  </conditionalFormatting>
  <conditionalFormatting sqref="B1052:D1052 F1052:G1052 I1052:P1052">
    <cfRule type="expression" dxfId="1290" priority="1256" stopIfTrue="1">
      <formula>IF($A1052&lt;&gt;"",IF(B1052="",TRUE,FALSE),FALSE)</formula>
    </cfRule>
  </conditionalFormatting>
  <conditionalFormatting sqref="M1052">
    <cfRule type="expression" dxfId="1289" priority="1255" stopIfTrue="1">
      <formula>IF($F1052="I",TRUE,FALSE)</formula>
    </cfRule>
  </conditionalFormatting>
  <conditionalFormatting sqref="B1053:D1053 F1053:G1053 I1053:P1053">
    <cfRule type="expression" dxfId="1288" priority="1254" stopIfTrue="1">
      <formula>IF($A1053&lt;&gt;"",IF(B1053="",TRUE,FALSE),FALSE)</formula>
    </cfRule>
  </conditionalFormatting>
  <conditionalFormatting sqref="M1053">
    <cfRule type="expression" dxfId="1287" priority="1253" stopIfTrue="1">
      <formula>IF($F1053="I",TRUE,FALSE)</formula>
    </cfRule>
  </conditionalFormatting>
  <conditionalFormatting sqref="B1054:D1054 F1054:G1054 I1054:P1054">
    <cfRule type="expression" dxfId="1286" priority="1252" stopIfTrue="1">
      <formula>IF($A1054&lt;&gt;"",IF(B1054="",TRUE,FALSE),FALSE)</formula>
    </cfRule>
  </conditionalFormatting>
  <conditionalFormatting sqref="M1054">
    <cfRule type="expression" dxfId="1285" priority="1251" stopIfTrue="1">
      <formula>IF($F1054="I",TRUE,FALSE)</formula>
    </cfRule>
  </conditionalFormatting>
  <conditionalFormatting sqref="B1055:D1055 F1055:G1055 I1055:P1055">
    <cfRule type="expression" dxfId="1284" priority="1250" stopIfTrue="1">
      <formula>IF($A1055&lt;&gt;"",IF(B1055="",TRUE,FALSE),FALSE)</formula>
    </cfRule>
  </conditionalFormatting>
  <conditionalFormatting sqref="M1055">
    <cfRule type="expression" dxfId="1283" priority="1249" stopIfTrue="1">
      <formula>IF($F1055="I",TRUE,FALSE)</formula>
    </cfRule>
  </conditionalFormatting>
  <conditionalFormatting sqref="B1056:D1056 F1056:G1056 I1056:P1056">
    <cfRule type="expression" dxfId="1282" priority="1248" stopIfTrue="1">
      <formula>IF($A1056&lt;&gt;"",IF(B1056="",TRUE,FALSE),FALSE)</formula>
    </cfRule>
  </conditionalFormatting>
  <conditionalFormatting sqref="M1056">
    <cfRule type="expression" dxfId="1281" priority="1247" stopIfTrue="1">
      <formula>IF($F1056="I",TRUE,FALSE)</formula>
    </cfRule>
  </conditionalFormatting>
  <conditionalFormatting sqref="B1057:D1057 F1057:G1057 I1057:P1057">
    <cfRule type="expression" dxfId="1280" priority="1246" stopIfTrue="1">
      <formula>IF($A1057&lt;&gt;"",IF(B1057="",TRUE,FALSE),FALSE)</formula>
    </cfRule>
  </conditionalFormatting>
  <conditionalFormatting sqref="M1057">
    <cfRule type="expression" dxfId="1279" priority="1245" stopIfTrue="1">
      <formula>IF($F1057="I",TRUE,FALSE)</formula>
    </cfRule>
  </conditionalFormatting>
  <conditionalFormatting sqref="B1058:D1058 F1058:G1058 I1058:P1058">
    <cfRule type="expression" dxfId="1278" priority="1244" stopIfTrue="1">
      <formula>IF($A1058&lt;&gt;"",IF(B1058="",TRUE,FALSE),FALSE)</formula>
    </cfRule>
  </conditionalFormatting>
  <conditionalFormatting sqref="M1058">
    <cfRule type="expression" dxfId="1277" priority="1243" stopIfTrue="1">
      <formula>IF($F1058="I",TRUE,FALSE)</formula>
    </cfRule>
  </conditionalFormatting>
  <conditionalFormatting sqref="B1059:D1059 F1059:G1059 I1059:P1059">
    <cfRule type="expression" dxfId="1276" priority="1242" stopIfTrue="1">
      <formula>IF($A1059&lt;&gt;"",IF(B1059="",TRUE,FALSE),FALSE)</formula>
    </cfRule>
  </conditionalFormatting>
  <conditionalFormatting sqref="M1059">
    <cfRule type="expression" dxfId="1275" priority="1241" stopIfTrue="1">
      <formula>IF($F1059="I",TRUE,FALSE)</formula>
    </cfRule>
  </conditionalFormatting>
  <conditionalFormatting sqref="B1060:D1060 F1060:G1060 I1060:P1060">
    <cfRule type="expression" dxfId="1274" priority="1240" stopIfTrue="1">
      <formula>IF($A1060&lt;&gt;"",IF(B1060="",TRUE,FALSE),FALSE)</formula>
    </cfRule>
  </conditionalFormatting>
  <conditionalFormatting sqref="M1060">
    <cfRule type="expression" dxfId="1273" priority="1239" stopIfTrue="1">
      <formula>IF($F1060="I",TRUE,FALSE)</formula>
    </cfRule>
  </conditionalFormatting>
  <conditionalFormatting sqref="B1061:D1061 F1061:G1061 I1061:P1061">
    <cfRule type="expression" dxfId="1272" priority="1238" stopIfTrue="1">
      <formula>IF($A1061&lt;&gt;"",IF(B1061="",TRUE,FALSE),FALSE)</formula>
    </cfRule>
  </conditionalFormatting>
  <conditionalFormatting sqref="M1061">
    <cfRule type="expression" dxfId="1271" priority="1237" stopIfTrue="1">
      <formula>IF($F1061="I",TRUE,FALSE)</formula>
    </cfRule>
  </conditionalFormatting>
  <conditionalFormatting sqref="B1062:D1062 F1062:G1062 I1062:P1062">
    <cfRule type="expression" dxfId="1270" priority="1236" stopIfTrue="1">
      <formula>IF($A1062&lt;&gt;"",IF(B1062="",TRUE,FALSE),FALSE)</formula>
    </cfRule>
  </conditionalFormatting>
  <conditionalFormatting sqref="M1062">
    <cfRule type="expression" dxfId="1269" priority="1235" stopIfTrue="1">
      <formula>IF($F1062="I",TRUE,FALSE)</formula>
    </cfRule>
  </conditionalFormatting>
  <conditionalFormatting sqref="B1063:D1063 F1063:G1063 I1063:P1063">
    <cfRule type="expression" dxfId="1268" priority="1234" stopIfTrue="1">
      <formula>IF($A1063&lt;&gt;"",IF(B1063="",TRUE,FALSE),FALSE)</formula>
    </cfRule>
  </conditionalFormatting>
  <conditionalFormatting sqref="M1063">
    <cfRule type="expression" dxfId="1267" priority="1233" stopIfTrue="1">
      <formula>IF($F1063="I",TRUE,FALSE)</formula>
    </cfRule>
  </conditionalFormatting>
  <conditionalFormatting sqref="B1064:D1064 F1064:G1064 I1064:P1064">
    <cfRule type="expression" dxfId="1266" priority="1232" stopIfTrue="1">
      <formula>IF($A1064&lt;&gt;"",IF(B1064="",TRUE,FALSE),FALSE)</formula>
    </cfRule>
  </conditionalFormatting>
  <conditionalFormatting sqref="M1064">
    <cfRule type="expression" dxfId="1265" priority="1231" stopIfTrue="1">
      <formula>IF($F1064="I",TRUE,FALSE)</formula>
    </cfRule>
  </conditionalFormatting>
  <conditionalFormatting sqref="B1065:D1065 F1065:G1065 I1065:P1065">
    <cfRule type="expression" dxfId="1264" priority="1230" stopIfTrue="1">
      <formula>IF($A1065&lt;&gt;"",IF(B1065="",TRUE,FALSE),FALSE)</formula>
    </cfRule>
  </conditionalFormatting>
  <conditionalFormatting sqref="M1065">
    <cfRule type="expression" dxfId="1263" priority="1229" stopIfTrue="1">
      <formula>IF($F1065="I",TRUE,FALSE)</formula>
    </cfRule>
  </conditionalFormatting>
  <conditionalFormatting sqref="B1066:D1066 F1066:G1066 I1066:P1066">
    <cfRule type="expression" dxfId="1262" priority="1228" stopIfTrue="1">
      <formula>IF($A1066&lt;&gt;"",IF(B1066="",TRUE,FALSE),FALSE)</formula>
    </cfRule>
  </conditionalFormatting>
  <conditionalFormatting sqref="M1066">
    <cfRule type="expression" dxfId="1261" priority="1227" stopIfTrue="1">
      <formula>IF($F1066="I",TRUE,FALSE)</formula>
    </cfRule>
  </conditionalFormatting>
  <conditionalFormatting sqref="B1067:D1067 F1067:G1067 I1067:P1067">
    <cfRule type="expression" dxfId="1260" priority="1226" stopIfTrue="1">
      <formula>IF($A1067&lt;&gt;"",IF(B1067="",TRUE,FALSE),FALSE)</formula>
    </cfRule>
  </conditionalFormatting>
  <conditionalFormatting sqref="M1067">
    <cfRule type="expression" dxfId="1259" priority="1225" stopIfTrue="1">
      <formula>IF($F1067="I",TRUE,FALSE)</formula>
    </cfRule>
  </conditionalFormatting>
  <conditionalFormatting sqref="B1068:D1068 F1068:G1068 I1068:P1068">
    <cfRule type="expression" dxfId="1258" priority="1224" stopIfTrue="1">
      <formula>IF($A1068&lt;&gt;"",IF(B1068="",TRUE,FALSE),FALSE)</formula>
    </cfRule>
  </conditionalFormatting>
  <conditionalFormatting sqref="M1068">
    <cfRule type="expression" dxfId="1257" priority="1223" stopIfTrue="1">
      <formula>IF($F1068="I",TRUE,FALSE)</formula>
    </cfRule>
  </conditionalFormatting>
  <conditionalFormatting sqref="B1069:D1069 F1069:G1069 I1069:P1069">
    <cfRule type="expression" dxfId="1256" priority="1222" stopIfTrue="1">
      <formula>IF($A1069&lt;&gt;"",IF(B1069="",TRUE,FALSE),FALSE)</formula>
    </cfRule>
  </conditionalFormatting>
  <conditionalFormatting sqref="M1069">
    <cfRule type="expression" dxfId="1255" priority="1221" stopIfTrue="1">
      <formula>IF($F1069="I",TRUE,FALSE)</formula>
    </cfRule>
  </conditionalFormatting>
  <conditionalFormatting sqref="B1070:D1070 F1070:G1070 I1070:P1070">
    <cfRule type="expression" dxfId="1254" priority="1220" stopIfTrue="1">
      <formula>IF($A1070&lt;&gt;"",IF(B1070="",TRUE,FALSE),FALSE)</formula>
    </cfRule>
  </conditionalFormatting>
  <conditionalFormatting sqref="M1070">
    <cfRule type="expression" dxfId="1253" priority="1219" stopIfTrue="1">
      <formula>IF($F1070="I",TRUE,FALSE)</formula>
    </cfRule>
  </conditionalFormatting>
  <conditionalFormatting sqref="B1071:D1071 F1071:G1071 I1071:P1071">
    <cfRule type="expression" dxfId="1252" priority="1218" stopIfTrue="1">
      <formula>IF($A1071&lt;&gt;"",IF(B1071="",TRUE,FALSE),FALSE)</formula>
    </cfRule>
  </conditionalFormatting>
  <conditionalFormatting sqref="M1071">
    <cfRule type="expression" dxfId="1251" priority="1217" stopIfTrue="1">
      <formula>IF($F1071="I",TRUE,FALSE)</formula>
    </cfRule>
  </conditionalFormatting>
  <conditionalFormatting sqref="B1072:D1072 F1072:G1072 I1072:P1072">
    <cfRule type="expression" dxfId="1250" priority="1216" stopIfTrue="1">
      <formula>IF($A1072&lt;&gt;"",IF(B1072="",TRUE,FALSE),FALSE)</formula>
    </cfRule>
  </conditionalFormatting>
  <conditionalFormatting sqref="M1072">
    <cfRule type="expression" dxfId="1249" priority="1215" stopIfTrue="1">
      <formula>IF($F1072="I",TRUE,FALSE)</formula>
    </cfRule>
  </conditionalFormatting>
  <conditionalFormatting sqref="B1073:D1073 F1073:G1073 I1073:P1073">
    <cfRule type="expression" dxfId="1248" priority="1214" stopIfTrue="1">
      <formula>IF($A1073&lt;&gt;"",IF(B1073="",TRUE,FALSE),FALSE)</formula>
    </cfRule>
  </conditionalFormatting>
  <conditionalFormatting sqref="M1073">
    <cfRule type="expression" dxfId="1247" priority="1213" stopIfTrue="1">
      <formula>IF($F1073="I",TRUE,FALSE)</formula>
    </cfRule>
  </conditionalFormatting>
  <conditionalFormatting sqref="B1074:D1074 F1074:G1074 I1074:P1074">
    <cfRule type="expression" dxfId="1246" priority="1212" stopIfTrue="1">
      <formula>IF($A1074&lt;&gt;"",IF(B1074="",TRUE,FALSE),FALSE)</formula>
    </cfRule>
  </conditionalFormatting>
  <conditionalFormatting sqref="M1074">
    <cfRule type="expression" dxfId="1245" priority="1211" stopIfTrue="1">
      <formula>IF($F1074="I",TRUE,FALSE)</formula>
    </cfRule>
  </conditionalFormatting>
  <conditionalFormatting sqref="B1075:D1075 F1075:G1075 I1075:P1075">
    <cfRule type="expression" dxfId="1244" priority="1210" stopIfTrue="1">
      <formula>IF($A1075&lt;&gt;"",IF(B1075="",TRUE,FALSE),FALSE)</formula>
    </cfRule>
  </conditionalFormatting>
  <conditionalFormatting sqref="M1075">
    <cfRule type="expression" dxfId="1243" priority="1209" stopIfTrue="1">
      <formula>IF($F1075="I",TRUE,FALSE)</formula>
    </cfRule>
  </conditionalFormatting>
  <conditionalFormatting sqref="B1076:D1076 F1076:G1076 I1076:P1076">
    <cfRule type="expression" dxfId="1242" priority="1208" stopIfTrue="1">
      <formula>IF($A1076&lt;&gt;"",IF(B1076="",TRUE,FALSE),FALSE)</formula>
    </cfRule>
  </conditionalFormatting>
  <conditionalFormatting sqref="M1076">
    <cfRule type="expression" dxfId="1241" priority="1207" stopIfTrue="1">
      <formula>IF($F1076="I",TRUE,FALSE)</formula>
    </cfRule>
  </conditionalFormatting>
  <conditionalFormatting sqref="B1077:D1077 F1077:G1077 I1077:P1077">
    <cfRule type="expression" dxfId="1240" priority="1206" stopIfTrue="1">
      <formula>IF($A1077&lt;&gt;"",IF(B1077="",TRUE,FALSE),FALSE)</formula>
    </cfRule>
  </conditionalFormatting>
  <conditionalFormatting sqref="M1077">
    <cfRule type="expression" dxfId="1239" priority="1205" stopIfTrue="1">
      <formula>IF($F1077="I",TRUE,FALSE)</formula>
    </cfRule>
  </conditionalFormatting>
  <conditionalFormatting sqref="B1078:D1078 F1078:G1078 I1078:P1078">
    <cfRule type="expression" dxfId="1238" priority="1204" stopIfTrue="1">
      <formula>IF($A1078&lt;&gt;"",IF(B1078="",TRUE,FALSE),FALSE)</formula>
    </cfRule>
  </conditionalFormatting>
  <conditionalFormatting sqref="M1078">
    <cfRule type="expression" dxfId="1237" priority="1203" stopIfTrue="1">
      <formula>IF($F1078="I",TRUE,FALSE)</formula>
    </cfRule>
  </conditionalFormatting>
  <conditionalFormatting sqref="B1079:D1079 F1079:G1079 I1079:P1079">
    <cfRule type="expression" dxfId="1236" priority="1202" stopIfTrue="1">
      <formula>IF($A1079&lt;&gt;"",IF(B1079="",TRUE,FALSE),FALSE)</formula>
    </cfRule>
  </conditionalFormatting>
  <conditionalFormatting sqref="M1079">
    <cfRule type="expression" dxfId="1235" priority="1201" stopIfTrue="1">
      <formula>IF($F1079="I",TRUE,FALSE)</formula>
    </cfRule>
  </conditionalFormatting>
  <conditionalFormatting sqref="B1080:D1080 F1080:G1080 I1080:P1080">
    <cfRule type="expression" dxfId="1234" priority="1200" stopIfTrue="1">
      <formula>IF($A1080&lt;&gt;"",IF(B1080="",TRUE,FALSE),FALSE)</formula>
    </cfRule>
  </conditionalFormatting>
  <conditionalFormatting sqref="M1080">
    <cfRule type="expression" dxfId="1233" priority="1199" stopIfTrue="1">
      <formula>IF($F1080="I",TRUE,FALSE)</formula>
    </cfRule>
  </conditionalFormatting>
  <conditionalFormatting sqref="B1081:D1081 F1081:G1081 I1081:P1081">
    <cfRule type="expression" dxfId="1232" priority="1198" stopIfTrue="1">
      <formula>IF($A1081&lt;&gt;"",IF(B1081="",TRUE,FALSE),FALSE)</formula>
    </cfRule>
  </conditionalFormatting>
  <conditionalFormatting sqref="M1081">
    <cfRule type="expression" dxfId="1231" priority="1197" stopIfTrue="1">
      <formula>IF($F1081="I",TRUE,FALSE)</formula>
    </cfRule>
  </conditionalFormatting>
  <conditionalFormatting sqref="B1082:D1082 F1082:G1082 I1082:P1082">
    <cfRule type="expression" dxfId="1230" priority="1196" stopIfTrue="1">
      <formula>IF($A1082&lt;&gt;"",IF(B1082="",TRUE,FALSE),FALSE)</formula>
    </cfRule>
  </conditionalFormatting>
  <conditionalFormatting sqref="M1082">
    <cfRule type="expression" dxfId="1229" priority="1195" stopIfTrue="1">
      <formula>IF($F1082="I",TRUE,FALSE)</formula>
    </cfRule>
  </conditionalFormatting>
  <conditionalFormatting sqref="B1083:D1083 F1083:G1083 I1083:P1083">
    <cfRule type="expression" dxfId="1228" priority="1194" stopIfTrue="1">
      <formula>IF($A1083&lt;&gt;"",IF(B1083="",TRUE,FALSE),FALSE)</formula>
    </cfRule>
  </conditionalFormatting>
  <conditionalFormatting sqref="M1083">
    <cfRule type="expression" dxfId="1227" priority="1193" stopIfTrue="1">
      <formula>IF($F1083="I",TRUE,FALSE)</formula>
    </cfRule>
  </conditionalFormatting>
  <conditionalFormatting sqref="B1084:D1084 F1084:G1084 I1084:P1084">
    <cfRule type="expression" dxfId="1226" priority="1192" stopIfTrue="1">
      <formula>IF($A1084&lt;&gt;"",IF(B1084="",TRUE,FALSE),FALSE)</formula>
    </cfRule>
  </conditionalFormatting>
  <conditionalFormatting sqref="M1084">
    <cfRule type="expression" dxfId="1225" priority="1191" stopIfTrue="1">
      <formula>IF($F1084="I",TRUE,FALSE)</formula>
    </cfRule>
  </conditionalFormatting>
  <conditionalFormatting sqref="B1085:D1085 F1085:G1085 I1085:P1085">
    <cfRule type="expression" dxfId="1224" priority="1190" stopIfTrue="1">
      <formula>IF($A1085&lt;&gt;"",IF(B1085="",TRUE,FALSE),FALSE)</formula>
    </cfRule>
  </conditionalFormatting>
  <conditionalFormatting sqref="M1085">
    <cfRule type="expression" dxfId="1223" priority="1189" stopIfTrue="1">
      <formula>IF($F1085="I",TRUE,FALSE)</formula>
    </cfRule>
  </conditionalFormatting>
  <conditionalFormatting sqref="B1086:D1086 F1086:G1086 I1086:P1086">
    <cfRule type="expression" dxfId="1222" priority="1188" stopIfTrue="1">
      <formula>IF($A1086&lt;&gt;"",IF(B1086="",TRUE,FALSE),FALSE)</formula>
    </cfRule>
  </conditionalFormatting>
  <conditionalFormatting sqref="M1086">
    <cfRule type="expression" dxfId="1221" priority="1187" stopIfTrue="1">
      <formula>IF($F1086="I",TRUE,FALSE)</formula>
    </cfRule>
  </conditionalFormatting>
  <conditionalFormatting sqref="B1087:D1087 F1087:G1087 I1087:P1087">
    <cfRule type="expression" dxfId="1220" priority="1186" stopIfTrue="1">
      <formula>IF($A1087&lt;&gt;"",IF(B1087="",TRUE,FALSE),FALSE)</formula>
    </cfRule>
  </conditionalFormatting>
  <conditionalFormatting sqref="M1087">
    <cfRule type="expression" dxfId="1219" priority="1185" stopIfTrue="1">
      <formula>IF($F1087="I",TRUE,FALSE)</formula>
    </cfRule>
  </conditionalFormatting>
  <conditionalFormatting sqref="B1088:D1088 F1088:G1088 I1088:P1088">
    <cfRule type="expression" dxfId="1218" priority="1184" stopIfTrue="1">
      <formula>IF($A1088&lt;&gt;"",IF(B1088="",TRUE,FALSE),FALSE)</formula>
    </cfRule>
  </conditionalFormatting>
  <conditionalFormatting sqref="M1088">
    <cfRule type="expression" dxfId="1217" priority="1183" stopIfTrue="1">
      <formula>IF($F1088="I",TRUE,FALSE)</formula>
    </cfRule>
  </conditionalFormatting>
  <conditionalFormatting sqref="B1089:D1089 F1089:G1089 I1089:P1089">
    <cfRule type="expression" dxfId="1216" priority="1182" stopIfTrue="1">
      <formula>IF($A1089&lt;&gt;"",IF(B1089="",TRUE,FALSE),FALSE)</formula>
    </cfRule>
  </conditionalFormatting>
  <conditionalFormatting sqref="M1089">
    <cfRule type="expression" dxfId="1215" priority="1181" stopIfTrue="1">
      <formula>IF($F1089="I",TRUE,FALSE)</formula>
    </cfRule>
  </conditionalFormatting>
  <conditionalFormatting sqref="B1090:D1090 F1090:G1090 I1090:P1090">
    <cfRule type="expression" dxfId="1214" priority="1180" stopIfTrue="1">
      <formula>IF($A1090&lt;&gt;"",IF(B1090="",TRUE,FALSE),FALSE)</formula>
    </cfRule>
  </conditionalFormatting>
  <conditionalFormatting sqref="M1090">
    <cfRule type="expression" dxfId="1213" priority="1179" stopIfTrue="1">
      <formula>IF($F1090="I",TRUE,FALSE)</formula>
    </cfRule>
  </conditionalFormatting>
  <conditionalFormatting sqref="B1091:D1091 F1091:G1091 I1091:P1091">
    <cfRule type="expression" dxfId="1212" priority="1178" stopIfTrue="1">
      <formula>IF($A1091&lt;&gt;"",IF(B1091="",TRUE,FALSE),FALSE)</formula>
    </cfRule>
  </conditionalFormatting>
  <conditionalFormatting sqref="M1091">
    <cfRule type="expression" dxfId="1211" priority="1177" stopIfTrue="1">
      <formula>IF($F1091="I",TRUE,FALSE)</formula>
    </cfRule>
  </conditionalFormatting>
  <conditionalFormatting sqref="B1092:D1092 F1092:G1092 I1092:P1092">
    <cfRule type="expression" dxfId="1210" priority="1176" stopIfTrue="1">
      <formula>IF($A1092&lt;&gt;"",IF(B1092="",TRUE,FALSE),FALSE)</formula>
    </cfRule>
  </conditionalFormatting>
  <conditionalFormatting sqref="M1092">
    <cfRule type="expression" dxfId="1209" priority="1175" stopIfTrue="1">
      <formula>IF($F1092="I",TRUE,FALSE)</formula>
    </cfRule>
  </conditionalFormatting>
  <conditionalFormatting sqref="B1093:D1093 F1093:G1093 I1093:P1093">
    <cfRule type="expression" dxfId="1208" priority="1174" stopIfTrue="1">
      <formula>IF($A1093&lt;&gt;"",IF(B1093="",TRUE,FALSE),FALSE)</formula>
    </cfRule>
  </conditionalFormatting>
  <conditionalFormatting sqref="M1093">
    <cfRule type="expression" dxfId="1207" priority="1173" stopIfTrue="1">
      <formula>IF($F1093="I",TRUE,FALSE)</formula>
    </cfRule>
  </conditionalFormatting>
  <conditionalFormatting sqref="B1094:D1094 F1094:G1094 I1094:P1094">
    <cfRule type="expression" dxfId="1206" priority="1172" stopIfTrue="1">
      <formula>IF($A1094&lt;&gt;"",IF(B1094="",TRUE,FALSE),FALSE)</formula>
    </cfRule>
  </conditionalFormatting>
  <conditionalFormatting sqref="M1094">
    <cfRule type="expression" dxfId="1205" priority="1171" stopIfTrue="1">
      <formula>IF($F1094="I",TRUE,FALSE)</formula>
    </cfRule>
  </conditionalFormatting>
  <conditionalFormatting sqref="B1095:D1095 F1095:G1095 I1095:P1095">
    <cfRule type="expression" dxfId="1204" priority="1170" stopIfTrue="1">
      <formula>IF($A1095&lt;&gt;"",IF(B1095="",TRUE,FALSE),FALSE)</formula>
    </cfRule>
  </conditionalFormatting>
  <conditionalFormatting sqref="M1095">
    <cfRule type="expression" dxfId="1203" priority="1169" stopIfTrue="1">
      <formula>IF($F1095="I",TRUE,FALSE)</formula>
    </cfRule>
  </conditionalFormatting>
  <conditionalFormatting sqref="B1096:D1096 F1096:G1096 I1096:P1096">
    <cfRule type="expression" dxfId="1202" priority="1168" stopIfTrue="1">
      <formula>IF($A1096&lt;&gt;"",IF(B1096="",TRUE,FALSE),FALSE)</formula>
    </cfRule>
  </conditionalFormatting>
  <conditionalFormatting sqref="M1096">
    <cfRule type="expression" dxfId="1201" priority="1167" stopIfTrue="1">
      <formula>IF($F1096="I",TRUE,FALSE)</formula>
    </cfRule>
  </conditionalFormatting>
  <conditionalFormatting sqref="B1097:D1097 F1097:G1097 I1097:P1097">
    <cfRule type="expression" dxfId="1200" priority="1166" stopIfTrue="1">
      <formula>IF($A1097&lt;&gt;"",IF(B1097="",TRUE,FALSE),FALSE)</formula>
    </cfRule>
  </conditionalFormatting>
  <conditionalFormatting sqref="M1097">
    <cfRule type="expression" dxfId="1199" priority="1165" stopIfTrue="1">
      <formula>IF($F1097="I",TRUE,FALSE)</formula>
    </cfRule>
  </conditionalFormatting>
  <conditionalFormatting sqref="B1098:D1098 F1098:G1098 I1098:P1098">
    <cfRule type="expression" dxfId="1198" priority="1164" stopIfTrue="1">
      <formula>IF($A1098&lt;&gt;"",IF(B1098="",TRUE,FALSE),FALSE)</formula>
    </cfRule>
  </conditionalFormatting>
  <conditionalFormatting sqref="M1098">
    <cfRule type="expression" dxfId="1197" priority="1163" stopIfTrue="1">
      <formula>IF($F1098="I",TRUE,FALSE)</formula>
    </cfRule>
  </conditionalFormatting>
  <conditionalFormatting sqref="B1099:D1099 F1099:G1099 I1099:P1099">
    <cfRule type="expression" dxfId="1196" priority="1162" stopIfTrue="1">
      <formula>IF($A1099&lt;&gt;"",IF(B1099="",TRUE,FALSE),FALSE)</formula>
    </cfRule>
  </conditionalFormatting>
  <conditionalFormatting sqref="M1099">
    <cfRule type="expression" dxfId="1195" priority="1161" stopIfTrue="1">
      <formula>IF($F1099="I",TRUE,FALSE)</formula>
    </cfRule>
  </conditionalFormatting>
  <conditionalFormatting sqref="B1100:D1100 F1100:G1100 I1100:P1100">
    <cfRule type="expression" dxfId="1194" priority="1160" stopIfTrue="1">
      <formula>IF($A1100&lt;&gt;"",IF(B1100="",TRUE,FALSE),FALSE)</formula>
    </cfRule>
  </conditionalFormatting>
  <conditionalFormatting sqref="M1100">
    <cfRule type="expression" dxfId="1193" priority="1159" stopIfTrue="1">
      <formula>IF($F1100="I",TRUE,FALSE)</formula>
    </cfRule>
  </conditionalFormatting>
  <conditionalFormatting sqref="B1101:D1101 F1101:G1101 I1101:P1101">
    <cfRule type="expression" dxfId="1192" priority="1158" stopIfTrue="1">
      <formula>IF($A1101&lt;&gt;"",IF(B1101="",TRUE,FALSE),FALSE)</formula>
    </cfRule>
  </conditionalFormatting>
  <conditionalFormatting sqref="M1101">
    <cfRule type="expression" dxfId="1191" priority="1157" stopIfTrue="1">
      <formula>IF($F1101="I",TRUE,FALSE)</formula>
    </cfRule>
  </conditionalFormatting>
  <conditionalFormatting sqref="B1102:D1102 F1102:G1102 I1102:P1102">
    <cfRule type="expression" dxfId="1190" priority="1156" stopIfTrue="1">
      <formula>IF($A1102&lt;&gt;"",IF(B1102="",TRUE,FALSE),FALSE)</formula>
    </cfRule>
  </conditionalFormatting>
  <conditionalFormatting sqref="M1102">
    <cfRule type="expression" dxfId="1189" priority="1155" stopIfTrue="1">
      <formula>IF($F1102="I",TRUE,FALSE)</formula>
    </cfRule>
  </conditionalFormatting>
  <conditionalFormatting sqref="B1103:D1103 F1103:G1103 I1103:P1103">
    <cfRule type="expression" dxfId="1188" priority="1154" stopIfTrue="1">
      <formula>IF($A1103&lt;&gt;"",IF(B1103="",TRUE,FALSE),FALSE)</formula>
    </cfRule>
  </conditionalFormatting>
  <conditionalFormatting sqref="M1103">
    <cfRule type="expression" dxfId="1187" priority="1153" stopIfTrue="1">
      <formula>IF($F1103="I",TRUE,FALSE)</formula>
    </cfRule>
  </conditionalFormatting>
  <conditionalFormatting sqref="B1104:D1104 F1104:G1104 I1104:P1104">
    <cfRule type="expression" dxfId="1186" priority="1152" stopIfTrue="1">
      <formula>IF($A1104&lt;&gt;"",IF(B1104="",TRUE,FALSE),FALSE)</formula>
    </cfRule>
  </conditionalFormatting>
  <conditionalFormatting sqref="M1104">
    <cfRule type="expression" dxfId="1185" priority="1151" stopIfTrue="1">
      <formula>IF($F1104="I",TRUE,FALSE)</formula>
    </cfRule>
  </conditionalFormatting>
  <conditionalFormatting sqref="B1105:D1105 F1105:G1105 I1105:P1105">
    <cfRule type="expression" dxfId="1184" priority="1150" stopIfTrue="1">
      <formula>IF($A1105&lt;&gt;"",IF(B1105="",TRUE,FALSE),FALSE)</formula>
    </cfRule>
  </conditionalFormatting>
  <conditionalFormatting sqref="M1105">
    <cfRule type="expression" dxfId="1183" priority="1149" stopIfTrue="1">
      <formula>IF($F1105="I",TRUE,FALSE)</formula>
    </cfRule>
  </conditionalFormatting>
  <conditionalFormatting sqref="B1106:D1106 F1106:G1106 I1106:P1106">
    <cfRule type="expression" dxfId="1182" priority="1148" stopIfTrue="1">
      <formula>IF($A1106&lt;&gt;"",IF(B1106="",TRUE,FALSE),FALSE)</formula>
    </cfRule>
  </conditionalFormatting>
  <conditionalFormatting sqref="M1106">
    <cfRule type="expression" dxfId="1181" priority="1147" stopIfTrue="1">
      <formula>IF($F1106="I",TRUE,FALSE)</formula>
    </cfRule>
  </conditionalFormatting>
  <conditionalFormatting sqref="B1107:D1107 F1107:G1107 I1107:P1107">
    <cfRule type="expression" dxfId="1180" priority="1146" stopIfTrue="1">
      <formula>IF($A1107&lt;&gt;"",IF(B1107="",TRUE,FALSE),FALSE)</formula>
    </cfRule>
  </conditionalFormatting>
  <conditionalFormatting sqref="M1107">
    <cfRule type="expression" dxfId="1179" priority="1145" stopIfTrue="1">
      <formula>IF($F1107="I",TRUE,FALSE)</formula>
    </cfRule>
  </conditionalFormatting>
  <conditionalFormatting sqref="B1108:D1108 F1108:G1108 I1108:P1108">
    <cfRule type="expression" dxfId="1178" priority="1144" stopIfTrue="1">
      <formula>IF($A1108&lt;&gt;"",IF(B1108="",TRUE,FALSE),FALSE)</formula>
    </cfRule>
  </conditionalFormatting>
  <conditionalFormatting sqref="M1108">
    <cfRule type="expression" dxfId="1177" priority="1143" stopIfTrue="1">
      <formula>IF($F1108="I",TRUE,FALSE)</formula>
    </cfRule>
  </conditionalFormatting>
  <conditionalFormatting sqref="B1109:D1109 F1109:G1109 I1109:P1109">
    <cfRule type="expression" dxfId="1176" priority="1142" stopIfTrue="1">
      <formula>IF($A1109&lt;&gt;"",IF(B1109="",TRUE,FALSE),FALSE)</formula>
    </cfRule>
  </conditionalFormatting>
  <conditionalFormatting sqref="M1109">
    <cfRule type="expression" dxfId="1175" priority="1141" stopIfTrue="1">
      <formula>IF($F1109="I",TRUE,FALSE)</formula>
    </cfRule>
  </conditionalFormatting>
  <conditionalFormatting sqref="B1110:D1110 F1110:G1110 I1110:P1110">
    <cfRule type="expression" dxfId="1174" priority="1140" stopIfTrue="1">
      <formula>IF($A1110&lt;&gt;"",IF(B1110="",TRUE,FALSE),FALSE)</formula>
    </cfRule>
  </conditionalFormatting>
  <conditionalFormatting sqref="M1110">
    <cfRule type="expression" dxfId="1173" priority="1139" stopIfTrue="1">
      <formula>IF($F1110="I",TRUE,FALSE)</formula>
    </cfRule>
  </conditionalFormatting>
  <conditionalFormatting sqref="B1111:D1111 F1111:G1111 I1111:P1111">
    <cfRule type="expression" dxfId="1172" priority="1138" stopIfTrue="1">
      <formula>IF($A1111&lt;&gt;"",IF(B1111="",TRUE,FALSE),FALSE)</formula>
    </cfRule>
  </conditionalFormatting>
  <conditionalFormatting sqref="M1111">
    <cfRule type="expression" dxfId="1171" priority="1137" stopIfTrue="1">
      <formula>IF($F1111="I",TRUE,FALSE)</formula>
    </cfRule>
  </conditionalFormatting>
  <conditionalFormatting sqref="B1112:D1112 F1112:G1112 I1112:P1112">
    <cfRule type="expression" dxfId="1170" priority="1136" stopIfTrue="1">
      <formula>IF($A1112&lt;&gt;"",IF(B1112="",TRUE,FALSE),FALSE)</formula>
    </cfRule>
  </conditionalFormatting>
  <conditionalFormatting sqref="M1112">
    <cfRule type="expression" dxfId="1169" priority="1135" stopIfTrue="1">
      <formula>IF($F1112="I",TRUE,FALSE)</formula>
    </cfRule>
  </conditionalFormatting>
  <conditionalFormatting sqref="B1113:D1113 F1113:G1113 I1113:P1113">
    <cfRule type="expression" dxfId="1168" priority="1134" stopIfTrue="1">
      <formula>IF($A1113&lt;&gt;"",IF(B1113="",TRUE,FALSE),FALSE)</formula>
    </cfRule>
  </conditionalFormatting>
  <conditionalFormatting sqref="M1113">
    <cfRule type="expression" dxfId="1167" priority="1133" stopIfTrue="1">
      <formula>IF($F1113="I",TRUE,FALSE)</formula>
    </cfRule>
  </conditionalFormatting>
  <conditionalFormatting sqref="B1114:D1114 F1114:G1114 I1114:P1114">
    <cfRule type="expression" dxfId="1166" priority="1132" stopIfTrue="1">
      <formula>IF($A1114&lt;&gt;"",IF(B1114="",TRUE,FALSE),FALSE)</formula>
    </cfRule>
  </conditionalFormatting>
  <conditionalFormatting sqref="M1114">
    <cfRule type="expression" dxfId="1165" priority="1131" stopIfTrue="1">
      <formula>IF($F1114="I",TRUE,FALSE)</formula>
    </cfRule>
  </conditionalFormatting>
  <conditionalFormatting sqref="B1115:D1115 F1115:G1115 I1115:P1115">
    <cfRule type="expression" dxfId="1164" priority="1130" stopIfTrue="1">
      <formula>IF($A1115&lt;&gt;"",IF(B1115="",TRUE,FALSE),FALSE)</formula>
    </cfRule>
  </conditionalFormatting>
  <conditionalFormatting sqref="M1115">
    <cfRule type="expression" dxfId="1163" priority="1129" stopIfTrue="1">
      <formula>IF($F1115="I",TRUE,FALSE)</formula>
    </cfRule>
  </conditionalFormatting>
  <conditionalFormatting sqref="B1116:D1116 F1116:G1116 I1116:P1116">
    <cfRule type="expression" dxfId="1162" priority="1128" stopIfTrue="1">
      <formula>IF($A1116&lt;&gt;"",IF(B1116="",TRUE,FALSE),FALSE)</formula>
    </cfRule>
  </conditionalFormatting>
  <conditionalFormatting sqref="M1116">
    <cfRule type="expression" dxfId="1161" priority="1127" stopIfTrue="1">
      <formula>IF($F1116="I",TRUE,FALSE)</formula>
    </cfRule>
  </conditionalFormatting>
  <conditionalFormatting sqref="B1117:D1117 F1117:G1117 I1117:P1117">
    <cfRule type="expression" dxfId="1160" priority="1126" stopIfTrue="1">
      <formula>IF($A1117&lt;&gt;"",IF(B1117="",TRUE,FALSE),FALSE)</formula>
    </cfRule>
  </conditionalFormatting>
  <conditionalFormatting sqref="M1117">
    <cfRule type="expression" dxfId="1159" priority="1125" stopIfTrue="1">
      <formula>IF($F1117="I",TRUE,FALSE)</formula>
    </cfRule>
  </conditionalFormatting>
  <conditionalFormatting sqref="B1118:D1118 F1118:G1118 I1118:P1118">
    <cfRule type="expression" dxfId="1158" priority="1124" stopIfTrue="1">
      <formula>IF($A1118&lt;&gt;"",IF(B1118="",TRUE,FALSE),FALSE)</formula>
    </cfRule>
  </conditionalFormatting>
  <conditionalFormatting sqref="M1118">
    <cfRule type="expression" dxfId="1157" priority="1123" stopIfTrue="1">
      <formula>IF($F1118="I",TRUE,FALSE)</formula>
    </cfRule>
  </conditionalFormatting>
  <conditionalFormatting sqref="B1119:D1119 F1119:G1119 I1119:P1119">
    <cfRule type="expression" dxfId="1156" priority="1122" stopIfTrue="1">
      <formula>IF($A1119&lt;&gt;"",IF(B1119="",TRUE,FALSE),FALSE)</formula>
    </cfRule>
  </conditionalFormatting>
  <conditionalFormatting sqref="M1119">
    <cfRule type="expression" dxfId="1155" priority="1121" stopIfTrue="1">
      <formula>IF($F1119="I",TRUE,FALSE)</formula>
    </cfRule>
  </conditionalFormatting>
  <conditionalFormatting sqref="B1120:D1120 F1120:G1120 I1120:P1120">
    <cfRule type="expression" dxfId="1154" priority="1120" stopIfTrue="1">
      <formula>IF($A1120&lt;&gt;"",IF(B1120="",TRUE,FALSE),FALSE)</formula>
    </cfRule>
  </conditionalFormatting>
  <conditionalFormatting sqref="M1120">
    <cfRule type="expression" dxfId="1153" priority="1119" stopIfTrue="1">
      <formula>IF($F1120="I",TRUE,FALSE)</formula>
    </cfRule>
  </conditionalFormatting>
  <conditionalFormatting sqref="B1121:D1121 F1121:G1121 I1121:P1121">
    <cfRule type="expression" dxfId="1152" priority="1118" stopIfTrue="1">
      <formula>IF($A1121&lt;&gt;"",IF(B1121="",TRUE,FALSE),FALSE)</formula>
    </cfRule>
  </conditionalFormatting>
  <conditionalFormatting sqref="M1121">
    <cfRule type="expression" dxfId="1151" priority="1117" stopIfTrue="1">
      <formula>IF($F1121="I",TRUE,FALSE)</formula>
    </cfRule>
  </conditionalFormatting>
  <conditionalFormatting sqref="B1122:D1122 F1122:G1122 I1122:P1122">
    <cfRule type="expression" dxfId="1150" priority="1116" stopIfTrue="1">
      <formula>IF($A1122&lt;&gt;"",IF(B1122="",TRUE,FALSE),FALSE)</formula>
    </cfRule>
  </conditionalFormatting>
  <conditionalFormatting sqref="M1122">
    <cfRule type="expression" dxfId="1149" priority="1115" stopIfTrue="1">
      <formula>IF($F1122="I",TRUE,FALSE)</formula>
    </cfRule>
  </conditionalFormatting>
  <conditionalFormatting sqref="B1123:D1123 F1123:G1123 I1123:P1123">
    <cfRule type="expression" dxfId="1148" priority="1114" stopIfTrue="1">
      <formula>IF($A1123&lt;&gt;"",IF(B1123="",TRUE,FALSE),FALSE)</formula>
    </cfRule>
  </conditionalFormatting>
  <conditionalFormatting sqref="M1123">
    <cfRule type="expression" dxfId="1147" priority="1113" stopIfTrue="1">
      <formula>IF($F1123="I",TRUE,FALSE)</formula>
    </cfRule>
  </conditionalFormatting>
  <conditionalFormatting sqref="B1124:D1124 F1124:G1124 I1124:P1124">
    <cfRule type="expression" dxfId="1146" priority="1112" stopIfTrue="1">
      <formula>IF($A1124&lt;&gt;"",IF(B1124="",TRUE,FALSE),FALSE)</formula>
    </cfRule>
  </conditionalFormatting>
  <conditionalFormatting sqref="M1124">
    <cfRule type="expression" dxfId="1145" priority="1111" stopIfTrue="1">
      <formula>IF($F1124="I",TRUE,FALSE)</formula>
    </cfRule>
  </conditionalFormatting>
  <conditionalFormatting sqref="B1125:D1125 F1125:G1125 I1125:P1125">
    <cfRule type="expression" dxfId="1144" priority="1110" stopIfTrue="1">
      <formula>IF($A1125&lt;&gt;"",IF(B1125="",TRUE,FALSE),FALSE)</formula>
    </cfRule>
  </conditionalFormatting>
  <conditionalFormatting sqref="M1125">
    <cfRule type="expression" dxfId="1143" priority="1109" stopIfTrue="1">
      <formula>IF($F1125="I",TRUE,FALSE)</formula>
    </cfRule>
  </conditionalFormatting>
  <conditionalFormatting sqref="B1126:D1126 F1126:G1126 I1126:P1126">
    <cfRule type="expression" dxfId="1142" priority="1108" stopIfTrue="1">
      <formula>IF($A1126&lt;&gt;"",IF(B1126="",TRUE,FALSE),FALSE)</formula>
    </cfRule>
  </conditionalFormatting>
  <conditionalFormatting sqref="M1126">
    <cfRule type="expression" dxfId="1141" priority="1107" stopIfTrue="1">
      <formula>IF($F1126="I",TRUE,FALSE)</formula>
    </cfRule>
  </conditionalFormatting>
  <conditionalFormatting sqref="B1127:D1127 F1127:G1127 I1127:P1127">
    <cfRule type="expression" dxfId="1140" priority="1106" stopIfTrue="1">
      <formula>IF($A1127&lt;&gt;"",IF(B1127="",TRUE,FALSE),FALSE)</formula>
    </cfRule>
  </conditionalFormatting>
  <conditionalFormatting sqref="M1127">
    <cfRule type="expression" dxfId="1139" priority="1105" stopIfTrue="1">
      <formula>IF($F1127="I",TRUE,FALSE)</formula>
    </cfRule>
  </conditionalFormatting>
  <conditionalFormatting sqref="B1128:D1128 F1128:G1128 I1128:P1128">
    <cfRule type="expression" dxfId="1138" priority="1104" stopIfTrue="1">
      <formula>IF($A1128&lt;&gt;"",IF(B1128="",TRUE,FALSE),FALSE)</formula>
    </cfRule>
  </conditionalFormatting>
  <conditionalFormatting sqref="M1128">
    <cfRule type="expression" dxfId="1137" priority="1103" stopIfTrue="1">
      <formula>IF($F1128="I",TRUE,FALSE)</formula>
    </cfRule>
  </conditionalFormatting>
  <conditionalFormatting sqref="B1129:D1129 F1129:G1129 I1129:P1129">
    <cfRule type="expression" dxfId="1136" priority="1102" stopIfTrue="1">
      <formula>IF($A1129&lt;&gt;"",IF(B1129="",TRUE,FALSE),FALSE)</formula>
    </cfRule>
  </conditionalFormatting>
  <conditionalFormatting sqref="M1129">
    <cfRule type="expression" dxfId="1135" priority="1101" stopIfTrue="1">
      <formula>IF($F1129="I",TRUE,FALSE)</formula>
    </cfRule>
  </conditionalFormatting>
  <conditionalFormatting sqref="B1130:D1130 F1130:G1130 I1130:P1130">
    <cfRule type="expression" dxfId="1134" priority="1100" stopIfTrue="1">
      <formula>IF($A1130&lt;&gt;"",IF(B1130="",TRUE,FALSE),FALSE)</formula>
    </cfRule>
  </conditionalFormatting>
  <conditionalFormatting sqref="M1130">
    <cfRule type="expression" dxfId="1133" priority="1099" stopIfTrue="1">
      <formula>IF($F1130="I",TRUE,FALSE)</formula>
    </cfRule>
  </conditionalFormatting>
  <conditionalFormatting sqref="B1131:D1131 F1131:G1131 I1131:P1131">
    <cfRule type="expression" dxfId="1132" priority="1098" stopIfTrue="1">
      <formula>IF($A1131&lt;&gt;"",IF(B1131="",TRUE,FALSE),FALSE)</formula>
    </cfRule>
  </conditionalFormatting>
  <conditionalFormatting sqref="M1131">
    <cfRule type="expression" dxfId="1131" priority="1097" stopIfTrue="1">
      <formula>IF($F1131="I",TRUE,FALSE)</formula>
    </cfRule>
  </conditionalFormatting>
  <conditionalFormatting sqref="B1132:D1132 F1132:G1132 I1132:P1132">
    <cfRule type="expression" dxfId="1130" priority="1096" stopIfTrue="1">
      <formula>IF($A1132&lt;&gt;"",IF(B1132="",TRUE,FALSE),FALSE)</formula>
    </cfRule>
  </conditionalFormatting>
  <conditionalFormatting sqref="M1132">
    <cfRule type="expression" dxfId="1129" priority="1095" stopIfTrue="1">
      <formula>IF($F1132="I",TRUE,FALSE)</formula>
    </cfRule>
  </conditionalFormatting>
  <conditionalFormatting sqref="B1133:D1133 F1133:G1133 I1133:P1133">
    <cfRule type="expression" dxfId="1128" priority="1094" stopIfTrue="1">
      <formula>IF($A1133&lt;&gt;"",IF(B1133="",TRUE,FALSE),FALSE)</formula>
    </cfRule>
  </conditionalFormatting>
  <conditionalFormatting sqref="M1133">
    <cfRule type="expression" dxfId="1127" priority="1093" stopIfTrue="1">
      <formula>IF($F1133="I",TRUE,FALSE)</formula>
    </cfRule>
  </conditionalFormatting>
  <conditionalFormatting sqref="B1134:D1134 F1134:G1134 I1134:P1134">
    <cfRule type="expression" dxfId="1126" priority="1092" stopIfTrue="1">
      <formula>IF($A1134&lt;&gt;"",IF(B1134="",TRUE,FALSE),FALSE)</formula>
    </cfRule>
  </conditionalFormatting>
  <conditionalFormatting sqref="M1134">
    <cfRule type="expression" dxfId="1125" priority="1091" stopIfTrue="1">
      <formula>IF($F1134="I",TRUE,FALSE)</formula>
    </cfRule>
  </conditionalFormatting>
  <conditionalFormatting sqref="B1135:D1135 F1135:G1135 I1135:P1135">
    <cfRule type="expression" dxfId="1124" priority="1090" stopIfTrue="1">
      <formula>IF($A1135&lt;&gt;"",IF(B1135="",TRUE,FALSE),FALSE)</formula>
    </cfRule>
  </conditionalFormatting>
  <conditionalFormatting sqref="M1135">
    <cfRule type="expression" dxfId="1123" priority="1089" stopIfTrue="1">
      <formula>IF($F1135="I",TRUE,FALSE)</formula>
    </cfRule>
  </conditionalFormatting>
  <conditionalFormatting sqref="B1136:D1136 F1136:G1136 I1136:P1136">
    <cfRule type="expression" dxfId="1122" priority="1088" stopIfTrue="1">
      <formula>IF($A1136&lt;&gt;"",IF(B1136="",TRUE,FALSE),FALSE)</formula>
    </cfRule>
  </conditionalFormatting>
  <conditionalFormatting sqref="M1136">
    <cfRule type="expression" dxfId="1121" priority="1087" stopIfTrue="1">
      <formula>IF($F1136="I",TRUE,FALSE)</formula>
    </cfRule>
  </conditionalFormatting>
  <conditionalFormatting sqref="B1137:D1137 F1137:G1137 I1137:P1137">
    <cfRule type="expression" dxfId="1120" priority="1086" stopIfTrue="1">
      <formula>IF($A1137&lt;&gt;"",IF(B1137="",TRUE,FALSE),FALSE)</formula>
    </cfRule>
  </conditionalFormatting>
  <conditionalFormatting sqref="M1137">
    <cfRule type="expression" dxfId="1119" priority="1085" stopIfTrue="1">
      <formula>IF($F1137="I",TRUE,FALSE)</formula>
    </cfRule>
  </conditionalFormatting>
  <conditionalFormatting sqref="B1138:D1138 F1138:G1138 I1138:P1138">
    <cfRule type="expression" dxfId="1118" priority="1084" stopIfTrue="1">
      <formula>IF($A1138&lt;&gt;"",IF(B1138="",TRUE,FALSE),FALSE)</formula>
    </cfRule>
  </conditionalFormatting>
  <conditionalFormatting sqref="M1138">
    <cfRule type="expression" dxfId="1117" priority="1083" stopIfTrue="1">
      <formula>IF($F1138="I",TRUE,FALSE)</formula>
    </cfRule>
  </conditionalFormatting>
  <conditionalFormatting sqref="B1139:D1139 F1139:G1139 I1139:P1139">
    <cfRule type="expression" dxfId="1116" priority="1082" stopIfTrue="1">
      <formula>IF($A1139&lt;&gt;"",IF(B1139="",TRUE,FALSE),FALSE)</formula>
    </cfRule>
  </conditionalFormatting>
  <conditionalFormatting sqref="M1139">
    <cfRule type="expression" dxfId="1115" priority="1081" stopIfTrue="1">
      <formula>IF($F1139="I",TRUE,FALSE)</formula>
    </cfRule>
  </conditionalFormatting>
  <conditionalFormatting sqref="B1140:D1140 F1140:G1140 I1140:P1140">
    <cfRule type="expression" dxfId="1114" priority="1080" stopIfTrue="1">
      <formula>IF($A1140&lt;&gt;"",IF(B1140="",TRUE,FALSE),FALSE)</formula>
    </cfRule>
  </conditionalFormatting>
  <conditionalFormatting sqref="M1140">
    <cfRule type="expression" dxfId="1113" priority="1079" stopIfTrue="1">
      <formula>IF($F1140="I",TRUE,FALSE)</formula>
    </cfRule>
  </conditionalFormatting>
  <conditionalFormatting sqref="B1141:D1141 F1141:G1141 I1141:P1141">
    <cfRule type="expression" dxfId="1112" priority="1078" stopIfTrue="1">
      <formula>IF($A1141&lt;&gt;"",IF(B1141="",TRUE,FALSE),FALSE)</formula>
    </cfRule>
  </conditionalFormatting>
  <conditionalFormatting sqref="M1141">
    <cfRule type="expression" dxfId="1111" priority="1077" stopIfTrue="1">
      <formula>IF($F1141="I",TRUE,FALSE)</formula>
    </cfRule>
  </conditionalFormatting>
  <conditionalFormatting sqref="B1142:D1142 F1142:G1142 I1142:P1142">
    <cfRule type="expression" dxfId="1110" priority="1076" stopIfTrue="1">
      <formula>IF($A1142&lt;&gt;"",IF(B1142="",TRUE,FALSE),FALSE)</formula>
    </cfRule>
  </conditionalFormatting>
  <conditionalFormatting sqref="M1142">
    <cfRule type="expression" dxfId="1109" priority="1075" stopIfTrue="1">
      <formula>IF($F1142="I",TRUE,FALSE)</formula>
    </cfRule>
  </conditionalFormatting>
  <conditionalFormatting sqref="B1143:D1143 F1143:G1143 I1143:P1143">
    <cfRule type="expression" dxfId="1108" priority="1074" stopIfTrue="1">
      <formula>IF($A1143&lt;&gt;"",IF(B1143="",TRUE,FALSE),FALSE)</formula>
    </cfRule>
  </conditionalFormatting>
  <conditionalFormatting sqref="M1143">
    <cfRule type="expression" dxfId="1107" priority="1073" stopIfTrue="1">
      <formula>IF($F1143="I",TRUE,FALSE)</formula>
    </cfRule>
  </conditionalFormatting>
  <conditionalFormatting sqref="B1144:D1144 F1144:G1144 I1144:P1144">
    <cfRule type="expression" dxfId="1106" priority="1072" stopIfTrue="1">
      <formula>IF($A1144&lt;&gt;"",IF(B1144="",TRUE,FALSE),FALSE)</formula>
    </cfRule>
  </conditionalFormatting>
  <conditionalFormatting sqref="M1144">
    <cfRule type="expression" dxfId="1105" priority="1071" stopIfTrue="1">
      <formula>IF($F1144="I",TRUE,FALSE)</formula>
    </cfRule>
  </conditionalFormatting>
  <conditionalFormatting sqref="B1145:D1145 F1145:G1145 I1145:P1145">
    <cfRule type="expression" dxfId="1104" priority="1070" stopIfTrue="1">
      <formula>IF($A1145&lt;&gt;"",IF(B1145="",TRUE,FALSE),FALSE)</formula>
    </cfRule>
  </conditionalFormatting>
  <conditionalFormatting sqref="M1145">
    <cfRule type="expression" dxfId="1103" priority="1069" stopIfTrue="1">
      <formula>IF($F1145="I",TRUE,FALSE)</formula>
    </cfRule>
  </conditionalFormatting>
  <conditionalFormatting sqref="B1146:D1146 F1146:G1146 I1146:P1146">
    <cfRule type="expression" dxfId="1102" priority="1068" stopIfTrue="1">
      <formula>IF($A1146&lt;&gt;"",IF(B1146="",TRUE,FALSE),FALSE)</formula>
    </cfRule>
  </conditionalFormatting>
  <conditionalFormatting sqref="M1146">
    <cfRule type="expression" dxfId="1101" priority="1067" stopIfTrue="1">
      <formula>IF($F1146="I",TRUE,FALSE)</formula>
    </cfRule>
  </conditionalFormatting>
  <conditionalFormatting sqref="B1147:D1147 F1147:G1147 I1147:P1147">
    <cfRule type="expression" dxfId="1100" priority="1066" stopIfTrue="1">
      <formula>IF($A1147&lt;&gt;"",IF(B1147="",TRUE,FALSE),FALSE)</formula>
    </cfRule>
  </conditionalFormatting>
  <conditionalFormatting sqref="M1147">
    <cfRule type="expression" dxfId="1099" priority="1065" stopIfTrue="1">
      <formula>IF($F1147="I",TRUE,FALSE)</formula>
    </cfRule>
  </conditionalFormatting>
  <conditionalFormatting sqref="B1148:D1148 F1148:G1148 I1148:P1148">
    <cfRule type="expression" dxfId="1098" priority="1064" stopIfTrue="1">
      <formula>IF($A1148&lt;&gt;"",IF(B1148="",TRUE,FALSE),FALSE)</formula>
    </cfRule>
  </conditionalFormatting>
  <conditionalFormatting sqref="M1148">
    <cfRule type="expression" dxfId="1097" priority="1063" stopIfTrue="1">
      <formula>IF($F1148="I",TRUE,FALSE)</formula>
    </cfRule>
  </conditionalFormatting>
  <conditionalFormatting sqref="B1149:D1149 F1149:G1149 I1149:P1149">
    <cfRule type="expression" dxfId="1096" priority="1062" stopIfTrue="1">
      <formula>IF($A1149&lt;&gt;"",IF(B1149="",TRUE,FALSE),FALSE)</formula>
    </cfRule>
  </conditionalFormatting>
  <conditionalFormatting sqref="M1149">
    <cfRule type="expression" dxfId="1095" priority="1061" stopIfTrue="1">
      <formula>IF($F1149="I",TRUE,FALSE)</formula>
    </cfRule>
  </conditionalFormatting>
  <conditionalFormatting sqref="B1150:D1150 F1150:G1150 I1150:P1150">
    <cfRule type="expression" dxfId="1094" priority="1060" stopIfTrue="1">
      <formula>IF($A1150&lt;&gt;"",IF(B1150="",TRUE,FALSE),FALSE)</formula>
    </cfRule>
  </conditionalFormatting>
  <conditionalFormatting sqref="M1150">
    <cfRule type="expression" dxfId="1093" priority="1059" stopIfTrue="1">
      <formula>IF($F1150="I",TRUE,FALSE)</formula>
    </cfRule>
  </conditionalFormatting>
  <conditionalFormatting sqref="B1151:D1151 F1151:G1151 I1151:P1151">
    <cfRule type="expression" dxfId="1092" priority="1058" stopIfTrue="1">
      <formula>IF($A1151&lt;&gt;"",IF(B1151="",TRUE,FALSE),FALSE)</formula>
    </cfRule>
  </conditionalFormatting>
  <conditionalFormatting sqref="M1151">
    <cfRule type="expression" dxfId="1091" priority="1057" stopIfTrue="1">
      <formula>IF($F1151="I",TRUE,FALSE)</formula>
    </cfRule>
  </conditionalFormatting>
  <conditionalFormatting sqref="B1152:D1152 F1152:G1152 I1152:P1152">
    <cfRule type="expression" dxfId="1090" priority="1056" stopIfTrue="1">
      <formula>IF($A1152&lt;&gt;"",IF(B1152="",TRUE,FALSE),FALSE)</formula>
    </cfRule>
  </conditionalFormatting>
  <conditionalFormatting sqref="M1152">
    <cfRule type="expression" dxfId="1089" priority="1055" stopIfTrue="1">
      <formula>IF($F1152="I",TRUE,FALSE)</formula>
    </cfRule>
  </conditionalFormatting>
  <conditionalFormatting sqref="B1153:D1153 F1153:G1153 I1153:P1153">
    <cfRule type="expression" dxfId="1088" priority="1054" stopIfTrue="1">
      <formula>IF($A1153&lt;&gt;"",IF(B1153="",TRUE,FALSE),FALSE)</formula>
    </cfRule>
  </conditionalFormatting>
  <conditionalFormatting sqref="M1153">
    <cfRule type="expression" dxfId="1087" priority="1053" stopIfTrue="1">
      <formula>IF($F1153="I",TRUE,FALSE)</formula>
    </cfRule>
  </conditionalFormatting>
  <conditionalFormatting sqref="B1154:D1154 F1154:G1154 I1154:P1154">
    <cfRule type="expression" dxfId="1086" priority="1052" stopIfTrue="1">
      <formula>IF($A1154&lt;&gt;"",IF(B1154="",TRUE,FALSE),FALSE)</formula>
    </cfRule>
  </conditionalFormatting>
  <conditionalFormatting sqref="M1154">
    <cfRule type="expression" dxfId="1085" priority="1051" stopIfTrue="1">
      <formula>IF($F1154="I",TRUE,FALSE)</formula>
    </cfRule>
  </conditionalFormatting>
  <conditionalFormatting sqref="B1155:D1155 F1155:G1155 I1155:P1155">
    <cfRule type="expression" dxfId="1084" priority="1050" stopIfTrue="1">
      <formula>IF($A1155&lt;&gt;"",IF(B1155="",TRUE,FALSE),FALSE)</formula>
    </cfRule>
  </conditionalFormatting>
  <conditionalFormatting sqref="M1155">
    <cfRule type="expression" dxfId="1083" priority="1049" stopIfTrue="1">
      <formula>IF($F1155="I",TRUE,FALSE)</formula>
    </cfRule>
  </conditionalFormatting>
  <conditionalFormatting sqref="B1156:D1156 F1156:G1156 I1156:P1156">
    <cfRule type="expression" dxfId="1082" priority="1048" stopIfTrue="1">
      <formula>IF($A1156&lt;&gt;"",IF(B1156="",TRUE,FALSE),FALSE)</formula>
    </cfRule>
  </conditionalFormatting>
  <conditionalFormatting sqref="M1156">
    <cfRule type="expression" dxfId="1081" priority="1047" stopIfTrue="1">
      <formula>IF($F1156="I",TRUE,FALSE)</formula>
    </cfRule>
  </conditionalFormatting>
  <conditionalFormatting sqref="B1157:D1157 F1157:G1157 I1157:P1157">
    <cfRule type="expression" dxfId="1080" priority="1046" stopIfTrue="1">
      <formula>IF($A1157&lt;&gt;"",IF(B1157="",TRUE,FALSE),FALSE)</formula>
    </cfRule>
  </conditionalFormatting>
  <conditionalFormatting sqref="M1157">
    <cfRule type="expression" dxfId="1079" priority="1045" stopIfTrue="1">
      <formula>IF($F1157="I",TRUE,FALSE)</formula>
    </cfRule>
  </conditionalFormatting>
  <conditionalFormatting sqref="B1158:D1158 F1158:G1158 I1158:P1158">
    <cfRule type="expression" dxfId="1078" priority="1044" stopIfTrue="1">
      <formula>IF($A1158&lt;&gt;"",IF(B1158="",TRUE,FALSE),FALSE)</formula>
    </cfRule>
  </conditionalFormatting>
  <conditionalFormatting sqref="M1158">
    <cfRule type="expression" dxfId="1077" priority="1043" stopIfTrue="1">
      <formula>IF($F1158="I",TRUE,FALSE)</formula>
    </cfRule>
  </conditionalFormatting>
  <conditionalFormatting sqref="B1159:D1159 F1159:G1159 I1159:P1159">
    <cfRule type="expression" dxfId="1076" priority="1042" stopIfTrue="1">
      <formula>IF($A1159&lt;&gt;"",IF(B1159="",TRUE,FALSE),FALSE)</formula>
    </cfRule>
  </conditionalFormatting>
  <conditionalFormatting sqref="M1159">
    <cfRule type="expression" dxfId="1075" priority="1041" stopIfTrue="1">
      <formula>IF($F1159="I",TRUE,FALSE)</formula>
    </cfRule>
  </conditionalFormatting>
  <conditionalFormatting sqref="B1160:D1160 F1160:G1160 I1160:P1160">
    <cfRule type="expression" dxfId="1074" priority="1040" stopIfTrue="1">
      <formula>IF($A1160&lt;&gt;"",IF(B1160="",TRUE,FALSE),FALSE)</formula>
    </cfRule>
  </conditionalFormatting>
  <conditionalFormatting sqref="M1160">
    <cfRule type="expression" dxfId="1073" priority="1039" stopIfTrue="1">
      <formula>IF($F1160="I",TRUE,FALSE)</formula>
    </cfRule>
  </conditionalFormatting>
  <conditionalFormatting sqref="B1161:D1161 F1161:G1161 I1161:P1161">
    <cfRule type="expression" dxfId="1072" priority="1038" stopIfTrue="1">
      <formula>IF($A1161&lt;&gt;"",IF(B1161="",TRUE,FALSE),FALSE)</formula>
    </cfRule>
  </conditionalFormatting>
  <conditionalFormatting sqref="M1161">
    <cfRule type="expression" dxfId="1071" priority="1037" stopIfTrue="1">
      <formula>IF($F1161="I",TRUE,FALSE)</formula>
    </cfRule>
  </conditionalFormatting>
  <conditionalFormatting sqref="B1162:D1162 F1162:G1162 I1162:P1162">
    <cfRule type="expression" dxfId="1070" priority="1036" stopIfTrue="1">
      <formula>IF($A1162&lt;&gt;"",IF(B1162="",TRUE,FALSE),FALSE)</formula>
    </cfRule>
  </conditionalFormatting>
  <conditionalFormatting sqref="M1162">
    <cfRule type="expression" dxfId="1069" priority="1035" stopIfTrue="1">
      <formula>IF($F1162="I",TRUE,FALSE)</formula>
    </cfRule>
  </conditionalFormatting>
  <conditionalFormatting sqref="B1163:D1163 F1163:G1163 I1163:P1163">
    <cfRule type="expression" dxfId="1068" priority="1034" stopIfTrue="1">
      <formula>IF($A1163&lt;&gt;"",IF(B1163="",TRUE,FALSE),FALSE)</formula>
    </cfRule>
  </conditionalFormatting>
  <conditionalFormatting sqref="M1163">
    <cfRule type="expression" dxfId="1067" priority="1033" stopIfTrue="1">
      <formula>IF($F1163="I",TRUE,FALSE)</formula>
    </cfRule>
  </conditionalFormatting>
  <conditionalFormatting sqref="B1164:D1164 F1164:G1164 I1164:P1164">
    <cfRule type="expression" dxfId="1066" priority="1032" stopIfTrue="1">
      <formula>IF($A1164&lt;&gt;"",IF(B1164="",TRUE,FALSE),FALSE)</formula>
    </cfRule>
  </conditionalFormatting>
  <conditionalFormatting sqref="M1164">
    <cfRule type="expression" dxfId="1065" priority="1031" stopIfTrue="1">
      <formula>IF($F1164="I",TRUE,FALSE)</formula>
    </cfRule>
  </conditionalFormatting>
  <conditionalFormatting sqref="B1165:D1165 F1165:G1165 I1165:P1165">
    <cfRule type="expression" dxfId="1064" priority="1030" stopIfTrue="1">
      <formula>IF($A1165&lt;&gt;"",IF(B1165="",TRUE,FALSE),FALSE)</formula>
    </cfRule>
  </conditionalFormatting>
  <conditionalFormatting sqref="M1165">
    <cfRule type="expression" dxfId="1063" priority="1029" stopIfTrue="1">
      <formula>IF($F1165="I",TRUE,FALSE)</formula>
    </cfRule>
  </conditionalFormatting>
  <conditionalFormatting sqref="B1166:D1166 F1166:G1166 I1166:P1166">
    <cfRule type="expression" dxfId="1062" priority="1028" stopIfTrue="1">
      <formula>IF($A1166&lt;&gt;"",IF(B1166="",TRUE,FALSE),FALSE)</formula>
    </cfRule>
  </conditionalFormatting>
  <conditionalFormatting sqref="M1166">
    <cfRule type="expression" dxfId="1061" priority="1027" stopIfTrue="1">
      <formula>IF($F1166="I",TRUE,FALSE)</formula>
    </cfRule>
  </conditionalFormatting>
  <conditionalFormatting sqref="B1167:D1167 F1167:G1167 I1167:P1167">
    <cfRule type="expression" dxfId="1060" priority="1026" stopIfTrue="1">
      <formula>IF($A1167&lt;&gt;"",IF(B1167="",TRUE,FALSE),FALSE)</formula>
    </cfRule>
  </conditionalFormatting>
  <conditionalFormatting sqref="M1167">
    <cfRule type="expression" dxfId="1059" priority="1025" stopIfTrue="1">
      <formula>IF($F1167="I",TRUE,FALSE)</formula>
    </cfRule>
  </conditionalFormatting>
  <conditionalFormatting sqref="B1168:D1168 F1168:G1168 I1168:P1168">
    <cfRule type="expression" dxfId="1058" priority="1024" stopIfTrue="1">
      <formula>IF($A1168&lt;&gt;"",IF(B1168="",TRUE,FALSE),FALSE)</formula>
    </cfRule>
  </conditionalFormatting>
  <conditionalFormatting sqref="M1168">
    <cfRule type="expression" dxfId="1057" priority="1023" stopIfTrue="1">
      <formula>IF($F1168="I",TRUE,FALSE)</formula>
    </cfRule>
  </conditionalFormatting>
  <conditionalFormatting sqref="B1169:D1169 F1169:G1169 I1169:P1169">
    <cfRule type="expression" dxfId="1056" priority="1022" stopIfTrue="1">
      <formula>IF($A1169&lt;&gt;"",IF(B1169="",TRUE,FALSE),FALSE)</formula>
    </cfRule>
  </conditionalFormatting>
  <conditionalFormatting sqref="M1169">
    <cfRule type="expression" dxfId="1055" priority="1021" stopIfTrue="1">
      <formula>IF($F1169="I",TRUE,FALSE)</formula>
    </cfRule>
  </conditionalFormatting>
  <conditionalFormatting sqref="B1170:D1170 F1170:G1170 I1170:P1170">
    <cfRule type="expression" dxfId="1054" priority="1020" stopIfTrue="1">
      <formula>IF($A1170&lt;&gt;"",IF(B1170="",TRUE,FALSE),FALSE)</formula>
    </cfRule>
  </conditionalFormatting>
  <conditionalFormatting sqref="M1170">
    <cfRule type="expression" dxfId="1053" priority="1019" stopIfTrue="1">
      <formula>IF($F1170="I",TRUE,FALSE)</formula>
    </cfRule>
  </conditionalFormatting>
  <conditionalFormatting sqref="B1171:D1171 F1171:G1171 I1171:P1171">
    <cfRule type="expression" dxfId="1052" priority="1018" stopIfTrue="1">
      <formula>IF($A1171&lt;&gt;"",IF(B1171="",TRUE,FALSE),FALSE)</formula>
    </cfRule>
  </conditionalFormatting>
  <conditionalFormatting sqref="M1171">
    <cfRule type="expression" dxfId="1051" priority="1017" stopIfTrue="1">
      <formula>IF($F1171="I",TRUE,FALSE)</formula>
    </cfRule>
  </conditionalFormatting>
  <conditionalFormatting sqref="B1172:D1172 F1172:G1172 I1172:P1172">
    <cfRule type="expression" dxfId="1050" priority="1016" stopIfTrue="1">
      <formula>IF($A1172&lt;&gt;"",IF(B1172="",TRUE,FALSE),FALSE)</formula>
    </cfRule>
  </conditionalFormatting>
  <conditionalFormatting sqref="M1172">
    <cfRule type="expression" dxfId="1049" priority="1015" stopIfTrue="1">
      <formula>IF($F1172="I",TRUE,FALSE)</formula>
    </cfRule>
  </conditionalFormatting>
  <conditionalFormatting sqref="B1173:D1173 F1173:G1173 I1173:P1173">
    <cfRule type="expression" dxfId="1048" priority="1014" stopIfTrue="1">
      <formula>IF($A1173&lt;&gt;"",IF(B1173="",TRUE,FALSE),FALSE)</formula>
    </cfRule>
  </conditionalFormatting>
  <conditionalFormatting sqref="M1173">
    <cfRule type="expression" dxfId="1047" priority="1013" stopIfTrue="1">
      <formula>IF($F1173="I",TRUE,FALSE)</formula>
    </cfRule>
  </conditionalFormatting>
  <conditionalFormatting sqref="B1174:D1174 F1174:G1174 I1174:P1174">
    <cfRule type="expression" dxfId="1046" priority="1012" stopIfTrue="1">
      <formula>IF($A1174&lt;&gt;"",IF(B1174="",TRUE,FALSE),FALSE)</formula>
    </cfRule>
  </conditionalFormatting>
  <conditionalFormatting sqref="M1174">
    <cfRule type="expression" dxfId="1045" priority="1011" stopIfTrue="1">
      <formula>IF($F1174="I",TRUE,FALSE)</formula>
    </cfRule>
  </conditionalFormatting>
  <conditionalFormatting sqref="B1175:D1175 F1175:G1175 I1175:P1175">
    <cfRule type="expression" dxfId="1044" priority="1010" stopIfTrue="1">
      <formula>IF($A1175&lt;&gt;"",IF(B1175="",TRUE,FALSE),FALSE)</formula>
    </cfRule>
  </conditionalFormatting>
  <conditionalFormatting sqref="M1175">
    <cfRule type="expression" dxfId="1043" priority="1009" stopIfTrue="1">
      <formula>IF($F1175="I",TRUE,FALSE)</formula>
    </cfRule>
  </conditionalFormatting>
  <conditionalFormatting sqref="B1176:D1176 F1176:G1176 I1176:P1176">
    <cfRule type="expression" dxfId="1042" priority="1008" stopIfTrue="1">
      <formula>IF($A1176&lt;&gt;"",IF(B1176="",TRUE,FALSE),FALSE)</formula>
    </cfRule>
  </conditionalFormatting>
  <conditionalFormatting sqref="M1176">
    <cfRule type="expression" dxfId="1041" priority="1007" stopIfTrue="1">
      <formula>IF($F1176="I",TRUE,FALSE)</formula>
    </cfRule>
  </conditionalFormatting>
  <conditionalFormatting sqref="B1177:D1177 F1177:G1177 I1177:P1177">
    <cfRule type="expression" dxfId="1040" priority="1006" stopIfTrue="1">
      <formula>IF($A1177&lt;&gt;"",IF(B1177="",TRUE,FALSE),FALSE)</formula>
    </cfRule>
  </conditionalFormatting>
  <conditionalFormatting sqref="M1177">
    <cfRule type="expression" dxfId="1039" priority="1005" stopIfTrue="1">
      <formula>IF($F1177="I",TRUE,FALSE)</formula>
    </cfRule>
  </conditionalFormatting>
  <conditionalFormatting sqref="B1178:D1178 F1178:G1178 I1178:P1178">
    <cfRule type="expression" dxfId="1038" priority="1004" stopIfTrue="1">
      <formula>IF($A1178&lt;&gt;"",IF(B1178="",TRUE,FALSE),FALSE)</formula>
    </cfRule>
  </conditionalFormatting>
  <conditionalFormatting sqref="M1178">
    <cfRule type="expression" dxfId="1037" priority="1003" stopIfTrue="1">
      <formula>IF($F1178="I",TRUE,FALSE)</formula>
    </cfRule>
  </conditionalFormatting>
  <conditionalFormatting sqref="B1179:D1179 F1179:G1179 I1179:P1179">
    <cfRule type="expression" dxfId="1036" priority="1002" stopIfTrue="1">
      <formula>IF($A1179&lt;&gt;"",IF(B1179="",TRUE,FALSE),FALSE)</formula>
    </cfRule>
  </conditionalFormatting>
  <conditionalFormatting sqref="M1179">
    <cfRule type="expression" dxfId="1035" priority="1001" stopIfTrue="1">
      <formula>IF($F1179="I",TRUE,FALSE)</formula>
    </cfRule>
  </conditionalFormatting>
  <conditionalFormatting sqref="B1180:D1180 F1180:G1180 I1180:P1180">
    <cfRule type="expression" dxfId="1034" priority="1000" stopIfTrue="1">
      <formula>IF($A1180&lt;&gt;"",IF(B1180="",TRUE,FALSE),FALSE)</formula>
    </cfRule>
  </conditionalFormatting>
  <conditionalFormatting sqref="M1180">
    <cfRule type="expression" dxfId="1033" priority="999" stopIfTrue="1">
      <formula>IF($F1180="I",TRUE,FALSE)</formula>
    </cfRule>
  </conditionalFormatting>
  <conditionalFormatting sqref="B1181:D1181 F1181:G1181 I1181:P1181">
    <cfRule type="expression" dxfId="1032" priority="998" stopIfTrue="1">
      <formula>IF($A1181&lt;&gt;"",IF(B1181="",TRUE,FALSE),FALSE)</formula>
    </cfRule>
  </conditionalFormatting>
  <conditionalFormatting sqref="M1181">
    <cfRule type="expression" dxfId="1031" priority="997" stopIfTrue="1">
      <formula>IF($F1181="I",TRUE,FALSE)</formula>
    </cfRule>
  </conditionalFormatting>
  <conditionalFormatting sqref="B1182:D1182 F1182:G1182 I1182:P1182">
    <cfRule type="expression" dxfId="1030" priority="996" stopIfTrue="1">
      <formula>IF($A1182&lt;&gt;"",IF(B1182="",TRUE,FALSE),FALSE)</formula>
    </cfRule>
  </conditionalFormatting>
  <conditionalFormatting sqref="M1182">
    <cfRule type="expression" dxfId="1029" priority="995" stopIfTrue="1">
      <formula>IF($F1182="I",TRUE,FALSE)</formula>
    </cfRule>
  </conditionalFormatting>
  <conditionalFormatting sqref="B1183:D1183 F1183:G1183 I1183:P1183">
    <cfRule type="expression" dxfId="1028" priority="994" stopIfTrue="1">
      <formula>IF($A1183&lt;&gt;"",IF(B1183="",TRUE,FALSE),FALSE)</formula>
    </cfRule>
  </conditionalFormatting>
  <conditionalFormatting sqref="M1183">
    <cfRule type="expression" dxfId="1027" priority="993" stopIfTrue="1">
      <formula>IF($F1183="I",TRUE,FALSE)</formula>
    </cfRule>
  </conditionalFormatting>
  <conditionalFormatting sqref="B1184:D1184 F1184:G1184 I1184:P1184">
    <cfRule type="expression" dxfId="1026" priority="992" stopIfTrue="1">
      <formula>IF($A1184&lt;&gt;"",IF(B1184="",TRUE,FALSE),FALSE)</formula>
    </cfRule>
  </conditionalFormatting>
  <conditionalFormatting sqref="M1184">
    <cfRule type="expression" dxfId="1025" priority="991" stopIfTrue="1">
      <formula>IF($F1184="I",TRUE,FALSE)</formula>
    </cfRule>
  </conditionalFormatting>
  <conditionalFormatting sqref="B1185:D1185 F1185:G1185 I1185:P1185">
    <cfRule type="expression" dxfId="1024" priority="990" stopIfTrue="1">
      <formula>IF($A1185&lt;&gt;"",IF(B1185="",TRUE,FALSE),FALSE)</formula>
    </cfRule>
  </conditionalFormatting>
  <conditionalFormatting sqref="M1185">
    <cfRule type="expression" dxfId="1023" priority="989" stopIfTrue="1">
      <formula>IF($F1185="I",TRUE,FALSE)</formula>
    </cfRule>
  </conditionalFormatting>
  <conditionalFormatting sqref="B1186:D1186 F1186:G1186 I1186:P1186">
    <cfRule type="expression" dxfId="1022" priority="988" stopIfTrue="1">
      <formula>IF($A1186&lt;&gt;"",IF(B1186="",TRUE,FALSE),FALSE)</formula>
    </cfRule>
  </conditionalFormatting>
  <conditionalFormatting sqref="M1186">
    <cfRule type="expression" dxfId="1021" priority="987" stopIfTrue="1">
      <formula>IF($F1186="I",TRUE,FALSE)</formula>
    </cfRule>
  </conditionalFormatting>
  <conditionalFormatting sqref="B1187:D1187 F1187:G1187 I1187:P1187">
    <cfRule type="expression" dxfId="1020" priority="986" stopIfTrue="1">
      <formula>IF($A1187&lt;&gt;"",IF(B1187="",TRUE,FALSE),FALSE)</formula>
    </cfRule>
  </conditionalFormatting>
  <conditionalFormatting sqref="M1187">
    <cfRule type="expression" dxfId="1019" priority="985" stopIfTrue="1">
      <formula>IF($F1187="I",TRUE,FALSE)</formula>
    </cfRule>
  </conditionalFormatting>
  <conditionalFormatting sqref="B1188:D1188 F1188:G1188 I1188:P1188">
    <cfRule type="expression" dxfId="1018" priority="984" stopIfTrue="1">
      <formula>IF($A1188&lt;&gt;"",IF(B1188="",TRUE,FALSE),FALSE)</formula>
    </cfRule>
  </conditionalFormatting>
  <conditionalFormatting sqref="M1188">
    <cfRule type="expression" dxfId="1017" priority="983" stopIfTrue="1">
      <formula>IF($F1188="I",TRUE,FALSE)</formula>
    </cfRule>
  </conditionalFormatting>
  <conditionalFormatting sqref="B1189:D1189 F1189:G1189 I1189:P1189">
    <cfRule type="expression" dxfId="1016" priority="982" stopIfTrue="1">
      <formula>IF($A1189&lt;&gt;"",IF(B1189="",TRUE,FALSE),FALSE)</formula>
    </cfRule>
  </conditionalFormatting>
  <conditionalFormatting sqref="M1189">
    <cfRule type="expression" dxfId="1015" priority="981" stopIfTrue="1">
      <formula>IF($F1189="I",TRUE,FALSE)</formula>
    </cfRule>
  </conditionalFormatting>
  <conditionalFormatting sqref="B1190:D1190 F1190:G1190 I1190:P1190">
    <cfRule type="expression" dxfId="1014" priority="980" stopIfTrue="1">
      <formula>IF($A1190&lt;&gt;"",IF(B1190="",TRUE,FALSE),FALSE)</formula>
    </cfRule>
  </conditionalFormatting>
  <conditionalFormatting sqref="M1190">
    <cfRule type="expression" dxfId="1013" priority="979" stopIfTrue="1">
      <formula>IF($F1190="I",TRUE,FALSE)</formula>
    </cfRule>
  </conditionalFormatting>
  <conditionalFormatting sqref="B1191:D1191 F1191:G1191 I1191:P1191">
    <cfRule type="expression" dxfId="1012" priority="978" stopIfTrue="1">
      <formula>IF($A1191&lt;&gt;"",IF(B1191="",TRUE,FALSE),FALSE)</formula>
    </cfRule>
  </conditionalFormatting>
  <conditionalFormatting sqref="M1191">
    <cfRule type="expression" dxfId="1011" priority="977" stopIfTrue="1">
      <formula>IF($F1191="I",TRUE,FALSE)</formula>
    </cfRule>
  </conditionalFormatting>
  <conditionalFormatting sqref="B1192:D1192 F1192:G1192 I1192:P1192">
    <cfRule type="expression" dxfId="1010" priority="976" stopIfTrue="1">
      <formula>IF($A1192&lt;&gt;"",IF(B1192="",TRUE,FALSE),FALSE)</formula>
    </cfRule>
  </conditionalFormatting>
  <conditionalFormatting sqref="M1192">
    <cfRule type="expression" dxfId="1009" priority="975" stopIfTrue="1">
      <formula>IF($F1192="I",TRUE,FALSE)</formula>
    </cfRule>
  </conditionalFormatting>
  <conditionalFormatting sqref="B1193:D1193 F1193:G1193 I1193:P1193">
    <cfRule type="expression" dxfId="1008" priority="974" stopIfTrue="1">
      <formula>IF($A1193&lt;&gt;"",IF(B1193="",TRUE,FALSE),FALSE)</formula>
    </cfRule>
  </conditionalFormatting>
  <conditionalFormatting sqref="M1193">
    <cfRule type="expression" dxfId="1007" priority="973" stopIfTrue="1">
      <formula>IF($F1193="I",TRUE,FALSE)</formula>
    </cfRule>
  </conditionalFormatting>
  <conditionalFormatting sqref="B1194:D1194 F1194:G1194 I1194:P1194">
    <cfRule type="expression" dxfId="1006" priority="972" stopIfTrue="1">
      <formula>IF($A1194&lt;&gt;"",IF(B1194="",TRUE,FALSE),FALSE)</formula>
    </cfRule>
  </conditionalFormatting>
  <conditionalFormatting sqref="M1194">
    <cfRule type="expression" dxfId="1005" priority="971" stopIfTrue="1">
      <formula>IF($F1194="I",TRUE,FALSE)</formula>
    </cfRule>
  </conditionalFormatting>
  <conditionalFormatting sqref="B1195:D1195 F1195:G1195 I1195:P1195">
    <cfRule type="expression" dxfId="1004" priority="970" stopIfTrue="1">
      <formula>IF($A1195&lt;&gt;"",IF(B1195="",TRUE,FALSE),FALSE)</formula>
    </cfRule>
  </conditionalFormatting>
  <conditionalFormatting sqref="M1195">
    <cfRule type="expression" dxfId="1003" priority="969" stopIfTrue="1">
      <formula>IF($F1195="I",TRUE,FALSE)</formula>
    </cfRule>
  </conditionalFormatting>
  <conditionalFormatting sqref="B1196:D1196 F1196:G1196 I1196:P1196">
    <cfRule type="expression" dxfId="1002" priority="968" stopIfTrue="1">
      <formula>IF($A1196&lt;&gt;"",IF(B1196="",TRUE,FALSE),FALSE)</formula>
    </cfRule>
  </conditionalFormatting>
  <conditionalFormatting sqref="M1196">
    <cfRule type="expression" dxfId="1001" priority="967" stopIfTrue="1">
      <formula>IF($F1196="I",TRUE,FALSE)</formula>
    </cfRule>
  </conditionalFormatting>
  <conditionalFormatting sqref="B1197:D1197 F1197:G1197 I1197:P1197">
    <cfRule type="expression" dxfId="1000" priority="966" stopIfTrue="1">
      <formula>IF($A1197&lt;&gt;"",IF(B1197="",TRUE,FALSE),FALSE)</formula>
    </cfRule>
  </conditionalFormatting>
  <conditionalFormatting sqref="M1197">
    <cfRule type="expression" dxfId="999" priority="965" stopIfTrue="1">
      <formula>IF($F1197="I",TRUE,FALSE)</formula>
    </cfRule>
  </conditionalFormatting>
  <conditionalFormatting sqref="B1198:D1198 F1198:G1198 I1198:P1198">
    <cfRule type="expression" dxfId="998" priority="964" stopIfTrue="1">
      <formula>IF($A1198&lt;&gt;"",IF(B1198="",TRUE,FALSE),FALSE)</formula>
    </cfRule>
  </conditionalFormatting>
  <conditionalFormatting sqref="M1198">
    <cfRule type="expression" dxfId="997" priority="963" stopIfTrue="1">
      <formula>IF($F1198="I",TRUE,FALSE)</formula>
    </cfRule>
  </conditionalFormatting>
  <conditionalFormatting sqref="B1199:D1199 F1199:G1199 I1199:P1199">
    <cfRule type="expression" dxfId="996" priority="962" stopIfTrue="1">
      <formula>IF($A1199&lt;&gt;"",IF(B1199="",TRUE,FALSE),FALSE)</formula>
    </cfRule>
  </conditionalFormatting>
  <conditionalFormatting sqref="M1199">
    <cfRule type="expression" dxfId="995" priority="961" stopIfTrue="1">
      <formula>IF($F1199="I",TRUE,FALSE)</formula>
    </cfRule>
  </conditionalFormatting>
  <conditionalFormatting sqref="B1200:D1200 F1200:G1200 I1200:P1200">
    <cfRule type="expression" dxfId="994" priority="960" stopIfTrue="1">
      <formula>IF($A1200&lt;&gt;"",IF(B1200="",TRUE,FALSE),FALSE)</formula>
    </cfRule>
  </conditionalFormatting>
  <conditionalFormatting sqref="M1200">
    <cfRule type="expression" dxfId="993" priority="959" stopIfTrue="1">
      <formula>IF($F1200="I",TRUE,FALSE)</formula>
    </cfRule>
  </conditionalFormatting>
  <conditionalFormatting sqref="B1201:D1201 F1201:G1201 I1201:P1201">
    <cfRule type="expression" dxfId="992" priority="958" stopIfTrue="1">
      <formula>IF($A1201&lt;&gt;"",IF(B1201="",TRUE,FALSE),FALSE)</formula>
    </cfRule>
  </conditionalFormatting>
  <conditionalFormatting sqref="M1201">
    <cfRule type="expression" dxfId="991" priority="957" stopIfTrue="1">
      <formula>IF($F1201="I",TRUE,FALSE)</formula>
    </cfRule>
  </conditionalFormatting>
  <conditionalFormatting sqref="B1202:D1202 F1202:G1202 I1202:P1202">
    <cfRule type="expression" dxfId="990" priority="956" stopIfTrue="1">
      <formula>IF($A1202&lt;&gt;"",IF(B1202="",TRUE,FALSE),FALSE)</formula>
    </cfRule>
  </conditionalFormatting>
  <conditionalFormatting sqref="M1202">
    <cfRule type="expression" dxfId="989" priority="955" stopIfTrue="1">
      <formula>IF($F1202="I",TRUE,FALSE)</formula>
    </cfRule>
  </conditionalFormatting>
  <conditionalFormatting sqref="B1203:D1203 F1203:G1203 I1203:P1203">
    <cfRule type="expression" dxfId="988" priority="954" stopIfTrue="1">
      <formula>IF($A1203&lt;&gt;"",IF(B1203="",TRUE,FALSE),FALSE)</formula>
    </cfRule>
  </conditionalFormatting>
  <conditionalFormatting sqref="M1203">
    <cfRule type="expression" dxfId="987" priority="953" stopIfTrue="1">
      <formula>IF($F1203="I",TRUE,FALSE)</formula>
    </cfRule>
  </conditionalFormatting>
  <conditionalFormatting sqref="B1204:D1204 F1204:G1204 I1204:P1204">
    <cfRule type="expression" dxfId="986" priority="952" stopIfTrue="1">
      <formula>IF($A1204&lt;&gt;"",IF(B1204="",TRUE,FALSE),FALSE)</formula>
    </cfRule>
  </conditionalFormatting>
  <conditionalFormatting sqref="M1204">
    <cfRule type="expression" dxfId="985" priority="951" stopIfTrue="1">
      <formula>IF($F1204="I",TRUE,FALSE)</formula>
    </cfRule>
  </conditionalFormatting>
  <conditionalFormatting sqref="B1205:D1205 F1205:G1205 I1205:P1205">
    <cfRule type="expression" dxfId="984" priority="950" stopIfTrue="1">
      <formula>IF($A1205&lt;&gt;"",IF(B1205="",TRUE,FALSE),FALSE)</formula>
    </cfRule>
  </conditionalFormatting>
  <conditionalFormatting sqref="M1205">
    <cfRule type="expression" dxfId="983" priority="949" stopIfTrue="1">
      <formula>IF($F1205="I",TRUE,FALSE)</formula>
    </cfRule>
  </conditionalFormatting>
  <conditionalFormatting sqref="B1206:D1206 F1206:G1206 I1206:P1206">
    <cfRule type="expression" dxfId="982" priority="948" stopIfTrue="1">
      <formula>IF($A1206&lt;&gt;"",IF(B1206="",TRUE,FALSE),FALSE)</formula>
    </cfRule>
  </conditionalFormatting>
  <conditionalFormatting sqref="M1206">
    <cfRule type="expression" dxfId="981" priority="947" stopIfTrue="1">
      <formula>IF($F1206="I",TRUE,FALSE)</formula>
    </cfRule>
  </conditionalFormatting>
  <conditionalFormatting sqref="B1207:D1207 F1207:G1207 I1207:P1207">
    <cfRule type="expression" dxfId="980" priority="946" stopIfTrue="1">
      <formula>IF($A1207&lt;&gt;"",IF(B1207="",TRUE,FALSE),FALSE)</formula>
    </cfRule>
  </conditionalFormatting>
  <conditionalFormatting sqref="M1207">
    <cfRule type="expression" dxfId="979" priority="945" stopIfTrue="1">
      <formula>IF($F1207="I",TRUE,FALSE)</formula>
    </cfRule>
  </conditionalFormatting>
  <conditionalFormatting sqref="B1208:D1208 F1208:G1208 I1208:P1208">
    <cfRule type="expression" dxfId="978" priority="944" stopIfTrue="1">
      <formula>IF($A1208&lt;&gt;"",IF(B1208="",TRUE,FALSE),FALSE)</formula>
    </cfRule>
  </conditionalFormatting>
  <conditionalFormatting sqref="M1208">
    <cfRule type="expression" dxfId="977" priority="943" stopIfTrue="1">
      <formula>IF($F1208="I",TRUE,FALSE)</formula>
    </cfRule>
  </conditionalFormatting>
  <conditionalFormatting sqref="B1209:D1209 F1209:G1209 I1209:P1209">
    <cfRule type="expression" dxfId="976" priority="942" stopIfTrue="1">
      <formula>IF($A1209&lt;&gt;"",IF(B1209="",TRUE,FALSE),FALSE)</formula>
    </cfRule>
  </conditionalFormatting>
  <conditionalFormatting sqref="M1209">
    <cfRule type="expression" dxfId="975" priority="941" stopIfTrue="1">
      <formula>IF($F1209="I",TRUE,FALSE)</formula>
    </cfRule>
  </conditionalFormatting>
  <conditionalFormatting sqref="B1210:D1210 F1210:G1210 I1210:P1210">
    <cfRule type="expression" dxfId="974" priority="940" stopIfTrue="1">
      <formula>IF($A1210&lt;&gt;"",IF(B1210="",TRUE,FALSE),FALSE)</formula>
    </cfRule>
  </conditionalFormatting>
  <conditionalFormatting sqref="M1210">
    <cfRule type="expression" dxfId="973" priority="939" stopIfTrue="1">
      <formula>IF($F1210="I",TRUE,FALSE)</formula>
    </cfRule>
  </conditionalFormatting>
  <conditionalFormatting sqref="B1211:D1211 F1211:G1211 I1211:P1211">
    <cfRule type="expression" dxfId="972" priority="938" stopIfTrue="1">
      <formula>IF($A1211&lt;&gt;"",IF(B1211="",TRUE,FALSE),FALSE)</formula>
    </cfRule>
  </conditionalFormatting>
  <conditionalFormatting sqref="M1211">
    <cfRule type="expression" dxfId="971" priority="937" stopIfTrue="1">
      <formula>IF($F1211="I",TRUE,FALSE)</formula>
    </cfRule>
  </conditionalFormatting>
  <conditionalFormatting sqref="B1212:D1212 F1212:G1212 I1212:P1212">
    <cfRule type="expression" dxfId="970" priority="936" stopIfTrue="1">
      <formula>IF($A1212&lt;&gt;"",IF(B1212="",TRUE,FALSE),FALSE)</formula>
    </cfRule>
  </conditionalFormatting>
  <conditionalFormatting sqref="M1212">
    <cfRule type="expression" dxfId="969" priority="935" stopIfTrue="1">
      <formula>IF($F1212="I",TRUE,FALSE)</formula>
    </cfRule>
  </conditionalFormatting>
  <conditionalFormatting sqref="B1213:D1213 F1213:G1213 I1213:P1213">
    <cfRule type="expression" dxfId="968" priority="934" stopIfTrue="1">
      <formula>IF($A1213&lt;&gt;"",IF(B1213="",TRUE,FALSE),FALSE)</formula>
    </cfRule>
  </conditionalFormatting>
  <conditionalFormatting sqref="M1213">
    <cfRule type="expression" dxfId="967" priority="933" stopIfTrue="1">
      <formula>IF($F1213="I",TRUE,FALSE)</formula>
    </cfRule>
  </conditionalFormatting>
  <conditionalFormatting sqref="B1214:D1214 F1214:G1214 I1214:P1214">
    <cfRule type="expression" dxfId="966" priority="932" stopIfTrue="1">
      <formula>IF($A1214&lt;&gt;"",IF(B1214="",TRUE,FALSE),FALSE)</formula>
    </cfRule>
  </conditionalFormatting>
  <conditionalFormatting sqref="M1214">
    <cfRule type="expression" dxfId="965" priority="931" stopIfTrue="1">
      <formula>IF($F1214="I",TRUE,FALSE)</formula>
    </cfRule>
  </conditionalFormatting>
  <conditionalFormatting sqref="B1215:D1215 F1215:G1215 I1215:P1215">
    <cfRule type="expression" dxfId="964" priority="930" stopIfTrue="1">
      <formula>IF($A1215&lt;&gt;"",IF(B1215="",TRUE,FALSE),FALSE)</formula>
    </cfRule>
  </conditionalFormatting>
  <conditionalFormatting sqref="M1215">
    <cfRule type="expression" dxfId="963" priority="929" stopIfTrue="1">
      <formula>IF($F1215="I",TRUE,FALSE)</formula>
    </cfRule>
  </conditionalFormatting>
  <conditionalFormatting sqref="B1216:D1216 F1216:G1216 I1216:P1216">
    <cfRule type="expression" dxfId="962" priority="928" stopIfTrue="1">
      <formula>IF($A1216&lt;&gt;"",IF(B1216="",TRUE,FALSE),FALSE)</formula>
    </cfRule>
  </conditionalFormatting>
  <conditionalFormatting sqref="M1216">
    <cfRule type="expression" dxfId="961" priority="927" stopIfTrue="1">
      <formula>IF($F1216="I",TRUE,FALSE)</formula>
    </cfRule>
  </conditionalFormatting>
  <conditionalFormatting sqref="B1217:D1217 F1217:G1217 I1217:P1217">
    <cfRule type="expression" dxfId="960" priority="926" stopIfTrue="1">
      <formula>IF($A1217&lt;&gt;"",IF(B1217="",TRUE,FALSE),FALSE)</formula>
    </cfRule>
  </conditionalFormatting>
  <conditionalFormatting sqref="M1217">
    <cfRule type="expression" dxfId="959" priority="925" stopIfTrue="1">
      <formula>IF($F1217="I",TRUE,FALSE)</formula>
    </cfRule>
  </conditionalFormatting>
  <conditionalFormatting sqref="B1218:D1218 F1218:G1218 I1218:P1218">
    <cfRule type="expression" dxfId="958" priority="924" stopIfTrue="1">
      <formula>IF($A1218&lt;&gt;"",IF(B1218="",TRUE,FALSE),FALSE)</formula>
    </cfRule>
  </conditionalFormatting>
  <conditionalFormatting sqref="M1218">
    <cfRule type="expression" dxfId="957" priority="923" stopIfTrue="1">
      <formula>IF($F1218="I",TRUE,FALSE)</formula>
    </cfRule>
  </conditionalFormatting>
  <conditionalFormatting sqref="B1219:D1219 F1219:G1219 I1219:P1219">
    <cfRule type="expression" dxfId="956" priority="922" stopIfTrue="1">
      <formula>IF($A1219&lt;&gt;"",IF(B1219="",TRUE,FALSE),FALSE)</formula>
    </cfRule>
  </conditionalFormatting>
  <conditionalFormatting sqref="M1219">
    <cfRule type="expression" dxfId="955" priority="921" stopIfTrue="1">
      <formula>IF($F1219="I",TRUE,FALSE)</formula>
    </cfRule>
  </conditionalFormatting>
  <conditionalFormatting sqref="B1220:D1220 F1220:G1220 I1220:P1220">
    <cfRule type="expression" dxfId="954" priority="920" stopIfTrue="1">
      <formula>IF($A1220&lt;&gt;"",IF(B1220="",TRUE,FALSE),FALSE)</formula>
    </cfRule>
  </conditionalFormatting>
  <conditionalFormatting sqref="M1220">
    <cfRule type="expression" dxfId="953" priority="919" stopIfTrue="1">
      <formula>IF($F1220="I",TRUE,FALSE)</formula>
    </cfRule>
  </conditionalFormatting>
  <conditionalFormatting sqref="B1221:D1221 F1221:G1221 I1221:P1221">
    <cfRule type="expression" dxfId="952" priority="918" stopIfTrue="1">
      <formula>IF($A1221&lt;&gt;"",IF(B1221="",TRUE,FALSE),FALSE)</formula>
    </cfRule>
  </conditionalFormatting>
  <conditionalFormatting sqref="M1221">
    <cfRule type="expression" dxfId="951" priority="917" stopIfTrue="1">
      <formula>IF($F1221="I",TRUE,FALSE)</formula>
    </cfRule>
  </conditionalFormatting>
  <conditionalFormatting sqref="B1222:D1222 F1222:G1222 I1222:P1222">
    <cfRule type="expression" dxfId="950" priority="916" stopIfTrue="1">
      <formula>IF($A1222&lt;&gt;"",IF(B1222="",TRUE,FALSE),FALSE)</formula>
    </cfRule>
  </conditionalFormatting>
  <conditionalFormatting sqref="M1222">
    <cfRule type="expression" dxfId="949" priority="915" stopIfTrue="1">
      <formula>IF($F1222="I",TRUE,FALSE)</formula>
    </cfRule>
  </conditionalFormatting>
  <conditionalFormatting sqref="B1223:D1223 F1223:G1223 I1223:P1223">
    <cfRule type="expression" dxfId="948" priority="914" stopIfTrue="1">
      <formula>IF($A1223&lt;&gt;"",IF(B1223="",TRUE,FALSE),FALSE)</formula>
    </cfRule>
  </conditionalFormatting>
  <conditionalFormatting sqref="M1223">
    <cfRule type="expression" dxfId="947" priority="913" stopIfTrue="1">
      <formula>IF($F1223="I",TRUE,FALSE)</formula>
    </cfRule>
  </conditionalFormatting>
  <conditionalFormatting sqref="B1224:D1224 F1224:G1224 I1224:P1224">
    <cfRule type="expression" dxfId="946" priority="912" stopIfTrue="1">
      <formula>IF($A1224&lt;&gt;"",IF(B1224="",TRUE,FALSE),FALSE)</formula>
    </cfRule>
  </conditionalFormatting>
  <conditionalFormatting sqref="M1224">
    <cfRule type="expression" dxfId="945" priority="911" stopIfTrue="1">
      <formula>IF($F1224="I",TRUE,FALSE)</formula>
    </cfRule>
  </conditionalFormatting>
  <conditionalFormatting sqref="B1225:D1225 F1225:G1225 I1225:P1225">
    <cfRule type="expression" dxfId="944" priority="910" stopIfTrue="1">
      <formula>IF($A1225&lt;&gt;"",IF(B1225="",TRUE,FALSE),FALSE)</formula>
    </cfRule>
  </conditionalFormatting>
  <conditionalFormatting sqref="M1225">
    <cfRule type="expression" dxfId="943" priority="909" stopIfTrue="1">
      <formula>IF($F1225="I",TRUE,FALSE)</formula>
    </cfRule>
  </conditionalFormatting>
  <conditionalFormatting sqref="B1226:D1226 F1226:G1226 I1226:P1226">
    <cfRule type="expression" dxfId="942" priority="908" stopIfTrue="1">
      <formula>IF($A1226&lt;&gt;"",IF(B1226="",TRUE,FALSE),FALSE)</formula>
    </cfRule>
  </conditionalFormatting>
  <conditionalFormatting sqref="M1226">
    <cfRule type="expression" dxfId="941" priority="907" stopIfTrue="1">
      <formula>IF($F1226="I",TRUE,FALSE)</formula>
    </cfRule>
  </conditionalFormatting>
  <conditionalFormatting sqref="B1227:D1227 F1227:G1227 I1227:P1227">
    <cfRule type="expression" dxfId="940" priority="906" stopIfTrue="1">
      <formula>IF($A1227&lt;&gt;"",IF(B1227="",TRUE,FALSE),FALSE)</formula>
    </cfRule>
  </conditionalFormatting>
  <conditionalFormatting sqref="M1227">
    <cfRule type="expression" dxfId="939" priority="905" stopIfTrue="1">
      <formula>IF($F1227="I",TRUE,FALSE)</formula>
    </cfRule>
  </conditionalFormatting>
  <conditionalFormatting sqref="B1228:D1228 F1228:G1228 I1228:P1228">
    <cfRule type="expression" dxfId="938" priority="904" stopIfTrue="1">
      <formula>IF($A1228&lt;&gt;"",IF(B1228="",TRUE,FALSE),FALSE)</formula>
    </cfRule>
  </conditionalFormatting>
  <conditionalFormatting sqref="M1228">
    <cfRule type="expression" dxfId="937" priority="903" stopIfTrue="1">
      <formula>IF($F1228="I",TRUE,FALSE)</formula>
    </cfRule>
  </conditionalFormatting>
  <conditionalFormatting sqref="B1229:D1229 F1229:G1229 I1229:P1229">
    <cfRule type="expression" dxfId="936" priority="902" stopIfTrue="1">
      <formula>IF($A1229&lt;&gt;"",IF(B1229="",TRUE,FALSE),FALSE)</formula>
    </cfRule>
  </conditionalFormatting>
  <conditionalFormatting sqref="M1229">
    <cfRule type="expression" dxfId="935" priority="901" stopIfTrue="1">
      <formula>IF($F1229="I",TRUE,FALSE)</formula>
    </cfRule>
  </conditionalFormatting>
  <conditionalFormatting sqref="B1230:D1230 F1230:G1230 I1230:P1230">
    <cfRule type="expression" dxfId="934" priority="900" stopIfTrue="1">
      <formula>IF($A1230&lt;&gt;"",IF(B1230="",TRUE,FALSE),FALSE)</formula>
    </cfRule>
  </conditionalFormatting>
  <conditionalFormatting sqref="M1230">
    <cfRule type="expression" dxfId="933" priority="899" stopIfTrue="1">
      <formula>IF($F1230="I",TRUE,FALSE)</formula>
    </cfRule>
  </conditionalFormatting>
  <conditionalFormatting sqref="B1231:D1231 F1231:G1231 I1231:P1231">
    <cfRule type="expression" dxfId="932" priority="898" stopIfTrue="1">
      <formula>IF($A1231&lt;&gt;"",IF(B1231="",TRUE,FALSE),FALSE)</formula>
    </cfRule>
  </conditionalFormatting>
  <conditionalFormatting sqref="M1231">
    <cfRule type="expression" dxfId="931" priority="897" stopIfTrue="1">
      <formula>IF($F1231="I",TRUE,FALSE)</formula>
    </cfRule>
  </conditionalFormatting>
  <conditionalFormatting sqref="B1232:D1232 F1232:G1232 I1232:P1232">
    <cfRule type="expression" dxfId="930" priority="896" stopIfTrue="1">
      <formula>IF($A1232&lt;&gt;"",IF(B1232="",TRUE,FALSE),FALSE)</formula>
    </cfRule>
  </conditionalFormatting>
  <conditionalFormatting sqref="M1232">
    <cfRule type="expression" dxfId="929" priority="895" stopIfTrue="1">
      <formula>IF($F1232="I",TRUE,FALSE)</formula>
    </cfRule>
  </conditionalFormatting>
  <conditionalFormatting sqref="B1233:D1233 F1233:G1233 I1233:P1233">
    <cfRule type="expression" dxfId="928" priority="894" stopIfTrue="1">
      <formula>IF($A1233&lt;&gt;"",IF(B1233="",TRUE,FALSE),FALSE)</formula>
    </cfRule>
  </conditionalFormatting>
  <conditionalFormatting sqref="M1233">
    <cfRule type="expression" dxfId="927" priority="893" stopIfTrue="1">
      <formula>IF($F1233="I",TRUE,FALSE)</formula>
    </cfRule>
  </conditionalFormatting>
  <conditionalFormatting sqref="B1234:D1234 F1234:G1234 I1234:P1234">
    <cfRule type="expression" dxfId="926" priority="892" stopIfTrue="1">
      <formula>IF($A1234&lt;&gt;"",IF(B1234="",TRUE,FALSE),FALSE)</formula>
    </cfRule>
  </conditionalFormatting>
  <conditionalFormatting sqref="M1234">
    <cfRule type="expression" dxfId="925" priority="891" stopIfTrue="1">
      <formula>IF($F1234="I",TRUE,FALSE)</formula>
    </cfRule>
  </conditionalFormatting>
  <conditionalFormatting sqref="B1235:D1235 F1235:G1235 I1235:P1235">
    <cfRule type="expression" dxfId="924" priority="890" stopIfTrue="1">
      <formula>IF($A1235&lt;&gt;"",IF(B1235="",TRUE,FALSE),FALSE)</formula>
    </cfRule>
  </conditionalFormatting>
  <conditionalFormatting sqref="M1235">
    <cfRule type="expression" dxfId="923" priority="889" stopIfTrue="1">
      <formula>IF($F1235="I",TRUE,FALSE)</formula>
    </cfRule>
  </conditionalFormatting>
  <conditionalFormatting sqref="B1236:D1236 F1236:G1236 I1236:P1236">
    <cfRule type="expression" dxfId="922" priority="888" stopIfTrue="1">
      <formula>IF($A1236&lt;&gt;"",IF(B1236="",TRUE,FALSE),FALSE)</formula>
    </cfRule>
  </conditionalFormatting>
  <conditionalFormatting sqref="M1236">
    <cfRule type="expression" dxfId="921" priority="887" stopIfTrue="1">
      <formula>IF($F1236="I",TRUE,FALSE)</formula>
    </cfRule>
  </conditionalFormatting>
  <conditionalFormatting sqref="B1237:D1237 F1237:G1237 I1237:P1237">
    <cfRule type="expression" dxfId="920" priority="886" stopIfTrue="1">
      <formula>IF($A1237&lt;&gt;"",IF(B1237="",TRUE,FALSE),FALSE)</formula>
    </cfRule>
  </conditionalFormatting>
  <conditionalFormatting sqref="M1237">
    <cfRule type="expression" dxfId="919" priority="885" stopIfTrue="1">
      <formula>IF($F1237="I",TRUE,FALSE)</formula>
    </cfRule>
  </conditionalFormatting>
  <conditionalFormatting sqref="B1238:D1238 F1238:G1238 I1238:P1238">
    <cfRule type="expression" dxfId="918" priority="884" stopIfTrue="1">
      <formula>IF($A1238&lt;&gt;"",IF(B1238="",TRUE,FALSE),FALSE)</formula>
    </cfRule>
  </conditionalFormatting>
  <conditionalFormatting sqref="M1238">
    <cfRule type="expression" dxfId="917" priority="883" stopIfTrue="1">
      <formula>IF($F1238="I",TRUE,FALSE)</formula>
    </cfRule>
  </conditionalFormatting>
  <conditionalFormatting sqref="B1239:D1239 F1239:G1239 I1239:P1239">
    <cfRule type="expression" dxfId="916" priority="882" stopIfTrue="1">
      <formula>IF($A1239&lt;&gt;"",IF(B1239="",TRUE,FALSE),FALSE)</formula>
    </cfRule>
  </conditionalFormatting>
  <conditionalFormatting sqref="M1239">
    <cfRule type="expression" dxfId="915" priority="881" stopIfTrue="1">
      <formula>IF($F1239="I",TRUE,FALSE)</formula>
    </cfRule>
  </conditionalFormatting>
  <conditionalFormatting sqref="B1240:D1240 F1240:G1240 I1240:P1240">
    <cfRule type="expression" dxfId="914" priority="880" stopIfTrue="1">
      <formula>IF($A1240&lt;&gt;"",IF(B1240="",TRUE,FALSE),FALSE)</formula>
    </cfRule>
  </conditionalFormatting>
  <conditionalFormatting sqref="M1240">
    <cfRule type="expression" dxfId="913" priority="879" stopIfTrue="1">
      <formula>IF($F1240="I",TRUE,FALSE)</formula>
    </cfRule>
  </conditionalFormatting>
  <conditionalFormatting sqref="B1241:D1241 F1241:G1241 I1241:P1241">
    <cfRule type="expression" dxfId="912" priority="878" stopIfTrue="1">
      <formula>IF($A1241&lt;&gt;"",IF(B1241="",TRUE,FALSE),FALSE)</formula>
    </cfRule>
  </conditionalFormatting>
  <conditionalFormatting sqref="M1241">
    <cfRule type="expression" dxfId="911" priority="877" stopIfTrue="1">
      <formula>IF($F1241="I",TRUE,FALSE)</formula>
    </cfRule>
  </conditionalFormatting>
  <conditionalFormatting sqref="B1242:D1242 F1242:G1242 I1242:P1242">
    <cfRule type="expression" dxfId="910" priority="876" stopIfTrue="1">
      <formula>IF($A1242&lt;&gt;"",IF(B1242="",TRUE,FALSE),FALSE)</formula>
    </cfRule>
  </conditionalFormatting>
  <conditionalFormatting sqref="M1242">
    <cfRule type="expression" dxfId="909" priority="875" stopIfTrue="1">
      <formula>IF($F1242="I",TRUE,FALSE)</formula>
    </cfRule>
  </conditionalFormatting>
  <conditionalFormatting sqref="B1243:D1243 F1243:G1243 I1243:P1243">
    <cfRule type="expression" dxfId="908" priority="874" stopIfTrue="1">
      <formula>IF($A1243&lt;&gt;"",IF(B1243="",TRUE,FALSE),FALSE)</formula>
    </cfRule>
  </conditionalFormatting>
  <conditionalFormatting sqref="M1243">
    <cfRule type="expression" dxfId="907" priority="873" stopIfTrue="1">
      <formula>IF($F1243="I",TRUE,FALSE)</formula>
    </cfRule>
  </conditionalFormatting>
  <conditionalFormatting sqref="B1244:D1244 F1244:G1244 I1244:P1244">
    <cfRule type="expression" dxfId="906" priority="872" stopIfTrue="1">
      <formula>IF($A1244&lt;&gt;"",IF(B1244="",TRUE,FALSE),FALSE)</formula>
    </cfRule>
  </conditionalFormatting>
  <conditionalFormatting sqref="M1244">
    <cfRule type="expression" dxfId="905" priority="871" stopIfTrue="1">
      <formula>IF($F1244="I",TRUE,FALSE)</formula>
    </cfRule>
  </conditionalFormatting>
  <conditionalFormatting sqref="B1245:D1245 F1245:G1245 I1245:P1245">
    <cfRule type="expression" dxfId="904" priority="870" stopIfTrue="1">
      <formula>IF($A1245&lt;&gt;"",IF(B1245="",TRUE,FALSE),FALSE)</formula>
    </cfRule>
  </conditionalFormatting>
  <conditionalFormatting sqref="M1245">
    <cfRule type="expression" dxfId="903" priority="869" stopIfTrue="1">
      <formula>IF($F1245="I",TRUE,FALSE)</formula>
    </cfRule>
  </conditionalFormatting>
  <conditionalFormatting sqref="B1246:D1246 F1246:G1246 I1246:P1246">
    <cfRule type="expression" dxfId="902" priority="868" stopIfTrue="1">
      <formula>IF($A1246&lt;&gt;"",IF(B1246="",TRUE,FALSE),FALSE)</formula>
    </cfRule>
  </conditionalFormatting>
  <conditionalFormatting sqref="M1246">
    <cfRule type="expression" dxfId="901" priority="867" stopIfTrue="1">
      <formula>IF($F1246="I",TRUE,FALSE)</formula>
    </cfRule>
  </conditionalFormatting>
  <conditionalFormatting sqref="B1247:D1247 F1247:G1247 I1247:P1247">
    <cfRule type="expression" dxfId="900" priority="866" stopIfTrue="1">
      <formula>IF($A1247&lt;&gt;"",IF(B1247="",TRUE,FALSE),FALSE)</formula>
    </cfRule>
  </conditionalFormatting>
  <conditionalFormatting sqref="M1247">
    <cfRule type="expression" dxfId="899" priority="865" stopIfTrue="1">
      <formula>IF($F1247="I",TRUE,FALSE)</formula>
    </cfRule>
  </conditionalFormatting>
  <conditionalFormatting sqref="B1248:D1248 F1248:G1248 I1248:P1248">
    <cfRule type="expression" dxfId="898" priority="864" stopIfTrue="1">
      <formula>IF($A1248&lt;&gt;"",IF(B1248="",TRUE,FALSE),FALSE)</formula>
    </cfRule>
  </conditionalFormatting>
  <conditionalFormatting sqref="M1248">
    <cfRule type="expression" dxfId="897" priority="863" stopIfTrue="1">
      <formula>IF($F1248="I",TRUE,FALSE)</formula>
    </cfRule>
  </conditionalFormatting>
  <conditionalFormatting sqref="B1249:D1249 F1249:G1249 I1249:P1249">
    <cfRule type="expression" dxfId="896" priority="862" stopIfTrue="1">
      <formula>IF($A1249&lt;&gt;"",IF(B1249="",TRUE,FALSE),FALSE)</formula>
    </cfRule>
  </conditionalFormatting>
  <conditionalFormatting sqref="M1249">
    <cfRule type="expression" dxfId="895" priority="861" stopIfTrue="1">
      <formula>IF($F1249="I",TRUE,FALSE)</formula>
    </cfRule>
  </conditionalFormatting>
  <conditionalFormatting sqref="B1250:D1250 F1250:G1250 I1250:P1250">
    <cfRule type="expression" dxfId="894" priority="860" stopIfTrue="1">
      <formula>IF($A1250&lt;&gt;"",IF(B1250="",TRUE,FALSE),FALSE)</formula>
    </cfRule>
  </conditionalFormatting>
  <conditionalFormatting sqref="M1250">
    <cfRule type="expression" dxfId="893" priority="859" stopIfTrue="1">
      <formula>IF($F1250="I",TRUE,FALSE)</formula>
    </cfRule>
  </conditionalFormatting>
  <conditionalFormatting sqref="B1251:D1251 F1251:G1251 I1251:P1251">
    <cfRule type="expression" dxfId="892" priority="858" stopIfTrue="1">
      <formula>IF($A1251&lt;&gt;"",IF(B1251="",TRUE,FALSE),FALSE)</formula>
    </cfRule>
  </conditionalFormatting>
  <conditionalFormatting sqref="M1251">
    <cfRule type="expression" dxfId="891" priority="857" stopIfTrue="1">
      <formula>IF($F1251="I",TRUE,FALSE)</formula>
    </cfRule>
  </conditionalFormatting>
  <conditionalFormatting sqref="B1252:D1252 F1252:G1252 I1252:P1252">
    <cfRule type="expression" dxfId="890" priority="856" stopIfTrue="1">
      <formula>IF($A1252&lt;&gt;"",IF(B1252="",TRUE,FALSE),FALSE)</formula>
    </cfRule>
  </conditionalFormatting>
  <conditionalFormatting sqref="M1252">
    <cfRule type="expression" dxfId="889" priority="855" stopIfTrue="1">
      <formula>IF($F1252="I",TRUE,FALSE)</formula>
    </cfRule>
  </conditionalFormatting>
  <conditionalFormatting sqref="B1253:D1253 F1253:G1253 I1253:P1253">
    <cfRule type="expression" dxfId="888" priority="854" stopIfTrue="1">
      <formula>IF($A1253&lt;&gt;"",IF(B1253="",TRUE,FALSE),FALSE)</formula>
    </cfRule>
  </conditionalFormatting>
  <conditionalFormatting sqref="M1253">
    <cfRule type="expression" dxfId="887" priority="853" stopIfTrue="1">
      <formula>IF($F1253="I",TRUE,FALSE)</formula>
    </cfRule>
  </conditionalFormatting>
  <conditionalFormatting sqref="B1254:D1254 F1254:G1254 I1254:P1254">
    <cfRule type="expression" dxfId="886" priority="852" stopIfTrue="1">
      <formula>IF($A1254&lt;&gt;"",IF(B1254="",TRUE,FALSE),FALSE)</formula>
    </cfRule>
  </conditionalFormatting>
  <conditionalFormatting sqref="M1254">
    <cfRule type="expression" dxfId="885" priority="851" stopIfTrue="1">
      <formula>IF($F1254="I",TRUE,FALSE)</formula>
    </cfRule>
  </conditionalFormatting>
  <conditionalFormatting sqref="B1255:D1255 F1255:G1255 I1255:P1255">
    <cfRule type="expression" dxfId="884" priority="850" stopIfTrue="1">
      <formula>IF($A1255&lt;&gt;"",IF(B1255="",TRUE,FALSE),FALSE)</formula>
    </cfRule>
  </conditionalFormatting>
  <conditionalFormatting sqref="M1255">
    <cfRule type="expression" dxfId="883" priority="849" stopIfTrue="1">
      <formula>IF($F1255="I",TRUE,FALSE)</formula>
    </cfRule>
  </conditionalFormatting>
  <conditionalFormatting sqref="B1256:D1256 F1256:G1256 I1256:P1256">
    <cfRule type="expression" dxfId="882" priority="848" stopIfTrue="1">
      <formula>IF($A1256&lt;&gt;"",IF(B1256="",TRUE,FALSE),FALSE)</formula>
    </cfRule>
  </conditionalFormatting>
  <conditionalFormatting sqref="M1256">
    <cfRule type="expression" dxfId="881" priority="847" stopIfTrue="1">
      <formula>IF($F1256="I",TRUE,FALSE)</formula>
    </cfRule>
  </conditionalFormatting>
  <conditionalFormatting sqref="B1257:D1257 F1257:G1257 I1257:P1257">
    <cfRule type="expression" dxfId="880" priority="846" stopIfTrue="1">
      <formula>IF($A1257&lt;&gt;"",IF(B1257="",TRUE,FALSE),FALSE)</formula>
    </cfRule>
  </conditionalFormatting>
  <conditionalFormatting sqref="M1257">
    <cfRule type="expression" dxfId="879" priority="845" stopIfTrue="1">
      <formula>IF($F1257="I",TRUE,FALSE)</formula>
    </cfRule>
  </conditionalFormatting>
  <conditionalFormatting sqref="B1258:D1258 F1258:G1258 I1258:P1258">
    <cfRule type="expression" dxfId="878" priority="844" stopIfTrue="1">
      <formula>IF($A1258&lt;&gt;"",IF(B1258="",TRUE,FALSE),FALSE)</formula>
    </cfRule>
  </conditionalFormatting>
  <conditionalFormatting sqref="M1258">
    <cfRule type="expression" dxfId="877" priority="843" stopIfTrue="1">
      <formula>IF($F1258="I",TRUE,FALSE)</formula>
    </cfRule>
  </conditionalFormatting>
  <conditionalFormatting sqref="B1259:D1259 F1259:G1259 I1259:P1259">
    <cfRule type="expression" dxfId="876" priority="842" stopIfTrue="1">
      <formula>IF($A1259&lt;&gt;"",IF(B1259="",TRUE,FALSE),FALSE)</formula>
    </cfRule>
  </conditionalFormatting>
  <conditionalFormatting sqref="M1259">
    <cfRule type="expression" dxfId="875" priority="841" stopIfTrue="1">
      <formula>IF($F1259="I",TRUE,FALSE)</formula>
    </cfRule>
  </conditionalFormatting>
  <conditionalFormatting sqref="B1260:D1260 F1260:G1260 I1260:P1260">
    <cfRule type="expression" dxfId="874" priority="840" stopIfTrue="1">
      <formula>IF($A1260&lt;&gt;"",IF(B1260="",TRUE,FALSE),FALSE)</formula>
    </cfRule>
  </conditionalFormatting>
  <conditionalFormatting sqref="M1260">
    <cfRule type="expression" dxfId="873" priority="839" stopIfTrue="1">
      <formula>IF($F1260="I",TRUE,FALSE)</formula>
    </cfRule>
  </conditionalFormatting>
  <conditionalFormatting sqref="B1261:D1261 F1261:G1261 I1261:P1261">
    <cfRule type="expression" dxfId="872" priority="838" stopIfTrue="1">
      <formula>IF($A1261&lt;&gt;"",IF(B1261="",TRUE,FALSE),FALSE)</formula>
    </cfRule>
  </conditionalFormatting>
  <conditionalFormatting sqref="M1261">
    <cfRule type="expression" dxfId="871" priority="837" stopIfTrue="1">
      <formula>IF($F1261="I",TRUE,FALSE)</formula>
    </cfRule>
  </conditionalFormatting>
  <conditionalFormatting sqref="B1262:D1262 F1262:G1262 I1262:P1262">
    <cfRule type="expression" dxfId="870" priority="836" stopIfTrue="1">
      <formula>IF($A1262&lt;&gt;"",IF(B1262="",TRUE,FALSE),FALSE)</formula>
    </cfRule>
  </conditionalFormatting>
  <conditionalFormatting sqref="M1262">
    <cfRule type="expression" dxfId="869" priority="835" stopIfTrue="1">
      <formula>IF($F1262="I",TRUE,FALSE)</formula>
    </cfRule>
  </conditionalFormatting>
  <conditionalFormatting sqref="B1263:D1263 F1263:G1263 I1263:P1263">
    <cfRule type="expression" dxfId="868" priority="834" stopIfTrue="1">
      <formula>IF($A1263&lt;&gt;"",IF(B1263="",TRUE,FALSE),FALSE)</formula>
    </cfRule>
  </conditionalFormatting>
  <conditionalFormatting sqref="M1263">
    <cfRule type="expression" dxfId="867" priority="833" stopIfTrue="1">
      <formula>IF($F1263="I",TRUE,FALSE)</formula>
    </cfRule>
  </conditionalFormatting>
  <conditionalFormatting sqref="B1264:D1264 F1264:G1264 I1264:P1264">
    <cfRule type="expression" dxfId="866" priority="832" stopIfTrue="1">
      <formula>IF($A1264&lt;&gt;"",IF(B1264="",TRUE,FALSE),FALSE)</formula>
    </cfRule>
  </conditionalFormatting>
  <conditionalFormatting sqref="M1264">
    <cfRule type="expression" dxfId="865" priority="831" stopIfTrue="1">
      <formula>IF($F1264="I",TRUE,FALSE)</formula>
    </cfRule>
  </conditionalFormatting>
  <conditionalFormatting sqref="B1265:D1265 F1265:G1265 I1265:P1265">
    <cfRule type="expression" dxfId="864" priority="830" stopIfTrue="1">
      <formula>IF($A1265&lt;&gt;"",IF(B1265="",TRUE,FALSE),FALSE)</formula>
    </cfRule>
  </conditionalFormatting>
  <conditionalFormatting sqref="M1265">
    <cfRule type="expression" dxfId="863" priority="829" stopIfTrue="1">
      <formula>IF($F1265="I",TRUE,FALSE)</formula>
    </cfRule>
  </conditionalFormatting>
  <conditionalFormatting sqref="B1266:D1266 F1266:G1266 I1266:P1266">
    <cfRule type="expression" dxfId="862" priority="828" stopIfTrue="1">
      <formula>IF($A1266&lt;&gt;"",IF(B1266="",TRUE,FALSE),FALSE)</formula>
    </cfRule>
  </conditionalFormatting>
  <conditionalFormatting sqref="M1266">
    <cfRule type="expression" dxfId="861" priority="827" stopIfTrue="1">
      <formula>IF($F1266="I",TRUE,FALSE)</formula>
    </cfRule>
  </conditionalFormatting>
  <conditionalFormatting sqref="B1267:D1267 F1267:G1267 I1267:P1267">
    <cfRule type="expression" dxfId="860" priority="826" stopIfTrue="1">
      <formula>IF($A1267&lt;&gt;"",IF(B1267="",TRUE,FALSE),FALSE)</formula>
    </cfRule>
  </conditionalFormatting>
  <conditionalFormatting sqref="M1267">
    <cfRule type="expression" dxfId="859" priority="825" stopIfTrue="1">
      <formula>IF($F1267="I",TRUE,FALSE)</formula>
    </cfRule>
  </conditionalFormatting>
  <conditionalFormatting sqref="B1268:D1268 F1268:G1268 I1268:P1268">
    <cfRule type="expression" dxfId="858" priority="824" stopIfTrue="1">
      <formula>IF($A1268&lt;&gt;"",IF(B1268="",TRUE,FALSE),FALSE)</formula>
    </cfRule>
  </conditionalFormatting>
  <conditionalFormatting sqref="M1268">
    <cfRule type="expression" dxfId="857" priority="823" stopIfTrue="1">
      <formula>IF($F1268="I",TRUE,FALSE)</formula>
    </cfRule>
  </conditionalFormatting>
  <conditionalFormatting sqref="B1269:D1269 F1269:G1269 I1269:P1269">
    <cfRule type="expression" dxfId="856" priority="822" stopIfTrue="1">
      <formula>IF($A1269&lt;&gt;"",IF(B1269="",TRUE,FALSE),FALSE)</formula>
    </cfRule>
  </conditionalFormatting>
  <conditionalFormatting sqref="M1269">
    <cfRule type="expression" dxfId="855" priority="821" stopIfTrue="1">
      <formula>IF($F1269="I",TRUE,FALSE)</formula>
    </cfRule>
  </conditionalFormatting>
  <conditionalFormatting sqref="B1270:D1270 F1270:G1270 I1270:P1270">
    <cfRule type="expression" dxfId="854" priority="820" stopIfTrue="1">
      <formula>IF($A1270&lt;&gt;"",IF(B1270="",TRUE,FALSE),FALSE)</formula>
    </cfRule>
  </conditionalFormatting>
  <conditionalFormatting sqref="M1270">
    <cfRule type="expression" dxfId="853" priority="819" stopIfTrue="1">
      <formula>IF($F1270="I",TRUE,FALSE)</formula>
    </cfRule>
  </conditionalFormatting>
  <conditionalFormatting sqref="B1271:D1271 F1271:G1271 I1271:P1271">
    <cfRule type="expression" dxfId="852" priority="818" stopIfTrue="1">
      <formula>IF($A1271&lt;&gt;"",IF(B1271="",TRUE,FALSE),FALSE)</formula>
    </cfRule>
  </conditionalFormatting>
  <conditionalFormatting sqref="M1271">
    <cfRule type="expression" dxfId="851" priority="817" stopIfTrue="1">
      <formula>IF($F1271="I",TRUE,FALSE)</formula>
    </cfRule>
  </conditionalFormatting>
  <conditionalFormatting sqref="B1272:D1272 F1272:G1272 I1272:P1272">
    <cfRule type="expression" dxfId="850" priority="816" stopIfTrue="1">
      <formula>IF($A1272&lt;&gt;"",IF(B1272="",TRUE,FALSE),FALSE)</formula>
    </cfRule>
  </conditionalFormatting>
  <conditionalFormatting sqref="M1272">
    <cfRule type="expression" dxfId="849" priority="815" stopIfTrue="1">
      <formula>IF($F1272="I",TRUE,FALSE)</formula>
    </cfRule>
  </conditionalFormatting>
  <conditionalFormatting sqref="B1273:D1273 F1273:G1273 I1273:P1273">
    <cfRule type="expression" dxfId="848" priority="814" stopIfTrue="1">
      <formula>IF($A1273&lt;&gt;"",IF(B1273="",TRUE,FALSE),FALSE)</formula>
    </cfRule>
  </conditionalFormatting>
  <conditionalFormatting sqref="M1273">
    <cfRule type="expression" dxfId="847" priority="813" stopIfTrue="1">
      <formula>IF($F1273="I",TRUE,FALSE)</formula>
    </cfRule>
  </conditionalFormatting>
  <conditionalFormatting sqref="B1274:D1274 F1274:G1274 I1274:P1274">
    <cfRule type="expression" dxfId="846" priority="812" stopIfTrue="1">
      <formula>IF($A1274&lt;&gt;"",IF(B1274="",TRUE,FALSE),FALSE)</formula>
    </cfRule>
  </conditionalFormatting>
  <conditionalFormatting sqref="M1274">
    <cfRule type="expression" dxfId="845" priority="811" stopIfTrue="1">
      <formula>IF($F1274="I",TRUE,FALSE)</formula>
    </cfRule>
  </conditionalFormatting>
  <conditionalFormatting sqref="B1275:D1275 F1275:G1275 I1275:P1275">
    <cfRule type="expression" dxfId="844" priority="810" stopIfTrue="1">
      <formula>IF($A1275&lt;&gt;"",IF(B1275="",TRUE,FALSE),FALSE)</formula>
    </cfRule>
  </conditionalFormatting>
  <conditionalFormatting sqref="M1275">
    <cfRule type="expression" dxfId="843" priority="809" stopIfTrue="1">
      <formula>IF($F1275="I",TRUE,FALSE)</formula>
    </cfRule>
  </conditionalFormatting>
  <conditionalFormatting sqref="B1276:D1276 F1276:G1276 I1276:P1276">
    <cfRule type="expression" dxfId="842" priority="808" stopIfTrue="1">
      <formula>IF($A1276&lt;&gt;"",IF(B1276="",TRUE,FALSE),FALSE)</formula>
    </cfRule>
  </conditionalFormatting>
  <conditionalFormatting sqref="M1276">
    <cfRule type="expression" dxfId="841" priority="807" stopIfTrue="1">
      <formula>IF($F1276="I",TRUE,FALSE)</formula>
    </cfRule>
  </conditionalFormatting>
  <conditionalFormatting sqref="B1277:D1277 F1277:G1277 I1277:P1277">
    <cfRule type="expression" dxfId="840" priority="806" stopIfTrue="1">
      <formula>IF($A1277&lt;&gt;"",IF(B1277="",TRUE,FALSE),FALSE)</formula>
    </cfRule>
  </conditionalFormatting>
  <conditionalFormatting sqref="M1277">
    <cfRule type="expression" dxfId="839" priority="805" stopIfTrue="1">
      <formula>IF($F1277="I",TRUE,FALSE)</formula>
    </cfRule>
  </conditionalFormatting>
  <conditionalFormatting sqref="B1278:D1278 F1278:G1278 I1278:P1278">
    <cfRule type="expression" dxfId="838" priority="804" stopIfTrue="1">
      <formula>IF($A1278&lt;&gt;"",IF(B1278="",TRUE,FALSE),FALSE)</formula>
    </cfRule>
  </conditionalFormatting>
  <conditionalFormatting sqref="M1278">
    <cfRule type="expression" dxfId="837" priority="803" stopIfTrue="1">
      <formula>IF($F1278="I",TRUE,FALSE)</formula>
    </cfRule>
  </conditionalFormatting>
  <conditionalFormatting sqref="B1279:D1279 F1279:G1279 I1279:P1279">
    <cfRule type="expression" dxfId="836" priority="802" stopIfTrue="1">
      <formula>IF($A1279&lt;&gt;"",IF(B1279="",TRUE,FALSE),FALSE)</formula>
    </cfRule>
  </conditionalFormatting>
  <conditionalFormatting sqref="M1279">
    <cfRule type="expression" dxfId="835" priority="801" stopIfTrue="1">
      <formula>IF($F1279="I",TRUE,FALSE)</formula>
    </cfRule>
  </conditionalFormatting>
  <conditionalFormatting sqref="B1280:D1280 F1280:G1280 I1280:P1280">
    <cfRule type="expression" dxfId="834" priority="800" stopIfTrue="1">
      <formula>IF($A1280&lt;&gt;"",IF(B1280="",TRUE,FALSE),FALSE)</formula>
    </cfRule>
  </conditionalFormatting>
  <conditionalFormatting sqref="M1280">
    <cfRule type="expression" dxfId="833" priority="799" stopIfTrue="1">
      <formula>IF($F1280="I",TRUE,FALSE)</formula>
    </cfRule>
  </conditionalFormatting>
  <conditionalFormatting sqref="B1281:D1281 F1281:G1281 I1281:P1281">
    <cfRule type="expression" dxfId="832" priority="798" stopIfTrue="1">
      <formula>IF($A1281&lt;&gt;"",IF(B1281="",TRUE,FALSE),FALSE)</formula>
    </cfRule>
  </conditionalFormatting>
  <conditionalFormatting sqref="M1281">
    <cfRule type="expression" dxfId="831" priority="797" stopIfTrue="1">
      <formula>IF($F1281="I",TRUE,FALSE)</formula>
    </cfRule>
  </conditionalFormatting>
  <conditionalFormatting sqref="B1282:D1282 F1282:G1282 I1282:P1282">
    <cfRule type="expression" dxfId="830" priority="796" stopIfTrue="1">
      <formula>IF($A1282&lt;&gt;"",IF(B1282="",TRUE,FALSE),FALSE)</formula>
    </cfRule>
  </conditionalFormatting>
  <conditionalFormatting sqref="M1282">
    <cfRule type="expression" dxfId="829" priority="795" stopIfTrue="1">
      <formula>IF($F1282="I",TRUE,FALSE)</formula>
    </cfRule>
  </conditionalFormatting>
  <conditionalFormatting sqref="B1283:D1283 F1283:G1283 I1283:P1283">
    <cfRule type="expression" dxfId="828" priority="794" stopIfTrue="1">
      <formula>IF($A1283&lt;&gt;"",IF(B1283="",TRUE,FALSE),FALSE)</formula>
    </cfRule>
  </conditionalFormatting>
  <conditionalFormatting sqref="M1283">
    <cfRule type="expression" dxfId="827" priority="793" stopIfTrue="1">
      <formula>IF($F1283="I",TRUE,FALSE)</formula>
    </cfRule>
  </conditionalFormatting>
  <conditionalFormatting sqref="B1284:D1284 F1284:G1284 I1284:P1284">
    <cfRule type="expression" dxfId="826" priority="792" stopIfTrue="1">
      <formula>IF($A1284&lt;&gt;"",IF(B1284="",TRUE,FALSE),FALSE)</formula>
    </cfRule>
  </conditionalFormatting>
  <conditionalFormatting sqref="M1284">
    <cfRule type="expression" dxfId="825" priority="791" stopIfTrue="1">
      <formula>IF($F1284="I",TRUE,FALSE)</formula>
    </cfRule>
  </conditionalFormatting>
  <conditionalFormatting sqref="B1285:D1285 F1285:G1285 I1285:P1285">
    <cfRule type="expression" dxfId="824" priority="790" stopIfTrue="1">
      <formula>IF($A1285&lt;&gt;"",IF(B1285="",TRUE,FALSE),FALSE)</formula>
    </cfRule>
  </conditionalFormatting>
  <conditionalFormatting sqref="M1285">
    <cfRule type="expression" dxfId="823" priority="789" stopIfTrue="1">
      <formula>IF($F1285="I",TRUE,FALSE)</formula>
    </cfRule>
  </conditionalFormatting>
  <conditionalFormatting sqref="B1286:D1286 F1286:G1286 I1286:P1286">
    <cfRule type="expression" dxfId="822" priority="788" stopIfTrue="1">
      <formula>IF($A1286&lt;&gt;"",IF(B1286="",TRUE,FALSE),FALSE)</formula>
    </cfRule>
  </conditionalFormatting>
  <conditionalFormatting sqref="M1286">
    <cfRule type="expression" dxfId="821" priority="787" stopIfTrue="1">
      <formula>IF($F1286="I",TRUE,FALSE)</formula>
    </cfRule>
  </conditionalFormatting>
  <conditionalFormatting sqref="B1287:D1287 F1287:G1287 I1287:P1287">
    <cfRule type="expression" dxfId="820" priority="786" stopIfTrue="1">
      <formula>IF($A1287&lt;&gt;"",IF(B1287="",TRUE,FALSE),FALSE)</formula>
    </cfRule>
  </conditionalFormatting>
  <conditionalFormatting sqref="M1287">
    <cfRule type="expression" dxfId="819" priority="785" stopIfTrue="1">
      <formula>IF($F1287="I",TRUE,FALSE)</formula>
    </cfRule>
  </conditionalFormatting>
  <conditionalFormatting sqref="B1288:D1288 F1288:G1288 I1288:P1288">
    <cfRule type="expression" dxfId="818" priority="784" stopIfTrue="1">
      <formula>IF($A1288&lt;&gt;"",IF(B1288="",TRUE,FALSE),FALSE)</formula>
    </cfRule>
  </conditionalFormatting>
  <conditionalFormatting sqref="M1288">
    <cfRule type="expression" dxfId="817" priority="783" stopIfTrue="1">
      <formula>IF($F1288="I",TRUE,FALSE)</formula>
    </cfRule>
  </conditionalFormatting>
  <conditionalFormatting sqref="B1289:D1289 F1289:G1289 I1289:P1289">
    <cfRule type="expression" dxfId="816" priority="782" stopIfTrue="1">
      <formula>IF($A1289&lt;&gt;"",IF(B1289="",TRUE,FALSE),FALSE)</formula>
    </cfRule>
  </conditionalFormatting>
  <conditionalFormatting sqref="M1289">
    <cfRule type="expression" dxfId="815" priority="781" stopIfTrue="1">
      <formula>IF($F1289="I",TRUE,FALSE)</formula>
    </cfRule>
  </conditionalFormatting>
  <conditionalFormatting sqref="B1290:D1290 F1290:G1290 I1290:P1290">
    <cfRule type="expression" dxfId="814" priority="780" stopIfTrue="1">
      <formula>IF($A1290&lt;&gt;"",IF(B1290="",TRUE,FALSE),FALSE)</formula>
    </cfRule>
  </conditionalFormatting>
  <conditionalFormatting sqref="M1290">
    <cfRule type="expression" dxfId="813" priority="779" stopIfTrue="1">
      <formula>IF($F1290="I",TRUE,FALSE)</formula>
    </cfRule>
  </conditionalFormatting>
  <conditionalFormatting sqref="B1291:D1291 F1291:G1291 I1291:P1291">
    <cfRule type="expression" dxfId="812" priority="778" stopIfTrue="1">
      <formula>IF($A1291&lt;&gt;"",IF(B1291="",TRUE,FALSE),FALSE)</formula>
    </cfRule>
  </conditionalFormatting>
  <conditionalFormatting sqref="M1291">
    <cfRule type="expression" dxfId="811" priority="777" stopIfTrue="1">
      <formula>IF($F1291="I",TRUE,FALSE)</formula>
    </cfRule>
  </conditionalFormatting>
  <conditionalFormatting sqref="B1292:D1292 F1292:G1292 I1292:P1292">
    <cfRule type="expression" dxfId="810" priority="776" stopIfTrue="1">
      <formula>IF($A1292&lt;&gt;"",IF(B1292="",TRUE,FALSE),FALSE)</formula>
    </cfRule>
  </conditionalFormatting>
  <conditionalFormatting sqref="M1292">
    <cfRule type="expression" dxfId="809" priority="775" stopIfTrue="1">
      <formula>IF($F1292="I",TRUE,FALSE)</formula>
    </cfRule>
  </conditionalFormatting>
  <conditionalFormatting sqref="B1293:D1293 F1293:G1293 I1293:P1293">
    <cfRule type="expression" dxfId="808" priority="774" stopIfTrue="1">
      <formula>IF($A1293&lt;&gt;"",IF(B1293="",TRUE,FALSE),FALSE)</formula>
    </cfRule>
  </conditionalFormatting>
  <conditionalFormatting sqref="M1293">
    <cfRule type="expression" dxfId="807" priority="773" stopIfTrue="1">
      <formula>IF($F1293="I",TRUE,FALSE)</formula>
    </cfRule>
  </conditionalFormatting>
  <conditionalFormatting sqref="B1294:D1294 F1294:G1294 I1294:P1294">
    <cfRule type="expression" dxfId="806" priority="772" stopIfTrue="1">
      <formula>IF($A1294&lt;&gt;"",IF(B1294="",TRUE,FALSE),FALSE)</formula>
    </cfRule>
  </conditionalFormatting>
  <conditionalFormatting sqref="M1294">
    <cfRule type="expression" dxfId="805" priority="771" stopIfTrue="1">
      <formula>IF($F1294="I",TRUE,FALSE)</formula>
    </cfRule>
  </conditionalFormatting>
  <conditionalFormatting sqref="B1295:D1295 F1295:G1295 I1295:P1295">
    <cfRule type="expression" dxfId="804" priority="770" stopIfTrue="1">
      <formula>IF($A1295&lt;&gt;"",IF(B1295="",TRUE,FALSE),FALSE)</formula>
    </cfRule>
  </conditionalFormatting>
  <conditionalFormatting sqref="M1295">
    <cfRule type="expression" dxfId="803" priority="769" stopIfTrue="1">
      <formula>IF($F1295="I",TRUE,FALSE)</formula>
    </cfRule>
  </conditionalFormatting>
  <conditionalFormatting sqref="B1296:D1296 F1296:G1296 I1296:P1296">
    <cfRule type="expression" dxfId="802" priority="768" stopIfTrue="1">
      <formula>IF($A1296&lt;&gt;"",IF(B1296="",TRUE,FALSE),FALSE)</formula>
    </cfRule>
  </conditionalFormatting>
  <conditionalFormatting sqref="M1296">
    <cfRule type="expression" dxfId="801" priority="767" stopIfTrue="1">
      <formula>IF($F1296="I",TRUE,FALSE)</formula>
    </cfRule>
  </conditionalFormatting>
  <conditionalFormatting sqref="B1297:D1297 F1297:G1297 I1297:P1297">
    <cfRule type="expression" dxfId="800" priority="766" stopIfTrue="1">
      <formula>IF($A1297&lt;&gt;"",IF(B1297="",TRUE,FALSE),FALSE)</formula>
    </cfRule>
  </conditionalFormatting>
  <conditionalFormatting sqref="M1297">
    <cfRule type="expression" dxfId="799" priority="765" stopIfTrue="1">
      <formula>IF($F1297="I",TRUE,FALSE)</formula>
    </cfRule>
  </conditionalFormatting>
  <conditionalFormatting sqref="B1298:D1298 F1298:G1298 I1298:P1298">
    <cfRule type="expression" dxfId="798" priority="764" stopIfTrue="1">
      <formula>IF($A1298&lt;&gt;"",IF(B1298="",TRUE,FALSE),FALSE)</formula>
    </cfRule>
  </conditionalFormatting>
  <conditionalFormatting sqref="M1298">
    <cfRule type="expression" dxfId="797" priority="763" stopIfTrue="1">
      <formula>IF($F1298="I",TRUE,FALSE)</formula>
    </cfRule>
  </conditionalFormatting>
  <conditionalFormatting sqref="B1299:D1299 F1299:G1299 I1299:P1299">
    <cfRule type="expression" dxfId="796" priority="762" stopIfTrue="1">
      <formula>IF($A1299&lt;&gt;"",IF(B1299="",TRUE,FALSE),FALSE)</formula>
    </cfRule>
  </conditionalFormatting>
  <conditionalFormatting sqref="M1299">
    <cfRule type="expression" dxfId="795" priority="761" stopIfTrue="1">
      <formula>IF($F1299="I",TRUE,FALSE)</formula>
    </cfRule>
  </conditionalFormatting>
  <conditionalFormatting sqref="B1300:D1300 F1300:G1300 I1300:P1300">
    <cfRule type="expression" dxfId="794" priority="760" stopIfTrue="1">
      <formula>IF($A1300&lt;&gt;"",IF(B1300="",TRUE,FALSE),FALSE)</formula>
    </cfRule>
  </conditionalFormatting>
  <conditionalFormatting sqref="M1300">
    <cfRule type="expression" dxfId="793" priority="759" stopIfTrue="1">
      <formula>IF($F1300="I",TRUE,FALSE)</formula>
    </cfRule>
  </conditionalFormatting>
  <conditionalFormatting sqref="B1301:D1301 F1301:G1301 I1301:P1301">
    <cfRule type="expression" dxfId="792" priority="758" stopIfTrue="1">
      <formula>IF($A1301&lt;&gt;"",IF(B1301="",TRUE,FALSE),FALSE)</formula>
    </cfRule>
  </conditionalFormatting>
  <conditionalFormatting sqref="M1301">
    <cfRule type="expression" dxfId="791" priority="757" stopIfTrue="1">
      <formula>IF($F1301="I",TRUE,FALSE)</formula>
    </cfRule>
  </conditionalFormatting>
  <conditionalFormatting sqref="B1302:D1302 F1302:G1302 I1302:P1302">
    <cfRule type="expression" dxfId="790" priority="756" stopIfTrue="1">
      <formula>IF($A1302&lt;&gt;"",IF(B1302="",TRUE,FALSE),FALSE)</formula>
    </cfRule>
  </conditionalFormatting>
  <conditionalFormatting sqref="M1302">
    <cfRule type="expression" dxfId="789" priority="755" stopIfTrue="1">
      <formula>IF($F1302="I",TRUE,FALSE)</formula>
    </cfRule>
  </conditionalFormatting>
  <conditionalFormatting sqref="B1303:D1303 F1303:G1303 I1303:P1303">
    <cfRule type="expression" dxfId="788" priority="754" stopIfTrue="1">
      <formula>IF($A1303&lt;&gt;"",IF(B1303="",TRUE,FALSE),FALSE)</formula>
    </cfRule>
  </conditionalFormatting>
  <conditionalFormatting sqref="M1303">
    <cfRule type="expression" dxfId="787" priority="753" stopIfTrue="1">
      <formula>IF($F1303="I",TRUE,FALSE)</formula>
    </cfRule>
  </conditionalFormatting>
  <conditionalFormatting sqref="B1304:D1304 F1304:G1304 I1304:P1304">
    <cfRule type="expression" dxfId="786" priority="752" stopIfTrue="1">
      <formula>IF($A1304&lt;&gt;"",IF(B1304="",TRUE,FALSE),FALSE)</formula>
    </cfRule>
  </conditionalFormatting>
  <conditionalFormatting sqref="M1304">
    <cfRule type="expression" dxfId="785" priority="751" stopIfTrue="1">
      <formula>IF($F1304="I",TRUE,FALSE)</formula>
    </cfRule>
  </conditionalFormatting>
  <conditionalFormatting sqref="B1305:D1305 F1305:G1305 I1305:P1305">
    <cfRule type="expression" dxfId="784" priority="750" stopIfTrue="1">
      <formula>IF($A1305&lt;&gt;"",IF(B1305="",TRUE,FALSE),FALSE)</formula>
    </cfRule>
  </conditionalFormatting>
  <conditionalFormatting sqref="M1305">
    <cfRule type="expression" dxfId="783" priority="749" stopIfTrue="1">
      <formula>IF($F1305="I",TRUE,FALSE)</formula>
    </cfRule>
  </conditionalFormatting>
  <conditionalFormatting sqref="B1306:D1306 F1306:G1306 I1306:P1306">
    <cfRule type="expression" dxfId="782" priority="748" stopIfTrue="1">
      <formula>IF($A1306&lt;&gt;"",IF(B1306="",TRUE,FALSE),FALSE)</formula>
    </cfRule>
  </conditionalFormatting>
  <conditionalFormatting sqref="M1306">
    <cfRule type="expression" dxfId="781" priority="747" stopIfTrue="1">
      <formula>IF($F1306="I",TRUE,FALSE)</formula>
    </cfRule>
  </conditionalFormatting>
  <conditionalFormatting sqref="B1307:D1307 F1307:G1307 I1307:P1307">
    <cfRule type="expression" dxfId="780" priority="746" stopIfTrue="1">
      <formula>IF($A1307&lt;&gt;"",IF(B1307="",TRUE,FALSE),FALSE)</formula>
    </cfRule>
  </conditionalFormatting>
  <conditionalFormatting sqref="M1307">
    <cfRule type="expression" dxfId="779" priority="745" stopIfTrue="1">
      <formula>IF($F1307="I",TRUE,FALSE)</formula>
    </cfRule>
  </conditionalFormatting>
  <conditionalFormatting sqref="B1308:D1308 F1308:G1308 I1308:P1308">
    <cfRule type="expression" dxfId="778" priority="744" stopIfTrue="1">
      <formula>IF($A1308&lt;&gt;"",IF(B1308="",TRUE,FALSE),FALSE)</formula>
    </cfRule>
  </conditionalFormatting>
  <conditionalFormatting sqref="M1308">
    <cfRule type="expression" dxfId="777" priority="743" stopIfTrue="1">
      <formula>IF($F1308="I",TRUE,FALSE)</formula>
    </cfRule>
  </conditionalFormatting>
  <conditionalFormatting sqref="B1309:D1309 F1309:G1309 I1309:P1309">
    <cfRule type="expression" dxfId="776" priority="742" stopIfTrue="1">
      <formula>IF($A1309&lt;&gt;"",IF(B1309="",TRUE,FALSE),FALSE)</formula>
    </cfRule>
  </conditionalFormatting>
  <conditionalFormatting sqref="M1309">
    <cfRule type="expression" dxfId="775" priority="741" stopIfTrue="1">
      <formula>IF($F1309="I",TRUE,FALSE)</formula>
    </cfRule>
  </conditionalFormatting>
  <conditionalFormatting sqref="B1310:D1310 F1310:G1310 I1310:P1310">
    <cfRule type="expression" dxfId="774" priority="740" stopIfTrue="1">
      <formula>IF($A1310&lt;&gt;"",IF(B1310="",TRUE,FALSE),FALSE)</formula>
    </cfRule>
  </conditionalFormatting>
  <conditionalFormatting sqref="M1310">
    <cfRule type="expression" dxfId="773" priority="739" stopIfTrue="1">
      <formula>IF($F1310="I",TRUE,FALSE)</formula>
    </cfRule>
  </conditionalFormatting>
  <conditionalFormatting sqref="B1311:D1311 F1311:G1311 I1311:P1311">
    <cfRule type="expression" dxfId="772" priority="738" stopIfTrue="1">
      <formula>IF($A1311&lt;&gt;"",IF(B1311="",TRUE,FALSE),FALSE)</formula>
    </cfRule>
  </conditionalFormatting>
  <conditionalFormatting sqref="M1311">
    <cfRule type="expression" dxfId="771" priority="737" stopIfTrue="1">
      <formula>IF($F1311="I",TRUE,FALSE)</formula>
    </cfRule>
  </conditionalFormatting>
  <conditionalFormatting sqref="B1312:D1312 F1312:G1312 I1312:P1312">
    <cfRule type="expression" dxfId="770" priority="736" stopIfTrue="1">
      <formula>IF($A1312&lt;&gt;"",IF(B1312="",TRUE,FALSE),FALSE)</formula>
    </cfRule>
  </conditionalFormatting>
  <conditionalFormatting sqref="M1312">
    <cfRule type="expression" dxfId="769" priority="735" stopIfTrue="1">
      <formula>IF($F1312="I",TRUE,FALSE)</formula>
    </cfRule>
  </conditionalFormatting>
  <conditionalFormatting sqref="B1313:D1313 F1313:G1313 I1313:P1313">
    <cfRule type="expression" dxfId="768" priority="734" stopIfTrue="1">
      <formula>IF($A1313&lt;&gt;"",IF(B1313="",TRUE,FALSE),FALSE)</formula>
    </cfRule>
  </conditionalFormatting>
  <conditionalFormatting sqref="M1313">
    <cfRule type="expression" dxfId="767" priority="733" stopIfTrue="1">
      <formula>IF($F1313="I",TRUE,FALSE)</formula>
    </cfRule>
  </conditionalFormatting>
  <conditionalFormatting sqref="B1314:D1314 F1314:G1314 I1314:P1314">
    <cfRule type="expression" dxfId="766" priority="732" stopIfTrue="1">
      <formula>IF($A1314&lt;&gt;"",IF(B1314="",TRUE,FALSE),FALSE)</formula>
    </cfRule>
  </conditionalFormatting>
  <conditionalFormatting sqref="M1314">
    <cfRule type="expression" dxfId="765" priority="731" stopIfTrue="1">
      <formula>IF($F1314="I",TRUE,FALSE)</formula>
    </cfRule>
  </conditionalFormatting>
  <conditionalFormatting sqref="B1315:D1315 F1315:G1315 I1315:P1315">
    <cfRule type="expression" dxfId="764" priority="730" stopIfTrue="1">
      <formula>IF($A1315&lt;&gt;"",IF(B1315="",TRUE,FALSE),FALSE)</formula>
    </cfRule>
  </conditionalFormatting>
  <conditionalFormatting sqref="M1315">
    <cfRule type="expression" dxfId="763" priority="729" stopIfTrue="1">
      <formula>IF($F1315="I",TRUE,FALSE)</formula>
    </cfRule>
  </conditionalFormatting>
  <conditionalFormatting sqref="B1316:D1316 F1316:G1316 I1316:P1316">
    <cfRule type="expression" dxfId="762" priority="728" stopIfTrue="1">
      <formula>IF($A1316&lt;&gt;"",IF(B1316="",TRUE,FALSE),FALSE)</formula>
    </cfRule>
  </conditionalFormatting>
  <conditionalFormatting sqref="M1316">
    <cfRule type="expression" dxfId="761" priority="727" stopIfTrue="1">
      <formula>IF($F1316="I",TRUE,FALSE)</formula>
    </cfRule>
  </conditionalFormatting>
  <conditionalFormatting sqref="B1317:D1317 F1317:G1317 I1317:P1317">
    <cfRule type="expression" dxfId="760" priority="726" stopIfTrue="1">
      <formula>IF($A1317&lt;&gt;"",IF(B1317="",TRUE,FALSE),FALSE)</formula>
    </cfRule>
  </conditionalFormatting>
  <conditionalFormatting sqref="M1317">
    <cfRule type="expression" dxfId="759" priority="725" stopIfTrue="1">
      <formula>IF($F1317="I",TRUE,FALSE)</formula>
    </cfRule>
  </conditionalFormatting>
  <conditionalFormatting sqref="B1318:D1318 F1318:G1318 I1318:P1318">
    <cfRule type="expression" dxfId="758" priority="724" stopIfTrue="1">
      <formula>IF($A1318&lt;&gt;"",IF(B1318="",TRUE,FALSE),FALSE)</formula>
    </cfRule>
  </conditionalFormatting>
  <conditionalFormatting sqref="M1318">
    <cfRule type="expression" dxfId="757" priority="723" stopIfTrue="1">
      <formula>IF($F1318="I",TRUE,FALSE)</formula>
    </cfRule>
  </conditionalFormatting>
  <conditionalFormatting sqref="B1319:D1319 F1319:G1319 I1319:P1319">
    <cfRule type="expression" dxfId="756" priority="722" stopIfTrue="1">
      <formula>IF($A1319&lt;&gt;"",IF(B1319="",TRUE,FALSE),FALSE)</formula>
    </cfRule>
  </conditionalFormatting>
  <conditionalFormatting sqref="M1319">
    <cfRule type="expression" dxfId="755" priority="721" stopIfTrue="1">
      <formula>IF($F1319="I",TRUE,FALSE)</formula>
    </cfRule>
  </conditionalFormatting>
  <conditionalFormatting sqref="B1320:D1320 F1320:G1320 I1320:P1320">
    <cfRule type="expression" dxfId="754" priority="720" stopIfTrue="1">
      <formula>IF($A1320&lt;&gt;"",IF(B1320="",TRUE,FALSE),FALSE)</formula>
    </cfRule>
  </conditionalFormatting>
  <conditionalFormatting sqref="M1320">
    <cfRule type="expression" dxfId="753" priority="719" stopIfTrue="1">
      <formula>IF($F1320="I",TRUE,FALSE)</formula>
    </cfRule>
  </conditionalFormatting>
  <conditionalFormatting sqref="B1321:D1321 F1321:G1321 I1321:P1321">
    <cfRule type="expression" dxfId="752" priority="718" stopIfTrue="1">
      <formula>IF($A1321&lt;&gt;"",IF(B1321="",TRUE,FALSE),FALSE)</formula>
    </cfRule>
  </conditionalFormatting>
  <conditionalFormatting sqref="M1321">
    <cfRule type="expression" dxfId="751" priority="717" stopIfTrue="1">
      <formula>IF($F1321="I",TRUE,FALSE)</formula>
    </cfRule>
  </conditionalFormatting>
  <conditionalFormatting sqref="B1322:D1322 F1322:G1322 I1322:P1322">
    <cfRule type="expression" dxfId="750" priority="716" stopIfTrue="1">
      <formula>IF($A1322&lt;&gt;"",IF(B1322="",TRUE,FALSE),FALSE)</formula>
    </cfRule>
  </conditionalFormatting>
  <conditionalFormatting sqref="M1322">
    <cfRule type="expression" dxfId="749" priority="715" stopIfTrue="1">
      <formula>IF($F1322="I",TRUE,FALSE)</formula>
    </cfRule>
  </conditionalFormatting>
  <conditionalFormatting sqref="B1323:D1323 F1323:G1323 I1323:P1323">
    <cfRule type="expression" dxfId="748" priority="714" stopIfTrue="1">
      <formula>IF($A1323&lt;&gt;"",IF(B1323="",TRUE,FALSE),FALSE)</formula>
    </cfRule>
  </conditionalFormatting>
  <conditionalFormatting sqref="M1323">
    <cfRule type="expression" dxfId="747" priority="713" stopIfTrue="1">
      <formula>IF($F1323="I",TRUE,FALSE)</formula>
    </cfRule>
  </conditionalFormatting>
  <conditionalFormatting sqref="B1324:D1324 F1324:G1324 I1324:P1324">
    <cfRule type="expression" dxfId="746" priority="712" stopIfTrue="1">
      <formula>IF($A1324&lt;&gt;"",IF(B1324="",TRUE,FALSE),FALSE)</formula>
    </cfRule>
  </conditionalFormatting>
  <conditionalFormatting sqref="M1324">
    <cfRule type="expression" dxfId="745" priority="711" stopIfTrue="1">
      <formula>IF($F1324="I",TRUE,FALSE)</formula>
    </cfRule>
  </conditionalFormatting>
  <conditionalFormatting sqref="B1325:D1325 F1325:G1325 I1325:P1325">
    <cfRule type="expression" dxfId="744" priority="710" stopIfTrue="1">
      <formula>IF($A1325&lt;&gt;"",IF(B1325="",TRUE,FALSE),FALSE)</formula>
    </cfRule>
  </conditionalFormatting>
  <conditionalFormatting sqref="M1325">
    <cfRule type="expression" dxfId="743" priority="709" stopIfTrue="1">
      <formula>IF($F1325="I",TRUE,FALSE)</formula>
    </cfRule>
  </conditionalFormatting>
  <conditionalFormatting sqref="B1326:D1326 F1326:G1326 I1326:P1326">
    <cfRule type="expression" dxfId="742" priority="708" stopIfTrue="1">
      <formula>IF($A1326&lt;&gt;"",IF(B1326="",TRUE,FALSE),FALSE)</formula>
    </cfRule>
  </conditionalFormatting>
  <conditionalFormatting sqref="M1326">
    <cfRule type="expression" dxfId="741" priority="707" stopIfTrue="1">
      <formula>IF($F1326="I",TRUE,FALSE)</formula>
    </cfRule>
  </conditionalFormatting>
  <conditionalFormatting sqref="B1327:D1327 F1327:G1327 I1327:P1327">
    <cfRule type="expression" dxfId="740" priority="706" stopIfTrue="1">
      <formula>IF($A1327&lt;&gt;"",IF(B1327="",TRUE,FALSE),FALSE)</formula>
    </cfRule>
  </conditionalFormatting>
  <conditionalFormatting sqref="M1327">
    <cfRule type="expression" dxfId="739" priority="705" stopIfTrue="1">
      <formula>IF($F1327="I",TRUE,FALSE)</formula>
    </cfRule>
  </conditionalFormatting>
  <conditionalFormatting sqref="B1328:D1328 F1328:G1328 I1328:P1328">
    <cfRule type="expression" dxfId="738" priority="704" stopIfTrue="1">
      <formula>IF($A1328&lt;&gt;"",IF(B1328="",TRUE,FALSE),FALSE)</formula>
    </cfRule>
  </conditionalFormatting>
  <conditionalFormatting sqref="M1328">
    <cfRule type="expression" dxfId="737" priority="703" stopIfTrue="1">
      <formula>IF($F1328="I",TRUE,FALSE)</formula>
    </cfRule>
  </conditionalFormatting>
  <conditionalFormatting sqref="B1329:D1329 F1329:G1329 I1329:P1329">
    <cfRule type="expression" dxfId="736" priority="702" stopIfTrue="1">
      <formula>IF($A1329&lt;&gt;"",IF(B1329="",TRUE,FALSE),FALSE)</formula>
    </cfRule>
  </conditionalFormatting>
  <conditionalFormatting sqref="M1329">
    <cfRule type="expression" dxfId="735" priority="701" stopIfTrue="1">
      <formula>IF($F1329="I",TRUE,FALSE)</formula>
    </cfRule>
  </conditionalFormatting>
  <conditionalFormatting sqref="B1330:D1330 F1330:G1330 I1330:P1330">
    <cfRule type="expression" dxfId="734" priority="700" stopIfTrue="1">
      <formula>IF($A1330&lt;&gt;"",IF(B1330="",TRUE,FALSE),FALSE)</formula>
    </cfRule>
  </conditionalFormatting>
  <conditionalFormatting sqref="M1330">
    <cfRule type="expression" dxfId="733" priority="699" stopIfTrue="1">
      <formula>IF($F1330="I",TRUE,FALSE)</formula>
    </cfRule>
  </conditionalFormatting>
  <conditionalFormatting sqref="B1331:D1331 F1331:G1331 I1331:P1331">
    <cfRule type="expression" dxfId="732" priority="698" stopIfTrue="1">
      <formula>IF($A1331&lt;&gt;"",IF(B1331="",TRUE,FALSE),FALSE)</formula>
    </cfRule>
  </conditionalFormatting>
  <conditionalFormatting sqref="M1331">
    <cfRule type="expression" dxfId="731" priority="697" stopIfTrue="1">
      <formula>IF($F1331="I",TRUE,FALSE)</formula>
    </cfRule>
  </conditionalFormatting>
  <conditionalFormatting sqref="B1332:D1332 F1332:G1332 I1332:P1332">
    <cfRule type="expression" dxfId="730" priority="696" stopIfTrue="1">
      <formula>IF($A1332&lt;&gt;"",IF(B1332="",TRUE,FALSE),FALSE)</formula>
    </cfRule>
  </conditionalFormatting>
  <conditionalFormatting sqref="M1332">
    <cfRule type="expression" dxfId="729" priority="695" stopIfTrue="1">
      <formula>IF($F1332="I",TRUE,FALSE)</formula>
    </cfRule>
  </conditionalFormatting>
  <conditionalFormatting sqref="B1333:D1333 F1333:G1333 I1333:P1333">
    <cfRule type="expression" dxfId="728" priority="694" stopIfTrue="1">
      <formula>IF($A1333&lt;&gt;"",IF(B1333="",TRUE,FALSE),FALSE)</formula>
    </cfRule>
  </conditionalFormatting>
  <conditionalFormatting sqref="M1333">
    <cfRule type="expression" dxfId="727" priority="693" stopIfTrue="1">
      <formula>IF($F1333="I",TRUE,FALSE)</formula>
    </cfRule>
  </conditionalFormatting>
  <conditionalFormatting sqref="B1334:D1334 F1334:G1334 I1334:P1334">
    <cfRule type="expression" dxfId="726" priority="692" stopIfTrue="1">
      <formula>IF($A1334&lt;&gt;"",IF(B1334="",TRUE,FALSE),FALSE)</formula>
    </cfRule>
  </conditionalFormatting>
  <conditionalFormatting sqref="M1334">
    <cfRule type="expression" dxfId="725" priority="691" stopIfTrue="1">
      <formula>IF($F1334="I",TRUE,FALSE)</formula>
    </cfRule>
  </conditionalFormatting>
  <conditionalFormatting sqref="B1335:D1335 F1335:G1335 I1335:P1335">
    <cfRule type="expression" dxfId="724" priority="690" stopIfTrue="1">
      <formula>IF($A1335&lt;&gt;"",IF(B1335="",TRUE,FALSE),FALSE)</formula>
    </cfRule>
  </conditionalFormatting>
  <conditionalFormatting sqref="M1335">
    <cfRule type="expression" dxfId="723" priority="689" stopIfTrue="1">
      <formula>IF($F1335="I",TRUE,FALSE)</formula>
    </cfRule>
  </conditionalFormatting>
  <conditionalFormatting sqref="B1336:D1336 F1336:G1336 I1336:P1336">
    <cfRule type="expression" dxfId="722" priority="688" stopIfTrue="1">
      <formula>IF($A1336&lt;&gt;"",IF(B1336="",TRUE,FALSE),FALSE)</formula>
    </cfRule>
  </conditionalFormatting>
  <conditionalFormatting sqref="M1336">
    <cfRule type="expression" dxfId="721" priority="687" stopIfTrue="1">
      <formula>IF($F1336="I",TRUE,FALSE)</formula>
    </cfRule>
  </conditionalFormatting>
  <conditionalFormatting sqref="B1337:D1337 F1337:G1337 I1337:P1337">
    <cfRule type="expression" dxfId="720" priority="686" stopIfTrue="1">
      <formula>IF($A1337&lt;&gt;"",IF(B1337="",TRUE,FALSE),FALSE)</formula>
    </cfRule>
  </conditionalFormatting>
  <conditionalFormatting sqref="M1337">
    <cfRule type="expression" dxfId="719" priority="685" stopIfTrue="1">
      <formula>IF($F1337="I",TRUE,FALSE)</formula>
    </cfRule>
  </conditionalFormatting>
  <conditionalFormatting sqref="B1338:D1338 F1338:G1338 I1338:P1338">
    <cfRule type="expression" dxfId="718" priority="684" stopIfTrue="1">
      <formula>IF($A1338&lt;&gt;"",IF(B1338="",TRUE,FALSE),FALSE)</formula>
    </cfRule>
  </conditionalFormatting>
  <conditionalFormatting sqref="M1338">
    <cfRule type="expression" dxfId="717" priority="683" stopIfTrue="1">
      <formula>IF($F1338="I",TRUE,FALSE)</formula>
    </cfRule>
  </conditionalFormatting>
  <conditionalFormatting sqref="B1339:D1339 F1339:G1339 I1339:P1339">
    <cfRule type="expression" dxfId="716" priority="682" stopIfTrue="1">
      <formula>IF($A1339&lt;&gt;"",IF(B1339="",TRUE,FALSE),FALSE)</formula>
    </cfRule>
  </conditionalFormatting>
  <conditionalFormatting sqref="M1339">
    <cfRule type="expression" dxfId="715" priority="681" stopIfTrue="1">
      <formula>IF($F1339="I",TRUE,FALSE)</formula>
    </cfRule>
  </conditionalFormatting>
  <conditionalFormatting sqref="B1340:D1340 F1340:G1340 I1340:P1340">
    <cfRule type="expression" dxfId="714" priority="680" stopIfTrue="1">
      <formula>IF($A1340&lt;&gt;"",IF(B1340="",TRUE,FALSE),FALSE)</formula>
    </cfRule>
  </conditionalFormatting>
  <conditionalFormatting sqref="M1340">
    <cfRule type="expression" dxfId="713" priority="679" stopIfTrue="1">
      <formula>IF($F1340="I",TRUE,FALSE)</formula>
    </cfRule>
  </conditionalFormatting>
  <conditionalFormatting sqref="B1341:D1341 F1341:G1341 I1341:P1341">
    <cfRule type="expression" dxfId="712" priority="678" stopIfTrue="1">
      <formula>IF($A1341&lt;&gt;"",IF(B1341="",TRUE,FALSE),FALSE)</formula>
    </cfRule>
  </conditionalFormatting>
  <conditionalFormatting sqref="M1341">
    <cfRule type="expression" dxfId="711" priority="677" stopIfTrue="1">
      <formula>IF($F1341="I",TRUE,FALSE)</formula>
    </cfRule>
  </conditionalFormatting>
  <conditionalFormatting sqref="B1342:D1342 F1342:G1342 I1342:P1342">
    <cfRule type="expression" dxfId="710" priority="676" stopIfTrue="1">
      <formula>IF($A1342&lt;&gt;"",IF(B1342="",TRUE,FALSE),FALSE)</formula>
    </cfRule>
  </conditionalFormatting>
  <conditionalFormatting sqref="M1342">
    <cfRule type="expression" dxfId="709" priority="675" stopIfTrue="1">
      <formula>IF($F1342="I",TRUE,FALSE)</formula>
    </cfRule>
  </conditionalFormatting>
  <conditionalFormatting sqref="B1343:D1343 F1343:G1343 I1343:P1343">
    <cfRule type="expression" dxfId="708" priority="674" stopIfTrue="1">
      <formula>IF($A1343&lt;&gt;"",IF(B1343="",TRUE,FALSE),FALSE)</formula>
    </cfRule>
  </conditionalFormatting>
  <conditionalFormatting sqref="M1343">
    <cfRule type="expression" dxfId="707" priority="673" stopIfTrue="1">
      <formula>IF($F1343="I",TRUE,FALSE)</formula>
    </cfRule>
  </conditionalFormatting>
  <conditionalFormatting sqref="B1344:D1344 F1344:G1344 I1344:P1344">
    <cfRule type="expression" dxfId="706" priority="672" stopIfTrue="1">
      <formula>IF($A1344&lt;&gt;"",IF(B1344="",TRUE,FALSE),FALSE)</formula>
    </cfRule>
  </conditionalFormatting>
  <conditionalFormatting sqref="M1344">
    <cfRule type="expression" dxfId="705" priority="671" stopIfTrue="1">
      <formula>IF($F1344="I",TRUE,FALSE)</formula>
    </cfRule>
  </conditionalFormatting>
  <conditionalFormatting sqref="B1345:D1345 F1345:G1345 I1345:P1345">
    <cfRule type="expression" dxfId="704" priority="670" stopIfTrue="1">
      <formula>IF($A1345&lt;&gt;"",IF(B1345="",TRUE,FALSE),FALSE)</formula>
    </cfRule>
  </conditionalFormatting>
  <conditionalFormatting sqref="M1345">
    <cfRule type="expression" dxfId="703" priority="669" stopIfTrue="1">
      <formula>IF($F1345="I",TRUE,FALSE)</formula>
    </cfRule>
  </conditionalFormatting>
  <conditionalFormatting sqref="B1346:D1346 F1346:G1346 I1346:P1346">
    <cfRule type="expression" dxfId="702" priority="668" stopIfTrue="1">
      <formula>IF($A1346&lt;&gt;"",IF(B1346="",TRUE,FALSE),FALSE)</formula>
    </cfRule>
  </conditionalFormatting>
  <conditionalFormatting sqref="M1346">
    <cfRule type="expression" dxfId="701" priority="667" stopIfTrue="1">
      <formula>IF($F1346="I",TRUE,FALSE)</formula>
    </cfRule>
  </conditionalFormatting>
  <conditionalFormatting sqref="B1347:D1347 F1347:G1347 I1347:P1347">
    <cfRule type="expression" dxfId="700" priority="666" stopIfTrue="1">
      <formula>IF($A1347&lt;&gt;"",IF(B1347="",TRUE,FALSE),FALSE)</formula>
    </cfRule>
  </conditionalFormatting>
  <conditionalFormatting sqref="M1347">
    <cfRule type="expression" dxfId="699" priority="665" stopIfTrue="1">
      <formula>IF($F1347="I",TRUE,FALSE)</formula>
    </cfRule>
  </conditionalFormatting>
  <conditionalFormatting sqref="B1348:D1348 F1348:G1348 I1348:P1348">
    <cfRule type="expression" dxfId="698" priority="664" stopIfTrue="1">
      <formula>IF($A1348&lt;&gt;"",IF(B1348="",TRUE,FALSE),FALSE)</formula>
    </cfRule>
  </conditionalFormatting>
  <conditionalFormatting sqref="M1348">
    <cfRule type="expression" dxfId="697" priority="663" stopIfTrue="1">
      <formula>IF($F1348="I",TRUE,FALSE)</formula>
    </cfRule>
  </conditionalFormatting>
  <conditionalFormatting sqref="B1349:D1349 F1349:G1349 I1349:P1349">
    <cfRule type="expression" dxfId="696" priority="662" stopIfTrue="1">
      <formula>IF($A1349&lt;&gt;"",IF(B1349="",TRUE,FALSE),FALSE)</formula>
    </cfRule>
  </conditionalFormatting>
  <conditionalFormatting sqref="M1349">
    <cfRule type="expression" dxfId="695" priority="661" stopIfTrue="1">
      <formula>IF($F1349="I",TRUE,FALSE)</formula>
    </cfRule>
  </conditionalFormatting>
  <conditionalFormatting sqref="B1350:D1350 F1350:G1350 I1350:P1350">
    <cfRule type="expression" dxfId="694" priority="660" stopIfTrue="1">
      <formula>IF($A1350&lt;&gt;"",IF(B1350="",TRUE,FALSE),FALSE)</formula>
    </cfRule>
  </conditionalFormatting>
  <conditionalFormatting sqref="M1350">
    <cfRule type="expression" dxfId="693" priority="659" stopIfTrue="1">
      <formula>IF($F1350="I",TRUE,FALSE)</formula>
    </cfRule>
  </conditionalFormatting>
  <conditionalFormatting sqref="B1351:D1351 F1351:G1351 I1351:P1351">
    <cfRule type="expression" dxfId="692" priority="658" stopIfTrue="1">
      <formula>IF($A1351&lt;&gt;"",IF(B1351="",TRUE,FALSE),FALSE)</formula>
    </cfRule>
  </conditionalFormatting>
  <conditionalFormatting sqref="M1351">
    <cfRule type="expression" dxfId="691" priority="657" stopIfTrue="1">
      <formula>IF($F1351="I",TRUE,FALSE)</formula>
    </cfRule>
  </conditionalFormatting>
  <conditionalFormatting sqref="B1352:D1352 F1352:G1352 I1352:P1352">
    <cfRule type="expression" dxfId="690" priority="656" stopIfTrue="1">
      <formula>IF($A1352&lt;&gt;"",IF(B1352="",TRUE,FALSE),FALSE)</formula>
    </cfRule>
  </conditionalFormatting>
  <conditionalFormatting sqref="M1352">
    <cfRule type="expression" dxfId="689" priority="655" stopIfTrue="1">
      <formula>IF($F1352="I",TRUE,FALSE)</formula>
    </cfRule>
  </conditionalFormatting>
  <conditionalFormatting sqref="B1353:D1353 F1353:G1353 I1353:P1353">
    <cfRule type="expression" dxfId="688" priority="654" stopIfTrue="1">
      <formula>IF($A1353&lt;&gt;"",IF(B1353="",TRUE,FALSE),FALSE)</formula>
    </cfRule>
  </conditionalFormatting>
  <conditionalFormatting sqref="M1353">
    <cfRule type="expression" dxfId="687" priority="653" stopIfTrue="1">
      <formula>IF($F1353="I",TRUE,FALSE)</formula>
    </cfRule>
  </conditionalFormatting>
  <conditionalFormatting sqref="B1354:D1354 F1354:G1354 I1354:P1354">
    <cfRule type="expression" dxfId="686" priority="652" stopIfTrue="1">
      <formula>IF($A1354&lt;&gt;"",IF(B1354="",TRUE,FALSE),FALSE)</formula>
    </cfRule>
  </conditionalFormatting>
  <conditionalFormatting sqref="M1354">
    <cfRule type="expression" dxfId="685" priority="651" stopIfTrue="1">
      <formula>IF($F1354="I",TRUE,FALSE)</formula>
    </cfRule>
  </conditionalFormatting>
  <conditionalFormatting sqref="B1355:D1355 F1355:G1355 I1355:P1355">
    <cfRule type="expression" dxfId="684" priority="650" stopIfTrue="1">
      <formula>IF($A1355&lt;&gt;"",IF(B1355="",TRUE,FALSE),FALSE)</formula>
    </cfRule>
  </conditionalFormatting>
  <conditionalFormatting sqref="M1355">
    <cfRule type="expression" dxfId="683" priority="649" stopIfTrue="1">
      <formula>IF($F1355="I",TRUE,FALSE)</formula>
    </cfRule>
  </conditionalFormatting>
  <conditionalFormatting sqref="B1356:D1356 F1356:G1356 I1356:P1356">
    <cfRule type="expression" dxfId="682" priority="648" stopIfTrue="1">
      <formula>IF($A1356&lt;&gt;"",IF(B1356="",TRUE,FALSE),FALSE)</formula>
    </cfRule>
  </conditionalFormatting>
  <conditionalFormatting sqref="M1356">
    <cfRule type="expression" dxfId="681" priority="647" stopIfTrue="1">
      <formula>IF($F1356="I",TRUE,FALSE)</formula>
    </cfRule>
  </conditionalFormatting>
  <conditionalFormatting sqref="B1357:D1357 F1357:G1357 I1357:P1357">
    <cfRule type="expression" dxfId="680" priority="646" stopIfTrue="1">
      <formula>IF($A1357&lt;&gt;"",IF(B1357="",TRUE,FALSE),FALSE)</formula>
    </cfRule>
  </conditionalFormatting>
  <conditionalFormatting sqref="M1357">
    <cfRule type="expression" dxfId="679" priority="645" stopIfTrue="1">
      <formula>IF($F1357="I",TRUE,FALSE)</formula>
    </cfRule>
  </conditionalFormatting>
  <conditionalFormatting sqref="B1358:D1358 F1358:G1358 I1358:P1358">
    <cfRule type="expression" dxfId="678" priority="644" stopIfTrue="1">
      <formula>IF($A1358&lt;&gt;"",IF(B1358="",TRUE,FALSE),FALSE)</formula>
    </cfRule>
  </conditionalFormatting>
  <conditionalFormatting sqref="M1358">
    <cfRule type="expression" dxfId="677" priority="643" stopIfTrue="1">
      <formula>IF($F1358="I",TRUE,FALSE)</formula>
    </cfRule>
  </conditionalFormatting>
  <conditionalFormatting sqref="B1359:D1359 F1359:G1359 I1359:P1359">
    <cfRule type="expression" dxfId="676" priority="642" stopIfTrue="1">
      <formula>IF($A1359&lt;&gt;"",IF(B1359="",TRUE,FALSE),FALSE)</formula>
    </cfRule>
  </conditionalFormatting>
  <conditionalFormatting sqref="M1359">
    <cfRule type="expression" dxfId="675" priority="641" stopIfTrue="1">
      <formula>IF($F1359="I",TRUE,FALSE)</formula>
    </cfRule>
  </conditionalFormatting>
  <conditionalFormatting sqref="B1360:D1360 F1360:G1360 I1360:P1360">
    <cfRule type="expression" dxfId="674" priority="640" stopIfTrue="1">
      <formula>IF($A1360&lt;&gt;"",IF(B1360="",TRUE,FALSE),FALSE)</formula>
    </cfRule>
  </conditionalFormatting>
  <conditionalFormatting sqref="M1360">
    <cfRule type="expression" dxfId="673" priority="639" stopIfTrue="1">
      <formula>IF($F1360="I",TRUE,FALSE)</formula>
    </cfRule>
  </conditionalFormatting>
  <conditionalFormatting sqref="B1361:D1361 F1361:G1361 I1361:P1361">
    <cfRule type="expression" dxfId="672" priority="638" stopIfTrue="1">
      <formula>IF($A1361&lt;&gt;"",IF(B1361="",TRUE,FALSE),FALSE)</formula>
    </cfRule>
  </conditionalFormatting>
  <conditionalFormatting sqref="M1361">
    <cfRule type="expression" dxfId="671" priority="637" stopIfTrue="1">
      <formula>IF($F1361="I",TRUE,FALSE)</formula>
    </cfRule>
  </conditionalFormatting>
  <conditionalFormatting sqref="B1362:D1362 F1362:G1362 I1362:P1362">
    <cfRule type="expression" dxfId="670" priority="636" stopIfTrue="1">
      <formula>IF($A1362&lt;&gt;"",IF(B1362="",TRUE,FALSE),FALSE)</formula>
    </cfRule>
  </conditionalFormatting>
  <conditionalFormatting sqref="M1362">
    <cfRule type="expression" dxfId="669" priority="635" stopIfTrue="1">
      <formula>IF($F1362="I",TRUE,FALSE)</formula>
    </cfRule>
  </conditionalFormatting>
  <conditionalFormatting sqref="B1363:D1363 F1363:G1363 I1363:P1363">
    <cfRule type="expression" dxfId="668" priority="634" stopIfTrue="1">
      <formula>IF($A1363&lt;&gt;"",IF(B1363="",TRUE,FALSE),FALSE)</formula>
    </cfRule>
  </conditionalFormatting>
  <conditionalFormatting sqref="M1363">
    <cfRule type="expression" dxfId="667" priority="633" stopIfTrue="1">
      <formula>IF($F1363="I",TRUE,FALSE)</formula>
    </cfRule>
  </conditionalFormatting>
  <conditionalFormatting sqref="B1364:D1364 F1364:G1364 I1364:P1364">
    <cfRule type="expression" dxfId="666" priority="632" stopIfTrue="1">
      <formula>IF($A1364&lt;&gt;"",IF(B1364="",TRUE,FALSE),FALSE)</formula>
    </cfRule>
  </conditionalFormatting>
  <conditionalFormatting sqref="M1364">
    <cfRule type="expression" dxfId="665" priority="631" stopIfTrue="1">
      <formula>IF($F1364="I",TRUE,FALSE)</formula>
    </cfRule>
  </conditionalFormatting>
  <conditionalFormatting sqref="B1365:D1365 F1365:G1365 I1365:P1365">
    <cfRule type="expression" dxfId="664" priority="630" stopIfTrue="1">
      <formula>IF($A1365&lt;&gt;"",IF(B1365="",TRUE,FALSE),FALSE)</formula>
    </cfRule>
  </conditionalFormatting>
  <conditionalFormatting sqref="M1365">
    <cfRule type="expression" dxfId="663" priority="629" stopIfTrue="1">
      <formula>IF($F1365="I",TRUE,FALSE)</formula>
    </cfRule>
  </conditionalFormatting>
  <conditionalFormatting sqref="B1366:D1366 F1366:G1366 I1366:P1366">
    <cfRule type="expression" dxfId="662" priority="628" stopIfTrue="1">
      <formula>IF($A1366&lt;&gt;"",IF(B1366="",TRUE,FALSE),FALSE)</formula>
    </cfRule>
  </conditionalFormatting>
  <conditionalFormatting sqref="M1366">
    <cfRule type="expression" dxfId="661" priority="627" stopIfTrue="1">
      <formula>IF($F1366="I",TRUE,FALSE)</formula>
    </cfRule>
  </conditionalFormatting>
  <conditionalFormatting sqref="B1367:D1367 F1367:G1367 I1367:P1367">
    <cfRule type="expression" dxfId="660" priority="626" stopIfTrue="1">
      <formula>IF($A1367&lt;&gt;"",IF(B1367="",TRUE,FALSE),FALSE)</formula>
    </cfRule>
  </conditionalFormatting>
  <conditionalFormatting sqref="M1367">
    <cfRule type="expression" dxfId="659" priority="625" stopIfTrue="1">
      <formula>IF($F1367="I",TRUE,FALSE)</formula>
    </cfRule>
  </conditionalFormatting>
  <conditionalFormatting sqref="B1368:D1368 F1368:G1368 I1368:P1368">
    <cfRule type="expression" dxfId="658" priority="624" stopIfTrue="1">
      <formula>IF($A1368&lt;&gt;"",IF(B1368="",TRUE,FALSE),FALSE)</formula>
    </cfRule>
  </conditionalFormatting>
  <conditionalFormatting sqref="M1368">
    <cfRule type="expression" dxfId="657" priority="623" stopIfTrue="1">
      <formula>IF($F1368="I",TRUE,FALSE)</formula>
    </cfRule>
  </conditionalFormatting>
  <conditionalFormatting sqref="B1369:D1369 F1369:G1369 I1369:P1369">
    <cfRule type="expression" dxfId="656" priority="622" stopIfTrue="1">
      <formula>IF($A1369&lt;&gt;"",IF(B1369="",TRUE,FALSE),FALSE)</formula>
    </cfRule>
  </conditionalFormatting>
  <conditionalFormatting sqref="M1369">
    <cfRule type="expression" dxfId="655" priority="621" stopIfTrue="1">
      <formula>IF($F1369="I",TRUE,FALSE)</formula>
    </cfRule>
  </conditionalFormatting>
  <conditionalFormatting sqref="B1370:D1370 F1370:G1370 I1370:P1370">
    <cfRule type="expression" dxfId="654" priority="620" stopIfTrue="1">
      <formula>IF($A1370&lt;&gt;"",IF(B1370="",TRUE,FALSE),FALSE)</formula>
    </cfRule>
  </conditionalFormatting>
  <conditionalFormatting sqref="M1370">
    <cfRule type="expression" dxfId="653" priority="619" stopIfTrue="1">
      <formula>IF($F1370="I",TRUE,FALSE)</formula>
    </cfRule>
  </conditionalFormatting>
  <conditionalFormatting sqref="B1371:D1371 F1371:G1371 I1371:P1371">
    <cfRule type="expression" dxfId="652" priority="618" stopIfTrue="1">
      <formula>IF($A1371&lt;&gt;"",IF(B1371="",TRUE,FALSE),FALSE)</formula>
    </cfRule>
  </conditionalFormatting>
  <conditionalFormatting sqref="M1371">
    <cfRule type="expression" dxfId="651" priority="617" stopIfTrue="1">
      <formula>IF($F1371="I",TRUE,FALSE)</formula>
    </cfRule>
  </conditionalFormatting>
  <conditionalFormatting sqref="B1372:D1372 F1372:G1372 I1372:P1372">
    <cfRule type="expression" dxfId="650" priority="616" stopIfTrue="1">
      <formula>IF($A1372&lt;&gt;"",IF(B1372="",TRUE,FALSE),FALSE)</formula>
    </cfRule>
  </conditionalFormatting>
  <conditionalFormatting sqref="M1372">
    <cfRule type="expression" dxfId="649" priority="615" stopIfTrue="1">
      <formula>IF($F1372="I",TRUE,FALSE)</formula>
    </cfRule>
  </conditionalFormatting>
  <conditionalFormatting sqref="B1373:D1373 F1373:G1373 I1373:P1373">
    <cfRule type="expression" dxfId="648" priority="614" stopIfTrue="1">
      <formula>IF($A1373&lt;&gt;"",IF(B1373="",TRUE,FALSE),FALSE)</formula>
    </cfRule>
  </conditionalFormatting>
  <conditionalFormatting sqref="M1373">
    <cfRule type="expression" dxfId="647" priority="613" stopIfTrue="1">
      <formula>IF($F1373="I",TRUE,FALSE)</formula>
    </cfRule>
  </conditionalFormatting>
  <conditionalFormatting sqref="B1374:D1374 F1374:G1374 I1374:P1374">
    <cfRule type="expression" dxfId="646" priority="612" stopIfTrue="1">
      <formula>IF($A1374&lt;&gt;"",IF(B1374="",TRUE,FALSE),FALSE)</formula>
    </cfRule>
  </conditionalFormatting>
  <conditionalFormatting sqref="M1374">
    <cfRule type="expression" dxfId="645" priority="611" stopIfTrue="1">
      <formula>IF($F1374="I",TRUE,FALSE)</formula>
    </cfRule>
  </conditionalFormatting>
  <conditionalFormatting sqref="B1375:D1375 F1375:G1375 I1375:P1375">
    <cfRule type="expression" dxfId="644" priority="610" stopIfTrue="1">
      <formula>IF($A1375&lt;&gt;"",IF(B1375="",TRUE,FALSE),FALSE)</formula>
    </cfRule>
  </conditionalFormatting>
  <conditionalFormatting sqref="M1375">
    <cfRule type="expression" dxfId="643" priority="609" stopIfTrue="1">
      <formula>IF($F1375="I",TRUE,FALSE)</formula>
    </cfRule>
  </conditionalFormatting>
  <conditionalFormatting sqref="B1376:D1376 F1376:G1376 I1376:P1376">
    <cfRule type="expression" dxfId="642" priority="608" stopIfTrue="1">
      <formula>IF($A1376&lt;&gt;"",IF(B1376="",TRUE,FALSE),FALSE)</formula>
    </cfRule>
  </conditionalFormatting>
  <conditionalFormatting sqref="M1376">
    <cfRule type="expression" dxfId="641" priority="607" stopIfTrue="1">
      <formula>IF($F1376="I",TRUE,FALSE)</formula>
    </cfRule>
  </conditionalFormatting>
  <conditionalFormatting sqref="B1377:D1377 F1377:G1377 I1377:P1377">
    <cfRule type="expression" dxfId="640" priority="606" stopIfTrue="1">
      <formula>IF($A1377&lt;&gt;"",IF(B1377="",TRUE,FALSE),FALSE)</formula>
    </cfRule>
  </conditionalFormatting>
  <conditionalFormatting sqref="M1377">
    <cfRule type="expression" dxfId="639" priority="605" stopIfTrue="1">
      <formula>IF($F1377="I",TRUE,FALSE)</formula>
    </cfRule>
  </conditionalFormatting>
  <conditionalFormatting sqref="B1378:D1378 F1378:G1378 I1378:P1378">
    <cfRule type="expression" dxfId="638" priority="604" stopIfTrue="1">
      <formula>IF($A1378&lt;&gt;"",IF(B1378="",TRUE,FALSE),FALSE)</formula>
    </cfRule>
  </conditionalFormatting>
  <conditionalFormatting sqref="M1378">
    <cfRule type="expression" dxfId="637" priority="603" stopIfTrue="1">
      <formula>IF($F1378="I",TRUE,FALSE)</formula>
    </cfRule>
  </conditionalFormatting>
  <conditionalFormatting sqref="B1379:D1379 F1379:G1379 I1379:P1379">
    <cfRule type="expression" dxfId="636" priority="602" stopIfTrue="1">
      <formula>IF($A1379&lt;&gt;"",IF(B1379="",TRUE,FALSE),FALSE)</formula>
    </cfRule>
  </conditionalFormatting>
  <conditionalFormatting sqref="M1379">
    <cfRule type="expression" dxfId="635" priority="601" stopIfTrue="1">
      <formula>IF($F1379="I",TRUE,FALSE)</formula>
    </cfRule>
  </conditionalFormatting>
  <conditionalFormatting sqref="B1380:D1380 F1380:G1380 I1380:P1380">
    <cfRule type="expression" dxfId="634" priority="600" stopIfTrue="1">
      <formula>IF($A1380&lt;&gt;"",IF(B1380="",TRUE,FALSE),FALSE)</formula>
    </cfRule>
  </conditionalFormatting>
  <conditionalFormatting sqref="M1380">
    <cfRule type="expression" dxfId="633" priority="599" stopIfTrue="1">
      <formula>IF($F1380="I",TRUE,FALSE)</formula>
    </cfRule>
  </conditionalFormatting>
  <conditionalFormatting sqref="B1381:D1381 F1381:G1381 I1381:P1381">
    <cfRule type="expression" dxfId="632" priority="598" stopIfTrue="1">
      <formula>IF($A1381&lt;&gt;"",IF(B1381="",TRUE,FALSE),FALSE)</formula>
    </cfRule>
  </conditionalFormatting>
  <conditionalFormatting sqref="M1381">
    <cfRule type="expression" dxfId="631" priority="597" stopIfTrue="1">
      <formula>IF($F1381="I",TRUE,FALSE)</formula>
    </cfRule>
  </conditionalFormatting>
  <conditionalFormatting sqref="B1382:D1382 F1382:G1382 I1382:P1382">
    <cfRule type="expression" dxfId="630" priority="596" stopIfTrue="1">
      <formula>IF($A1382&lt;&gt;"",IF(B1382="",TRUE,FALSE),FALSE)</formula>
    </cfRule>
  </conditionalFormatting>
  <conditionalFormatting sqref="M1382">
    <cfRule type="expression" dxfId="629" priority="595" stopIfTrue="1">
      <formula>IF($F1382="I",TRUE,FALSE)</formula>
    </cfRule>
  </conditionalFormatting>
  <conditionalFormatting sqref="B1383:D1383 F1383:G1383 I1383:P1383">
    <cfRule type="expression" dxfId="628" priority="594" stopIfTrue="1">
      <formula>IF($A1383&lt;&gt;"",IF(B1383="",TRUE,FALSE),FALSE)</formula>
    </cfRule>
  </conditionalFormatting>
  <conditionalFormatting sqref="M1383">
    <cfRule type="expression" dxfId="627" priority="593" stopIfTrue="1">
      <formula>IF($F1383="I",TRUE,FALSE)</formula>
    </cfRule>
  </conditionalFormatting>
  <conditionalFormatting sqref="B1384:D1384 F1384:G1384 I1384:P1384">
    <cfRule type="expression" dxfId="626" priority="592" stopIfTrue="1">
      <formula>IF($A1384&lt;&gt;"",IF(B1384="",TRUE,FALSE),FALSE)</formula>
    </cfRule>
  </conditionalFormatting>
  <conditionalFormatting sqref="M1384">
    <cfRule type="expression" dxfId="625" priority="591" stopIfTrue="1">
      <formula>IF($F1384="I",TRUE,FALSE)</formula>
    </cfRule>
  </conditionalFormatting>
  <conditionalFormatting sqref="B1385:D1385 F1385:G1385 I1385:P1385">
    <cfRule type="expression" dxfId="624" priority="590" stopIfTrue="1">
      <formula>IF($A1385&lt;&gt;"",IF(B1385="",TRUE,FALSE),FALSE)</formula>
    </cfRule>
  </conditionalFormatting>
  <conditionalFormatting sqref="M1385">
    <cfRule type="expression" dxfId="623" priority="589" stopIfTrue="1">
      <formula>IF($F1385="I",TRUE,FALSE)</formula>
    </cfRule>
  </conditionalFormatting>
  <conditionalFormatting sqref="B1386:D1386 F1386:G1386 I1386:P1386">
    <cfRule type="expression" dxfId="622" priority="588" stopIfTrue="1">
      <formula>IF($A1386&lt;&gt;"",IF(B1386="",TRUE,FALSE),FALSE)</formula>
    </cfRule>
  </conditionalFormatting>
  <conditionalFormatting sqref="M1386">
    <cfRule type="expression" dxfId="621" priority="587" stopIfTrue="1">
      <formula>IF($F1386="I",TRUE,FALSE)</formula>
    </cfRule>
  </conditionalFormatting>
  <conditionalFormatting sqref="B1387:D1387 F1387:G1387 I1387:P1387">
    <cfRule type="expression" dxfId="620" priority="586" stopIfTrue="1">
      <formula>IF($A1387&lt;&gt;"",IF(B1387="",TRUE,FALSE),FALSE)</formula>
    </cfRule>
  </conditionalFormatting>
  <conditionalFormatting sqref="M1387">
    <cfRule type="expression" dxfId="619" priority="585" stopIfTrue="1">
      <formula>IF($F1387="I",TRUE,FALSE)</formula>
    </cfRule>
  </conditionalFormatting>
  <conditionalFormatting sqref="B1388:D1388 F1388:G1388 I1388:P1388">
    <cfRule type="expression" dxfId="618" priority="584" stopIfTrue="1">
      <formula>IF($A1388&lt;&gt;"",IF(B1388="",TRUE,FALSE),FALSE)</formula>
    </cfRule>
  </conditionalFormatting>
  <conditionalFormatting sqref="M1388">
    <cfRule type="expression" dxfId="617" priority="583" stopIfTrue="1">
      <formula>IF($F1388="I",TRUE,FALSE)</formula>
    </cfRule>
  </conditionalFormatting>
  <conditionalFormatting sqref="B1389:D1389 F1389:G1389 I1389:P1389">
    <cfRule type="expression" dxfId="616" priority="582" stopIfTrue="1">
      <formula>IF($A1389&lt;&gt;"",IF(B1389="",TRUE,FALSE),FALSE)</formula>
    </cfRule>
  </conditionalFormatting>
  <conditionalFormatting sqref="M1389">
    <cfRule type="expression" dxfId="615" priority="581" stopIfTrue="1">
      <formula>IF($F1389="I",TRUE,FALSE)</formula>
    </cfRule>
  </conditionalFormatting>
  <conditionalFormatting sqref="B1390:D1390 F1390:G1390 I1390:P1390">
    <cfRule type="expression" dxfId="614" priority="580" stopIfTrue="1">
      <formula>IF($A1390&lt;&gt;"",IF(B1390="",TRUE,FALSE),FALSE)</formula>
    </cfRule>
  </conditionalFormatting>
  <conditionalFormatting sqref="M1390">
    <cfRule type="expression" dxfId="613" priority="579" stopIfTrue="1">
      <formula>IF($F1390="I",TRUE,FALSE)</formula>
    </cfRule>
  </conditionalFormatting>
  <conditionalFormatting sqref="B1391:D1391 F1391:G1391 I1391:P1391">
    <cfRule type="expression" dxfId="612" priority="578" stopIfTrue="1">
      <formula>IF($A1391&lt;&gt;"",IF(B1391="",TRUE,FALSE),FALSE)</formula>
    </cfRule>
  </conditionalFormatting>
  <conditionalFormatting sqref="M1391">
    <cfRule type="expression" dxfId="611" priority="577" stopIfTrue="1">
      <formula>IF($F1391="I",TRUE,FALSE)</formula>
    </cfRule>
  </conditionalFormatting>
  <conditionalFormatting sqref="B1392:D1392 F1392:G1392 I1392:P1392">
    <cfRule type="expression" dxfId="610" priority="576" stopIfTrue="1">
      <formula>IF($A1392&lt;&gt;"",IF(B1392="",TRUE,FALSE),FALSE)</formula>
    </cfRule>
  </conditionalFormatting>
  <conditionalFormatting sqref="M1392">
    <cfRule type="expression" dxfId="609" priority="575" stopIfTrue="1">
      <formula>IF($F1392="I",TRUE,FALSE)</formula>
    </cfRule>
  </conditionalFormatting>
  <conditionalFormatting sqref="B1393:D1393 F1393:G1393 I1393:P1393">
    <cfRule type="expression" dxfId="608" priority="574" stopIfTrue="1">
      <formula>IF($A1393&lt;&gt;"",IF(B1393="",TRUE,FALSE),FALSE)</formula>
    </cfRule>
  </conditionalFormatting>
  <conditionalFormatting sqref="M1393">
    <cfRule type="expression" dxfId="607" priority="573" stopIfTrue="1">
      <formula>IF($F1393="I",TRUE,FALSE)</formula>
    </cfRule>
  </conditionalFormatting>
  <conditionalFormatting sqref="B1394:D1394 F1394:G1394 I1394:P1394">
    <cfRule type="expression" dxfId="606" priority="572" stopIfTrue="1">
      <formula>IF($A1394&lt;&gt;"",IF(B1394="",TRUE,FALSE),FALSE)</formula>
    </cfRule>
  </conditionalFormatting>
  <conditionalFormatting sqref="M1394">
    <cfRule type="expression" dxfId="605" priority="571" stopIfTrue="1">
      <formula>IF($F1394="I",TRUE,FALSE)</formula>
    </cfRule>
  </conditionalFormatting>
  <conditionalFormatting sqref="B1395:D1395 F1395:G1395 I1395:P1395">
    <cfRule type="expression" dxfId="604" priority="570" stopIfTrue="1">
      <formula>IF($A1395&lt;&gt;"",IF(B1395="",TRUE,FALSE),FALSE)</formula>
    </cfRule>
  </conditionalFormatting>
  <conditionalFormatting sqref="M1395">
    <cfRule type="expression" dxfId="603" priority="569" stopIfTrue="1">
      <formula>IF($F1395="I",TRUE,FALSE)</formula>
    </cfRule>
  </conditionalFormatting>
  <conditionalFormatting sqref="B1396:D1396 F1396:G1396 I1396:P1396">
    <cfRule type="expression" dxfId="602" priority="568" stopIfTrue="1">
      <formula>IF($A1396&lt;&gt;"",IF(B1396="",TRUE,FALSE),FALSE)</formula>
    </cfRule>
  </conditionalFormatting>
  <conditionalFormatting sqref="M1396">
    <cfRule type="expression" dxfId="601" priority="567" stopIfTrue="1">
      <formula>IF($F1396="I",TRUE,FALSE)</formula>
    </cfRule>
  </conditionalFormatting>
  <conditionalFormatting sqref="B1397:D1397 F1397:G1397 I1397:P1397">
    <cfRule type="expression" dxfId="600" priority="566" stopIfTrue="1">
      <formula>IF($A1397&lt;&gt;"",IF(B1397="",TRUE,FALSE),FALSE)</formula>
    </cfRule>
  </conditionalFormatting>
  <conditionalFormatting sqref="M1397">
    <cfRule type="expression" dxfId="599" priority="565" stopIfTrue="1">
      <formula>IF($F1397="I",TRUE,FALSE)</formula>
    </cfRule>
  </conditionalFormatting>
  <conditionalFormatting sqref="B1398:D1398 F1398:G1398 I1398:P1398">
    <cfRule type="expression" dxfId="598" priority="564" stopIfTrue="1">
      <formula>IF($A1398&lt;&gt;"",IF(B1398="",TRUE,FALSE),FALSE)</formula>
    </cfRule>
  </conditionalFormatting>
  <conditionalFormatting sqref="M1398">
    <cfRule type="expression" dxfId="597" priority="563" stopIfTrue="1">
      <formula>IF($F1398="I",TRUE,FALSE)</formula>
    </cfRule>
  </conditionalFormatting>
  <conditionalFormatting sqref="B1399:D1399 F1399:G1399 I1399:P1399">
    <cfRule type="expression" dxfId="596" priority="562" stopIfTrue="1">
      <formula>IF($A1399&lt;&gt;"",IF(B1399="",TRUE,FALSE),FALSE)</formula>
    </cfRule>
  </conditionalFormatting>
  <conditionalFormatting sqref="M1399">
    <cfRule type="expression" dxfId="595" priority="561" stopIfTrue="1">
      <formula>IF($F1399="I",TRUE,FALSE)</formula>
    </cfRule>
  </conditionalFormatting>
  <conditionalFormatting sqref="B1400:D1400 F1400:G1400 I1400:P1400">
    <cfRule type="expression" dxfId="594" priority="560" stopIfTrue="1">
      <formula>IF($A1400&lt;&gt;"",IF(B1400="",TRUE,FALSE),FALSE)</formula>
    </cfRule>
  </conditionalFormatting>
  <conditionalFormatting sqref="M1400">
    <cfRule type="expression" dxfId="593" priority="559" stopIfTrue="1">
      <formula>IF($F1400="I",TRUE,FALSE)</formula>
    </cfRule>
  </conditionalFormatting>
  <conditionalFormatting sqref="B1401:D1401 F1401:G1401 I1401:P1401">
    <cfRule type="expression" dxfId="592" priority="558" stopIfTrue="1">
      <formula>IF($A1401&lt;&gt;"",IF(B1401="",TRUE,FALSE),FALSE)</formula>
    </cfRule>
  </conditionalFormatting>
  <conditionalFormatting sqref="M1401">
    <cfRule type="expression" dxfId="591" priority="557" stopIfTrue="1">
      <formula>IF($F1401="I",TRUE,FALSE)</formula>
    </cfRule>
  </conditionalFormatting>
  <conditionalFormatting sqref="B1402:D1402 F1402:G1402 I1402:P1402">
    <cfRule type="expression" dxfId="590" priority="556" stopIfTrue="1">
      <formula>IF($A1402&lt;&gt;"",IF(B1402="",TRUE,FALSE),FALSE)</formula>
    </cfRule>
  </conditionalFormatting>
  <conditionalFormatting sqref="M1402">
    <cfRule type="expression" dxfId="589" priority="555" stopIfTrue="1">
      <formula>IF($F1402="I",TRUE,FALSE)</formula>
    </cfRule>
  </conditionalFormatting>
  <conditionalFormatting sqref="B1403:D1403 F1403:G1403 I1403:P1403">
    <cfRule type="expression" dxfId="588" priority="554" stopIfTrue="1">
      <formula>IF($A1403&lt;&gt;"",IF(B1403="",TRUE,FALSE),FALSE)</formula>
    </cfRule>
  </conditionalFormatting>
  <conditionalFormatting sqref="M1403">
    <cfRule type="expression" dxfId="587" priority="553" stopIfTrue="1">
      <formula>IF($F1403="I",TRUE,FALSE)</formula>
    </cfRule>
  </conditionalFormatting>
  <conditionalFormatting sqref="B1404:D1404 F1404:G1404 I1404:P1404">
    <cfRule type="expression" dxfId="586" priority="552" stopIfTrue="1">
      <formula>IF($A1404&lt;&gt;"",IF(B1404="",TRUE,FALSE),FALSE)</formula>
    </cfRule>
  </conditionalFormatting>
  <conditionalFormatting sqref="M1404">
    <cfRule type="expression" dxfId="585" priority="551" stopIfTrue="1">
      <formula>IF($F1404="I",TRUE,FALSE)</formula>
    </cfRule>
  </conditionalFormatting>
  <conditionalFormatting sqref="B1405:D1405 F1405:G1405 I1405:P1405">
    <cfRule type="expression" dxfId="584" priority="550" stopIfTrue="1">
      <formula>IF($A1405&lt;&gt;"",IF(B1405="",TRUE,FALSE),FALSE)</formula>
    </cfRule>
  </conditionalFormatting>
  <conditionalFormatting sqref="M1405">
    <cfRule type="expression" dxfId="583" priority="549" stopIfTrue="1">
      <formula>IF($F1405="I",TRUE,FALSE)</formula>
    </cfRule>
  </conditionalFormatting>
  <conditionalFormatting sqref="B1406:D1406 F1406:G1406 I1406:P1406">
    <cfRule type="expression" dxfId="582" priority="548" stopIfTrue="1">
      <formula>IF($A1406&lt;&gt;"",IF(B1406="",TRUE,FALSE),FALSE)</formula>
    </cfRule>
  </conditionalFormatting>
  <conditionalFormatting sqref="M1406">
    <cfRule type="expression" dxfId="581" priority="547" stopIfTrue="1">
      <formula>IF($F1406="I",TRUE,FALSE)</formula>
    </cfRule>
  </conditionalFormatting>
  <conditionalFormatting sqref="B1407:D1407 F1407:G1407 I1407:P1407">
    <cfRule type="expression" dxfId="580" priority="546" stopIfTrue="1">
      <formula>IF($A1407&lt;&gt;"",IF(B1407="",TRUE,FALSE),FALSE)</formula>
    </cfRule>
  </conditionalFormatting>
  <conditionalFormatting sqref="M1407">
    <cfRule type="expression" dxfId="579" priority="545" stopIfTrue="1">
      <formula>IF($F1407="I",TRUE,FALSE)</formula>
    </cfRule>
  </conditionalFormatting>
  <conditionalFormatting sqref="B1408:D1408 F1408:G1408 I1408:P1408">
    <cfRule type="expression" dxfId="578" priority="544" stopIfTrue="1">
      <formula>IF($A1408&lt;&gt;"",IF(B1408="",TRUE,FALSE),FALSE)</formula>
    </cfRule>
  </conditionalFormatting>
  <conditionalFormatting sqref="M1408">
    <cfRule type="expression" dxfId="577" priority="543" stopIfTrue="1">
      <formula>IF($F1408="I",TRUE,FALSE)</formula>
    </cfRule>
  </conditionalFormatting>
  <conditionalFormatting sqref="B1409:D1409 F1409:G1409 I1409:P1409">
    <cfRule type="expression" dxfId="576" priority="542" stopIfTrue="1">
      <formula>IF($A1409&lt;&gt;"",IF(B1409="",TRUE,FALSE),FALSE)</formula>
    </cfRule>
  </conditionalFormatting>
  <conditionalFormatting sqref="M1409">
    <cfRule type="expression" dxfId="575" priority="541" stopIfTrue="1">
      <formula>IF($F1409="I",TRUE,FALSE)</formula>
    </cfRule>
  </conditionalFormatting>
  <conditionalFormatting sqref="B1410:D1410 F1410:G1410 I1410:P1410">
    <cfRule type="expression" dxfId="574" priority="540" stopIfTrue="1">
      <formula>IF($A1410&lt;&gt;"",IF(B1410="",TRUE,FALSE),FALSE)</formula>
    </cfRule>
  </conditionalFormatting>
  <conditionalFormatting sqref="M1410">
    <cfRule type="expression" dxfId="573" priority="539" stopIfTrue="1">
      <formula>IF($F1410="I",TRUE,FALSE)</formula>
    </cfRule>
  </conditionalFormatting>
  <conditionalFormatting sqref="B1411:D1411 F1411:G1411 I1411:P1411">
    <cfRule type="expression" dxfId="572" priority="538" stopIfTrue="1">
      <formula>IF($A1411&lt;&gt;"",IF(B1411="",TRUE,FALSE),FALSE)</formula>
    </cfRule>
  </conditionalFormatting>
  <conditionalFormatting sqref="M1411">
    <cfRule type="expression" dxfId="571" priority="537" stopIfTrue="1">
      <formula>IF($F1411="I",TRUE,FALSE)</formula>
    </cfRule>
  </conditionalFormatting>
  <conditionalFormatting sqref="B1412:D1412 F1412:G1412 I1412:P1412">
    <cfRule type="expression" dxfId="570" priority="536" stopIfTrue="1">
      <formula>IF($A1412&lt;&gt;"",IF(B1412="",TRUE,FALSE),FALSE)</formula>
    </cfRule>
  </conditionalFormatting>
  <conditionalFormatting sqref="M1412">
    <cfRule type="expression" dxfId="569" priority="535" stopIfTrue="1">
      <formula>IF($F1412="I",TRUE,FALSE)</formula>
    </cfRule>
  </conditionalFormatting>
  <conditionalFormatting sqref="B1413:D1413 F1413:G1413 I1413:P1413">
    <cfRule type="expression" dxfId="568" priority="534" stopIfTrue="1">
      <formula>IF($A1413&lt;&gt;"",IF(B1413="",TRUE,FALSE),FALSE)</formula>
    </cfRule>
  </conditionalFormatting>
  <conditionalFormatting sqref="M1413">
    <cfRule type="expression" dxfId="567" priority="533" stopIfTrue="1">
      <formula>IF($F1413="I",TRUE,FALSE)</formula>
    </cfRule>
  </conditionalFormatting>
  <conditionalFormatting sqref="B1414:D1414 F1414:G1414 I1414:P1414">
    <cfRule type="expression" dxfId="566" priority="532" stopIfTrue="1">
      <formula>IF($A1414&lt;&gt;"",IF(B1414="",TRUE,FALSE),FALSE)</formula>
    </cfRule>
  </conditionalFormatting>
  <conditionalFormatting sqref="M1414">
    <cfRule type="expression" dxfId="565" priority="531" stopIfTrue="1">
      <formula>IF($F1414="I",TRUE,FALSE)</formula>
    </cfRule>
  </conditionalFormatting>
  <conditionalFormatting sqref="B1415:D1415 F1415:G1415 I1415:P1415">
    <cfRule type="expression" dxfId="564" priority="530" stopIfTrue="1">
      <formula>IF($A1415&lt;&gt;"",IF(B1415="",TRUE,FALSE),FALSE)</formula>
    </cfRule>
  </conditionalFormatting>
  <conditionalFormatting sqref="M1415">
    <cfRule type="expression" dxfId="563" priority="529" stopIfTrue="1">
      <formula>IF($F1415="I",TRUE,FALSE)</formula>
    </cfRule>
  </conditionalFormatting>
  <conditionalFormatting sqref="B1416:D1416 F1416:G1416 I1416:P1416">
    <cfRule type="expression" dxfId="562" priority="528" stopIfTrue="1">
      <formula>IF($A1416&lt;&gt;"",IF(B1416="",TRUE,FALSE),FALSE)</formula>
    </cfRule>
  </conditionalFormatting>
  <conditionalFormatting sqref="M1416">
    <cfRule type="expression" dxfId="561" priority="527" stopIfTrue="1">
      <formula>IF($F1416="I",TRUE,FALSE)</formula>
    </cfRule>
  </conditionalFormatting>
  <conditionalFormatting sqref="B1417:D1417 F1417:G1417 I1417:P1417">
    <cfRule type="expression" dxfId="560" priority="526" stopIfTrue="1">
      <formula>IF($A1417&lt;&gt;"",IF(B1417="",TRUE,FALSE),FALSE)</formula>
    </cfRule>
  </conditionalFormatting>
  <conditionalFormatting sqref="M1417">
    <cfRule type="expression" dxfId="559" priority="525" stopIfTrue="1">
      <formula>IF($F1417="I",TRUE,FALSE)</formula>
    </cfRule>
  </conditionalFormatting>
  <conditionalFormatting sqref="B1418:D1418 F1418:G1418 I1418:P1418">
    <cfRule type="expression" dxfId="558" priority="524" stopIfTrue="1">
      <formula>IF($A1418&lt;&gt;"",IF(B1418="",TRUE,FALSE),FALSE)</formula>
    </cfRule>
  </conditionalFormatting>
  <conditionalFormatting sqref="M1418">
    <cfRule type="expression" dxfId="557" priority="523" stopIfTrue="1">
      <formula>IF($F1418="I",TRUE,FALSE)</formula>
    </cfRule>
  </conditionalFormatting>
  <conditionalFormatting sqref="B1419:D1419 F1419:G1419 I1419:P1419">
    <cfRule type="expression" dxfId="556" priority="522" stopIfTrue="1">
      <formula>IF($A1419&lt;&gt;"",IF(B1419="",TRUE,FALSE),FALSE)</formula>
    </cfRule>
  </conditionalFormatting>
  <conditionalFormatting sqref="M1419">
    <cfRule type="expression" dxfId="555" priority="521" stopIfTrue="1">
      <formula>IF($F1419="I",TRUE,FALSE)</formula>
    </cfRule>
  </conditionalFormatting>
  <conditionalFormatting sqref="B1420:D1420 F1420:G1420 I1420:P1420">
    <cfRule type="expression" dxfId="554" priority="520" stopIfTrue="1">
      <formula>IF($A1420&lt;&gt;"",IF(B1420="",TRUE,FALSE),FALSE)</formula>
    </cfRule>
  </conditionalFormatting>
  <conditionalFormatting sqref="M1420">
    <cfRule type="expression" dxfId="553" priority="519" stopIfTrue="1">
      <formula>IF($F1420="I",TRUE,FALSE)</formula>
    </cfRule>
  </conditionalFormatting>
  <conditionalFormatting sqref="B1421:D1421 F1421:G1421 I1421:P1421">
    <cfRule type="expression" dxfId="552" priority="518" stopIfTrue="1">
      <formula>IF($A1421&lt;&gt;"",IF(B1421="",TRUE,FALSE),FALSE)</formula>
    </cfRule>
  </conditionalFormatting>
  <conditionalFormatting sqref="M1421">
    <cfRule type="expression" dxfId="551" priority="517" stopIfTrue="1">
      <formula>IF($F1421="I",TRUE,FALSE)</formula>
    </cfRule>
  </conditionalFormatting>
  <conditionalFormatting sqref="B1422:D1422 F1422:G1422 I1422:P1422">
    <cfRule type="expression" dxfId="550" priority="516" stopIfTrue="1">
      <formula>IF($A1422&lt;&gt;"",IF(B1422="",TRUE,FALSE),FALSE)</formula>
    </cfRule>
  </conditionalFormatting>
  <conditionalFormatting sqref="M1422">
    <cfRule type="expression" dxfId="549" priority="515" stopIfTrue="1">
      <formula>IF($F1422="I",TRUE,FALSE)</formula>
    </cfRule>
  </conditionalFormatting>
  <conditionalFormatting sqref="B1423:D1423 F1423:G1423 I1423:P1423">
    <cfRule type="expression" dxfId="548" priority="514" stopIfTrue="1">
      <formula>IF($A1423&lt;&gt;"",IF(B1423="",TRUE,FALSE),FALSE)</formula>
    </cfRule>
  </conditionalFormatting>
  <conditionalFormatting sqref="M1423">
    <cfRule type="expression" dxfId="547" priority="513" stopIfTrue="1">
      <formula>IF($F1423="I",TRUE,FALSE)</formula>
    </cfRule>
  </conditionalFormatting>
  <conditionalFormatting sqref="B1424:D1424 F1424:G1424 I1424:P1424">
    <cfRule type="expression" dxfId="546" priority="512" stopIfTrue="1">
      <formula>IF($A1424&lt;&gt;"",IF(B1424="",TRUE,FALSE),FALSE)</formula>
    </cfRule>
  </conditionalFormatting>
  <conditionalFormatting sqref="M1424">
    <cfRule type="expression" dxfId="545" priority="511" stopIfTrue="1">
      <formula>IF($F1424="I",TRUE,FALSE)</formula>
    </cfRule>
  </conditionalFormatting>
  <conditionalFormatting sqref="B1425:D1425 F1425:G1425 I1425:P1425">
    <cfRule type="expression" dxfId="544" priority="510" stopIfTrue="1">
      <formula>IF($A1425&lt;&gt;"",IF(B1425="",TRUE,FALSE),FALSE)</formula>
    </cfRule>
  </conditionalFormatting>
  <conditionalFormatting sqref="M1425">
    <cfRule type="expression" dxfId="543" priority="509" stopIfTrue="1">
      <formula>IF($F1425="I",TRUE,FALSE)</formula>
    </cfRule>
  </conditionalFormatting>
  <conditionalFormatting sqref="B1426:D1426 F1426:G1426 I1426:P1426">
    <cfRule type="expression" dxfId="542" priority="508" stopIfTrue="1">
      <formula>IF($A1426&lt;&gt;"",IF(B1426="",TRUE,FALSE),FALSE)</formula>
    </cfRule>
  </conditionalFormatting>
  <conditionalFormatting sqref="M1426">
    <cfRule type="expression" dxfId="541" priority="507" stopIfTrue="1">
      <formula>IF($F1426="I",TRUE,FALSE)</formula>
    </cfRule>
  </conditionalFormatting>
  <conditionalFormatting sqref="B1427:D1427 F1427:G1427 I1427:P1427">
    <cfRule type="expression" dxfId="540" priority="506" stopIfTrue="1">
      <formula>IF($A1427&lt;&gt;"",IF(B1427="",TRUE,FALSE),FALSE)</formula>
    </cfRule>
  </conditionalFormatting>
  <conditionalFormatting sqref="M1427">
    <cfRule type="expression" dxfId="539" priority="505" stopIfTrue="1">
      <formula>IF($F1427="I",TRUE,FALSE)</formula>
    </cfRule>
  </conditionalFormatting>
  <conditionalFormatting sqref="B1428:D1428 F1428:G1428 I1428:P1428">
    <cfRule type="expression" dxfId="538" priority="504" stopIfTrue="1">
      <formula>IF($A1428&lt;&gt;"",IF(B1428="",TRUE,FALSE),FALSE)</formula>
    </cfRule>
  </conditionalFormatting>
  <conditionalFormatting sqref="M1428">
    <cfRule type="expression" dxfId="537" priority="503" stopIfTrue="1">
      <formula>IF($F1428="I",TRUE,FALSE)</formula>
    </cfRule>
  </conditionalFormatting>
  <conditionalFormatting sqref="B1429:D1429 F1429:G1429 I1429:P1429">
    <cfRule type="expression" dxfId="536" priority="502" stopIfTrue="1">
      <formula>IF($A1429&lt;&gt;"",IF(B1429="",TRUE,FALSE),FALSE)</formula>
    </cfRule>
  </conditionalFormatting>
  <conditionalFormatting sqref="M1429">
    <cfRule type="expression" dxfId="535" priority="501" stopIfTrue="1">
      <formula>IF($F1429="I",TRUE,FALSE)</formula>
    </cfRule>
  </conditionalFormatting>
  <conditionalFormatting sqref="B1430:D1430 F1430:G1430 I1430:P1430">
    <cfRule type="expression" dxfId="534" priority="500" stopIfTrue="1">
      <formula>IF($A1430&lt;&gt;"",IF(B1430="",TRUE,FALSE),FALSE)</formula>
    </cfRule>
  </conditionalFormatting>
  <conditionalFormatting sqref="M1430">
    <cfRule type="expression" dxfId="533" priority="499" stopIfTrue="1">
      <formula>IF($F1430="I",TRUE,FALSE)</formula>
    </cfRule>
  </conditionalFormatting>
  <conditionalFormatting sqref="B1431:D1431 F1431:G1431 I1431:P1431">
    <cfRule type="expression" dxfId="532" priority="498" stopIfTrue="1">
      <formula>IF($A1431&lt;&gt;"",IF(B1431="",TRUE,FALSE),FALSE)</formula>
    </cfRule>
  </conditionalFormatting>
  <conditionalFormatting sqref="M1431">
    <cfRule type="expression" dxfId="531" priority="497" stopIfTrue="1">
      <formula>IF($F1431="I",TRUE,FALSE)</formula>
    </cfRule>
  </conditionalFormatting>
  <conditionalFormatting sqref="B1432:D1432 F1432:G1432 I1432:P1432">
    <cfRule type="expression" dxfId="530" priority="496" stopIfTrue="1">
      <formula>IF($A1432&lt;&gt;"",IF(B1432="",TRUE,FALSE),FALSE)</formula>
    </cfRule>
  </conditionalFormatting>
  <conditionalFormatting sqref="M1432">
    <cfRule type="expression" dxfId="529" priority="495" stopIfTrue="1">
      <formula>IF($F1432="I",TRUE,FALSE)</formula>
    </cfRule>
  </conditionalFormatting>
  <conditionalFormatting sqref="B1433:D1433 F1433:G1433 I1433:P1433">
    <cfRule type="expression" dxfId="528" priority="494" stopIfTrue="1">
      <formula>IF($A1433&lt;&gt;"",IF(B1433="",TRUE,FALSE),FALSE)</formula>
    </cfRule>
  </conditionalFormatting>
  <conditionalFormatting sqref="M1433">
    <cfRule type="expression" dxfId="527" priority="493" stopIfTrue="1">
      <formula>IF($F1433="I",TRUE,FALSE)</formula>
    </cfRule>
  </conditionalFormatting>
  <conditionalFormatting sqref="B1434:D1434 F1434:G1434 I1434:P1434">
    <cfRule type="expression" dxfId="526" priority="492" stopIfTrue="1">
      <formula>IF($A1434&lt;&gt;"",IF(B1434="",TRUE,FALSE),FALSE)</formula>
    </cfRule>
  </conditionalFormatting>
  <conditionalFormatting sqref="M1434">
    <cfRule type="expression" dxfId="525" priority="491" stopIfTrue="1">
      <formula>IF($F1434="I",TRUE,FALSE)</formula>
    </cfRule>
  </conditionalFormatting>
  <conditionalFormatting sqref="B1435:D1435 F1435:G1435 I1435:P1435">
    <cfRule type="expression" dxfId="524" priority="490" stopIfTrue="1">
      <formula>IF($A1435&lt;&gt;"",IF(B1435="",TRUE,FALSE),FALSE)</formula>
    </cfRule>
  </conditionalFormatting>
  <conditionalFormatting sqref="M1435">
    <cfRule type="expression" dxfId="523" priority="489" stopIfTrue="1">
      <formula>IF($F1435="I",TRUE,FALSE)</formula>
    </cfRule>
  </conditionalFormatting>
  <conditionalFormatting sqref="B1436:D1436 F1436:G1436 I1436:P1436">
    <cfRule type="expression" dxfId="522" priority="488" stopIfTrue="1">
      <formula>IF($A1436&lt;&gt;"",IF(B1436="",TRUE,FALSE),FALSE)</formula>
    </cfRule>
  </conditionalFormatting>
  <conditionalFormatting sqref="M1436">
    <cfRule type="expression" dxfId="521" priority="487" stopIfTrue="1">
      <formula>IF($F1436="I",TRUE,FALSE)</formula>
    </cfRule>
  </conditionalFormatting>
  <conditionalFormatting sqref="B1437:D1437 F1437:G1437 I1437:P1437">
    <cfRule type="expression" dxfId="520" priority="486" stopIfTrue="1">
      <formula>IF($A1437&lt;&gt;"",IF(B1437="",TRUE,FALSE),FALSE)</formula>
    </cfRule>
  </conditionalFormatting>
  <conditionalFormatting sqref="M1437">
    <cfRule type="expression" dxfId="519" priority="485" stopIfTrue="1">
      <formula>IF($F1437="I",TRUE,FALSE)</formula>
    </cfRule>
  </conditionalFormatting>
  <conditionalFormatting sqref="B1438:D1438 F1438:G1438 I1438:P1438">
    <cfRule type="expression" dxfId="518" priority="484" stopIfTrue="1">
      <formula>IF($A1438&lt;&gt;"",IF(B1438="",TRUE,FALSE),FALSE)</formula>
    </cfRule>
  </conditionalFormatting>
  <conditionalFormatting sqref="M1438">
    <cfRule type="expression" dxfId="517" priority="483" stopIfTrue="1">
      <formula>IF($F1438="I",TRUE,FALSE)</formula>
    </cfRule>
  </conditionalFormatting>
  <conditionalFormatting sqref="B1439:D1439 F1439:G1439 I1439:P1439">
    <cfRule type="expression" dxfId="516" priority="482" stopIfTrue="1">
      <formula>IF($A1439&lt;&gt;"",IF(B1439="",TRUE,FALSE),FALSE)</formula>
    </cfRule>
  </conditionalFormatting>
  <conditionalFormatting sqref="M1439">
    <cfRule type="expression" dxfId="515" priority="481" stopIfTrue="1">
      <formula>IF($F1439="I",TRUE,FALSE)</formula>
    </cfRule>
  </conditionalFormatting>
  <conditionalFormatting sqref="B1440:D1440 F1440:G1440 I1440:P1440">
    <cfRule type="expression" dxfId="514" priority="480" stopIfTrue="1">
      <formula>IF($A1440&lt;&gt;"",IF(B1440="",TRUE,FALSE),FALSE)</formula>
    </cfRule>
  </conditionalFormatting>
  <conditionalFormatting sqref="M1440">
    <cfRule type="expression" dxfId="513" priority="479" stopIfTrue="1">
      <formula>IF($F1440="I",TRUE,FALSE)</formula>
    </cfRule>
  </conditionalFormatting>
  <conditionalFormatting sqref="B1441:D1441 F1441:G1441 I1441:P1441">
    <cfRule type="expression" dxfId="512" priority="478" stopIfTrue="1">
      <formula>IF($A1441&lt;&gt;"",IF(B1441="",TRUE,FALSE),FALSE)</formula>
    </cfRule>
  </conditionalFormatting>
  <conditionalFormatting sqref="M1441">
    <cfRule type="expression" dxfId="511" priority="477" stopIfTrue="1">
      <formula>IF($F1441="I",TRUE,FALSE)</formula>
    </cfRule>
  </conditionalFormatting>
  <conditionalFormatting sqref="B1442:D1442 F1442:G1442 I1442:P1442">
    <cfRule type="expression" dxfId="510" priority="476" stopIfTrue="1">
      <formula>IF($A1442&lt;&gt;"",IF(B1442="",TRUE,FALSE),FALSE)</formula>
    </cfRule>
  </conditionalFormatting>
  <conditionalFormatting sqref="M1442">
    <cfRule type="expression" dxfId="509" priority="475" stopIfTrue="1">
      <formula>IF($F1442="I",TRUE,FALSE)</formula>
    </cfRule>
  </conditionalFormatting>
  <conditionalFormatting sqref="B1443:D1443 F1443:G1443 I1443:P1443">
    <cfRule type="expression" dxfId="508" priority="474" stopIfTrue="1">
      <formula>IF($A1443&lt;&gt;"",IF(B1443="",TRUE,FALSE),FALSE)</formula>
    </cfRule>
  </conditionalFormatting>
  <conditionalFormatting sqref="M1443">
    <cfRule type="expression" dxfId="507" priority="473" stopIfTrue="1">
      <formula>IF($F1443="I",TRUE,FALSE)</formula>
    </cfRule>
  </conditionalFormatting>
  <conditionalFormatting sqref="B1444:D1444 F1444:G1444 I1444:P1444">
    <cfRule type="expression" dxfId="506" priority="472" stopIfTrue="1">
      <formula>IF($A1444&lt;&gt;"",IF(B1444="",TRUE,FALSE),FALSE)</formula>
    </cfRule>
  </conditionalFormatting>
  <conditionalFormatting sqref="M1444">
    <cfRule type="expression" dxfId="505" priority="471" stopIfTrue="1">
      <formula>IF($F1444="I",TRUE,FALSE)</formula>
    </cfRule>
  </conditionalFormatting>
  <conditionalFormatting sqref="B1445:D1445 F1445:G1445 I1445:P1445">
    <cfRule type="expression" dxfId="504" priority="470" stopIfTrue="1">
      <formula>IF($A1445&lt;&gt;"",IF(B1445="",TRUE,FALSE),FALSE)</formula>
    </cfRule>
  </conditionalFormatting>
  <conditionalFormatting sqref="M1445">
    <cfRule type="expression" dxfId="503" priority="469" stopIfTrue="1">
      <formula>IF($F1445="I",TRUE,FALSE)</formula>
    </cfRule>
  </conditionalFormatting>
  <conditionalFormatting sqref="B1446:D1446 F1446:G1446 I1446:P1446">
    <cfRule type="expression" dxfId="502" priority="468" stopIfTrue="1">
      <formula>IF($A1446&lt;&gt;"",IF(B1446="",TRUE,FALSE),FALSE)</formula>
    </cfRule>
  </conditionalFormatting>
  <conditionalFormatting sqref="M1446">
    <cfRule type="expression" dxfId="501" priority="467" stopIfTrue="1">
      <formula>IF($F1446="I",TRUE,FALSE)</formula>
    </cfRule>
  </conditionalFormatting>
  <conditionalFormatting sqref="B1447:D1447 F1447:G1447 I1447:P1447">
    <cfRule type="expression" dxfId="500" priority="466" stopIfTrue="1">
      <formula>IF($A1447&lt;&gt;"",IF(B1447="",TRUE,FALSE),FALSE)</formula>
    </cfRule>
  </conditionalFormatting>
  <conditionalFormatting sqref="M1447">
    <cfRule type="expression" dxfId="499" priority="465" stopIfTrue="1">
      <formula>IF($F1447="I",TRUE,FALSE)</formula>
    </cfRule>
  </conditionalFormatting>
  <conditionalFormatting sqref="B1448:D1448 F1448:G1448 I1448:P1448">
    <cfRule type="expression" dxfId="498" priority="464" stopIfTrue="1">
      <formula>IF($A1448&lt;&gt;"",IF(B1448="",TRUE,FALSE),FALSE)</formula>
    </cfRule>
  </conditionalFormatting>
  <conditionalFormatting sqref="M1448">
    <cfRule type="expression" dxfId="497" priority="463" stopIfTrue="1">
      <formula>IF($F1448="I",TRUE,FALSE)</formula>
    </cfRule>
  </conditionalFormatting>
  <conditionalFormatting sqref="B1449:D1449 F1449:G1449 I1449:P1449">
    <cfRule type="expression" dxfId="496" priority="462" stopIfTrue="1">
      <formula>IF($A1449&lt;&gt;"",IF(B1449="",TRUE,FALSE),FALSE)</formula>
    </cfRule>
  </conditionalFormatting>
  <conditionalFormatting sqref="M1449">
    <cfRule type="expression" dxfId="495" priority="461" stopIfTrue="1">
      <formula>IF($F1449="I",TRUE,FALSE)</formula>
    </cfRule>
  </conditionalFormatting>
  <conditionalFormatting sqref="B1450:D1450 F1450:G1450 I1450:P1450">
    <cfRule type="expression" dxfId="494" priority="460" stopIfTrue="1">
      <formula>IF($A1450&lt;&gt;"",IF(B1450="",TRUE,FALSE),FALSE)</formula>
    </cfRule>
  </conditionalFormatting>
  <conditionalFormatting sqref="M1450">
    <cfRule type="expression" dxfId="493" priority="459" stopIfTrue="1">
      <formula>IF($F1450="I",TRUE,FALSE)</formula>
    </cfRule>
  </conditionalFormatting>
  <conditionalFormatting sqref="B1451:D1451 F1451:G1451 I1451:P1451">
    <cfRule type="expression" dxfId="492" priority="458" stopIfTrue="1">
      <formula>IF($A1451&lt;&gt;"",IF(B1451="",TRUE,FALSE),FALSE)</formula>
    </cfRule>
  </conditionalFormatting>
  <conditionalFormatting sqref="M1451">
    <cfRule type="expression" dxfId="491" priority="457" stopIfTrue="1">
      <formula>IF($F1451="I",TRUE,FALSE)</formula>
    </cfRule>
  </conditionalFormatting>
  <conditionalFormatting sqref="B1452:D1452 F1452:G1452 I1452:P1452">
    <cfRule type="expression" dxfId="490" priority="456" stopIfTrue="1">
      <formula>IF($A1452&lt;&gt;"",IF(B1452="",TRUE,FALSE),FALSE)</formula>
    </cfRule>
  </conditionalFormatting>
  <conditionalFormatting sqref="M1452">
    <cfRule type="expression" dxfId="489" priority="455" stopIfTrue="1">
      <formula>IF($F1452="I",TRUE,FALSE)</formula>
    </cfRule>
  </conditionalFormatting>
  <conditionalFormatting sqref="B1453:D1453 F1453:G1453 I1453:P1453">
    <cfRule type="expression" dxfId="488" priority="454" stopIfTrue="1">
      <formula>IF($A1453&lt;&gt;"",IF(B1453="",TRUE,FALSE),FALSE)</formula>
    </cfRule>
  </conditionalFormatting>
  <conditionalFormatting sqref="M1453">
    <cfRule type="expression" dxfId="487" priority="453" stopIfTrue="1">
      <formula>IF($F1453="I",TRUE,FALSE)</formula>
    </cfRule>
  </conditionalFormatting>
  <conditionalFormatting sqref="B1454:D1454 F1454:G1454 I1454:P1454">
    <cfRule type="expression" dxfId="486" priority="452" stopIfTrue="1">
      <formula>IF($A1454&lt;&gt;"",IF(B1454="",TRUE,FALSE),FALSE)</formula>
    </cfRule>
  </conditionalFormatting>
  <conditionalFormatting sqref="M1454">
    <cfRule type="expression" dxfId="485" priority="451" stopIfTrue="1">
      <formula>IF($F1454="I",TRUE,FALSE)</formula>
    </cfRule>
  </conditionalFormatting>
  <conditionalFormatting sqref="B1455:D1455 F1455:G1455 I1455:P1455">
    <cfRule type="expression" dxfId="484" priority="450" stopIfTrue="1">
      <formula>IF($A1455&lt;&gt;"",IF(B1455="",TRUE,FALSE),FALSE)</formula>
    </cfRule>
  </conditionalFormatting>
  <conditionalFormatting sqref="M1455">
    <cfRule type="expression" dxfId="483" priority="449" stopIfTrue="1">
      <formula>IF($F1455="I",TRUE,FALSE)</formula>
    </cfRule>
  </conditionalFormatting>
  <conditionalFormatting sqref="B1456:D1456 F1456:G1456 I1456:P1456">
    <cfRule type="expression" dxfId="482" priority="448" stopIfTrue="1">
      <formula>IF($A1456&lt;&gt;"",IF(B1456="",TRUE,FALSE),FALSE)</formula>
    </cfRule>
  </conditionalFormatting>
  <conditionalFormatting sqref="M1456">
    <cfRule type="expression" dxfId="481" priority="447" stopIfTrue="1">
      <formula>IF($F1456="I",TRUE,FALSE)</formula>
    </cfRule>
  </conditionalFormatting>
  <conditionalFormatting sqref="B1457:D1457 F1457:G1457 I1457:P1457">
    <cfRule type="expression" dxfId="480" priority="446" stopIfTrue="1">
      <formula>IF($A1457&lt;&gt;"",IF(B1457="",TRUE,FALSE),FALSE)</formula>
    </cfRule>
  </conditionalFormatting>
  <conditionalFormatting sqref="M1457">
    <cfRule type="expression" dxfId="479" priority="445" stopIfTrue="1">
      <formula>IF($F1457="I",TRUE,FALSE)</formula>
    </cfRule>
  </conditionalFormatting>
  <conditionalFormatting sqref="B1458:D1458 F1458:G1458 I1458:P1458">
    <cfRule type="expression" dxfId="478" priority="444" stopIfTrue="1">
      <formula>IF($A1458&lt;&gt;"",IF(B1458="",TRUE,FALSE),FALSE)</formula>
    </cfRule>
  </conditionalFormatting>
  <conditionalFormatting sqref="M1458">
    <cfRule type="expression" dxfId="477" priority="443" stopIfTrue="1">
      <formula>IF($F1458="I",TRUE,FALSE)</formula>
    </cfRule>
  </conditionalFormatting>
  <conditionalFormatting sqref="B1459:D1459 F1459:G1459 I1459:P1459">
    <cfRule type="expression" dxfId="476" priority="442" stopIfTrue="1">
      <formula>IF($A1459&lt;&gt;"",IF(B1459="",TRUE,FALSE),FALSE)</formula>
    </cfRule>
  </conditionalFormatting>
  <conditionalFormatting sqref="M1459">
    <cfRule type="expression" dxfId="475" priority="441" stopIfTrue="1">
      <formula>IF($F1459="I",TRUE,FALSE)</formula>
    </cfRule>
  </conditionalFormatting>
  <conditionalFormatting sqref="B1460:D1460 F1460:G1460 I1460:P1460">
    <cfRule type="expression" dxfId="474" priority="440" stopIfTrue="1">
      <formula>IF($A1460&lt;&gt;"",IF(B1460="",TRUE,FALSE),FALSE)</formula>
    </cfRule>
  </conditionalFormatting>
  <conditionalFormatting sqref="M1460">
    <cfRule type="expression" dxfId="473" priority="439" stopIfTrue="1">
      <formula>IF($F1460="I",TRUE,FALSE)</formula>
    </cfRule>
  </conditionalFormatting>
  <conditionalFormatting sqref="B1461:D1461 F1461:G1461 I1461:P1461">
    <cfRule type="expression" dxfId="472" priority="438" stopIfTrue="1">
      <formula>IF($A1461&lt;&gt;"",IF(B1461="",TRUE,FALSE),FALSE)</formula>
    </cfRule>
  </conditionalFormatting>
  <conditionalFormatting sqref="M1461">
    <cfRule type="expression" dxfId="471" priority="437" stopIfTrue="1">
      <formula>IF($F1461="I",TRUE,FALSE)</formula>
    </cfRule>
  </conditionalFormatting>
  <conditionalFormatting sqref="B1462:D1462 F1462:G1462 I1462:P1462">
    <cfRule type="expression" dxfId="470" priority="436" stopIfTrue="1">
      <formula>IF($A1462&lt;&gt;"",IF(B1462="",TRUE,FALSE),FALSE)</formula>
    </cfRule>
  </conditionalFormatting>
  <conditionalFormatting sqref="M1462">
    <cfRule type="expression" dxfId="469" priority="435" stopIfTrue="1">
      <formula>IF($F1462="I",TRUE,FALSE)</formula>
    </cfRule>
  </conditionalFormatting>
  <conditionalFormatting sqref="B1463:D1463 F1463:G1463 I1463:P1463">
    <cfRule type="expression" dxfId="468" priority="434" stopIfTrue="1">
      <formula>IF($A1463&lt;&gt;"",IF(B1463="",TRUE,FALSE),FALSE)</formula>
    </cfRule>
  </conditionalFormatting>
  <conditionalFormatting sqref="M1463">
    <cfRule type="expression" dxfId="467" priority="433" stopIfTrue="1">
      <formula>IF($F1463="I",TRUE,FALSE)</formula>
    </cfRule>
  </conditionalFormatting>
  <conditionalFormatting sqref="B1464:D1464 F1464:G1464 I1464:P1464">
    <cfRule type="expression" dxfId="466" priority="432" stopIfTrue="1">
      <formula>IF($A1464&lt;&gt;"",IF(B1464="",TRUE,FALSE),FALSE)</formula>
    </cfRule>
  </conditionalFormatting>
  <conditionalFormatting sqref="M1464">
    <cfRule type="expression" dxfId="465" priority="431" stopIfTrue="1">
      <formula>IF($F1464="I",TRUE,FALSE)</formula>
    </cfRule>
  </conditionalFormatting>
  <conditionalFormatting sqref="B1465:D1465 F1465:G1465 I1465:P1465">
    <cfRule type="expression" dxfId="464" priority="430" stopIfTrue="1">
      <formula>IF($A1465&lt;&gt;"",IF(B1465="",TRUE,FALSE),FALSE)</formula>
    </cfRule>
  </conditionalFormatting>
  <conditionalFormatting sqref="M1465">
    <cfRule type="expression" dxfId="463" priority="429" stopIfTrue="1">
      <formula>IF($F1465="I",TRUE,FALSE)</formula>
    </cfRule>
  </conditionalFormatting>
  <conditionalFormatting sqref="B1466:D1466 F1466:G1466 I1466:P1466">
    <cfRule type="expression" dxfId="462" priority="428" stopIfTrue="1">
      <formula>IF($A1466&lt;&gt;"",IF(B1466="",TRUE,FALSE),FALSE)</formula>
    </cfRule>
  </conditionalFormatting>
  <conditionalFormatting sqref="M1466">
    <cfRule type="expression" dxfId="461" priority="427" stopIfTrue="1">
      <formula>IF($F1466="I",TRUE,FALSE)</formula>
    </cfRule>
  </conditionalFormatting>
  <conditionalFormatting sqref="B1467:D1467 F1467:G1467 I1467:P1467">
    <cfRule type="expression" dxfId="460" priority="426" stopIfTrue="1">
      <formula>IF($A1467&lt;&gt;"",IF(B1467="",TRUE,FALSE),FALSE)</formula>
    </cfRule>
  </conditionalFormatting>
  <conditionalFormatting sqref="M1467">
    <cfRule type="expression" dxfId="459" priority="425" stopIfTrue="1">
      <formula>IF($F1467="I",TRUE,FALSE)</formula>
    </cfRule>
  </conditionalFormatting>
  <conditionalFormatting sqref="B1468:D1468 F1468:G1468 I1468:P1468">
    <cfRule type="expression" dxfId="458" priority="424" stopIfTrue="1">
      <formula>IF($A1468&lt;&gt;"",IF(B1468="",TRUE,FALSE),FALSE)</formula>
    </cfRule>
  </conditionalFormatting>
  <conditionalFormatting sqref="M1468">
    <cfRule type="expression" dxfId="457" priority="423" stopIfTrue="1">
      <formula>IF($F1468="I",TRUE,FALSE)</formula>
    </cfRule>
  </conditionalFormatting>
  <conditionalFormatting sqref="B1469:D1469 F1469:G1469 I1469:P1469">
    <cfRule type="expression" dxfId="456" priority="422" stopIfTrue="1">
      <formula>IF($A1469&lt;&gt;"",IF(B1469="",TRUE,FALSE),FALSE)</formula>
    </cfRule>
  </conditionalFormatting>
  <conditionalFormatting sqref="M1469">
    <cfRule type="expression" dxfId="455" priority="421" stopIfTrue="1">
      <formula>IF($F1469="I",TRUE,FALSE)</formula>
    </cfRule>
  </conditionalFormatting>
  <conditionalFormatting sqref="B1470:D1470 F1470:G1470 I1470:P1470">
    <cfRule type="expression" dxfId="454" priority="420" stopIfTrue="1">
      <formula>IF($A1470&lt;&gt;"",IF(B1470="",TRUE,FALSE),FALSE)</formula>
    </cfRule>
  </conditionalFormatting>
  <conditionalFormatting sqref="M1470">
    <cfRule type="expression" dxfId="453" priority="419" stopIfTrue="1">
      <formula>IF($F1470="I",TRUE,FALSE)</formula>
    </cfRule>
  </conditionalFormatting>
  <conditionalFormatting sqref="B1471:D1471 F1471:G1471 I1471:P1471">
    <cfRule type="expression" dxfId="452" priority="418" stopIfTrue="1">
      <formula>IF($A1471&lt;&gt;"",IF(B1471="",TRUE,FALSE),FALSE)</formula>
    </cfRule>
  </conditionalFormatting>
  <conditionalFormatting sqref="M1471">
    <cfRule type="expression" dxfId="451" priority="417" stopIfTrue="1">
      <formula>IF($F1471="I",TRUE,FALSE)</formula>
    </cfRule>
  </conditionalFormatting>
  <conditionalFormatting sqref="B1472:D1472 F1472:G1472 I1472:P1472">
    <cfRule type="expression" dxfId="450" priority="416" stopIfTrue="1">
      <formula>IF($A1472&lt;&gt;"",IF(B1472="",TRUE,FALSE),FALSE)</formula>
    </cfRule>
  </conditionalFormatting>
  <conditionalFormatting sqref="M1472">
    <cfRule type="expression" dxfId="449" priority="415" stopIfTrue="1">
      <formula>IF($F1472="I",TRUE,FALSE)</formula>
    </cfRule>
  </conditionalFormatting>
  <conditionalFormatting sqref="B1473:D1473 F1473:G1473 I1473:P1473">
    <cfRule type="expression" dxfId="448" priority="414" stopIfTrue="1">
      <formula>IF($A1473&lt;&gt;"",IF(B1473="",TRUE,FALSE),FALSE)</formula>
    </cfRule>
  </conditionalFormatting>
  <conditionalFormatting sqref="M1473">
    <cfRule type="expression" dxfId="447" priority="413" stopIfTrue="1">
      <formula>IF($F1473="I",TRUE,FALSE)</formula>
    </cfRule>
  </conditionalFormatting>
  <conditionalFormatting sqref="B1474:D1474 F1474:G1474 I1474:P1474">
    <cfRule type="expression" dxfId="446" priority="412" stopIfTrue="1">
      <formula>IF($A1474&lt;&gt;"",IF(B1474="",TRUE,FALSE),FALSE)</formula>
    </cfRule>
  </conditionalFormatting>
  <conditionalFormatting sqref="M1474">
    <cfRule type="expression" dxfId="445" priority="411" stopIfTrue="1">
      <formula>IF($F1474="I",TRUE,FALSE)</formula>
    </cfRule>
  </conditionalFormatting>
  <conditionalFormatting sqref="B1475:D1475 F1475:G1475 I1475:P1475">
    <cfRule type="expression" dxfId="444" priority="410" stopIfTrue="1">
      <formula>IF($A1475&lt;&gt;"",IF(B1475="",TRUE,FALSE),FALSE)</formula>
    </cfRule>
  </conditionalFormatting>
  <conditionalFormatting sqref="M1475">
    <cfRule type="expression" dxfId="443" priority="409" stopIfTrue="1">
      <formula>IF($F1475="I",TRUE,FALSE)</formula>
    </cfRule>
  </conditionalFormatting>
  <conditionalFormatting sqref="B1476:D1476 F1476:G1476 I1476:P1476">
    <cfRule type="expression" dxfId="442" priority="408" stopIfTrue="1">
      <formula>IF($A1476&lt;&gt;"",IF(B1476="",TRUE,FALSE),FALSE)</formula>
    </cfRule>
  </conditionalFormatting>
  <conditionalFormatting sqref="M1476">
    <cfRule type="expression" dxfId="441" priority="407" stopIfTrue="1">
      <formula>IF($F1476="I",TRUE,FALSE)</formula>
    </cfRule>
  </conditionalFormatting>
  <conditionalFormatting sqref="B1477:D1477 F1477:G1477 I1477:P1477">
    <cfRule type="expression" dxfId="440" priority="406" stopIfTrue="1">
      <formula>IF($A1477&lt;&gt;"",IF(B1477="",TRUE,FALSE),FALSE)</formula>
    </cfRule>
  </conditionalFormatting>
  <conditionalFormatting sqref="M1477">
    <cfRule type="expression" dxfId="439" priority="405" stopIfTrue="1">
      <formula>IF($F1477="I",TRUE,FALSE)</formula>
    </cfRule>
  </conditionalFormatting>
  <conditionalFormatting sqref="B1478:D1478 F1478:G1478 I1478:P1478">
    <cfRule type="expression" dxfId="438" priority="404" stopIfTrue="1">
      <formula>IF($A1478&lt;&gt;"",IF(B1478="",TRUE,FALSE),FALSE)</formula>
    </cfRule>
  </conditionalFormatting>
  <conditionalFormatting sqref="M1478">
    <cfRule type="expression" dxfId="437" priority="403" stopIfTrue="1">
      <formula>IF($F1478="I",TRUE,FALSE)</formula>
    </cfRule>
  </conditionalFormatting>
  <conditionalFormatting sqref="B1479:D1479 F1479:G1479 I1479:P1479">
    <cfRule type="expression" dxfId="436" priority="402" stopIfTrue="1">
      <formula>IF($A1479&lt;&gt;"",IF(B1479="",TRUE,FALSE),FALSE)</formula>
    </cfRule>
  </conditionalFormatting>
  <conditionalFormatting sqref="M1479">
    <cfRule type="expression" dxfId="435" priority="401" stopIfTrue="1">
      <formula>IF($F1479="I",TRUE,FALSE)</formula>
    </cfRule>
  </conditionalFormatting>
  <conditionalFormatting sqref="B1480:D1480 F1480:G1480 I1480:P1480">
    <cfRule type="expression" dxfId="434" priority="400" stopIfTrue="1">
      <formula>IF($A1480&lt;&gt;"",IF(B1480="",TRUE,FALSE),FALSE)</formula>
    </cfRule>
  </conditionalFormatting>
  <conditionalFormatting sqref="M1480">
    <cfRule type="expression" dxfId="433" priority="399" stopIfTrue="1">
      <formula>IF($F1480="I",TRUE,FALSE)</formula>
    </cfRule>
  </conditionalFormatting>
  <conditionalFormatting sqref="B1481:D1481 F1481:G1481 I1481:P1481">
    <cfRule type="expression" dxfId="432" priority="398" stopIfTrue="1">
      <formula>IF($A1481&lt;&gt;"",IF(B1481="",TRUE,FALSE),FALSE)</formula>
    </cfRule>
  </conditionalFormatting>
  <conditionalFormatting sqref="M1481">
    <cfRule type="expression" dxfId="431" priority="397" stopIfTrue="1">
      <formula>IF($F1481="I",TRUE,FALSE)</formula>
    </cfRule>
  </conditionalFormatting>
  <conditionalFormatting sqref="B1482:D1482 F1482:G1482 I1482:P1482">
    <cfRule type="expression" dxfId="430" priority="396" stopIfTrue="1">
      <formula>IF($A1482&lt;&gt;"",IF(B1482="",TRUE,FALSE),FALSE)</formula>
    </cfRule>
  </conditionalFormatting>
  <conditionalFormatting sqref="M1482">
    <cfRule type="expression" dxfId="429" priority="395" stopIfTrue="1">
      <formula>IF($F1482="I",TRUE,FALSE)</formula>
    </cfRule>
  </conditionalFormatting>
  <conditionalFormatting sqref="B1483:D1483 F1483:G1483 I1483:P1483">
    <cfRule type="expression" dxfId="428" priority="394" stopIfTrue="1">
      <formula>IF($A1483&lt;&gt;"",IF(B1483="",TRUE,FALSE),FALSE)</formula>
    </cfRule>
  </conditionalFormatting>
  <conditionalFormatting sqref="M1483">
    <cfRule type="expression" dxfId="427" priority="393" stopIfTrue="1">
      <formula>IF($F1483="I",TRUE,FALSE)</formula>
    </cfRule>
  </conditionalFormatting>
  <conditionalFormatting sqref="B1484:D1484 F1484:G1484 I1484:P1484">
    <cfRule type="expression" dxfId="426" priority="392" stopIfTrue="1">
      <formula>IF($A1484&lt;&gt;"",IF(B1484="",TRUE,FALSE),FALSE)</formula>
    </cfRule>
  </conditionalFormatting>
  <conditionalFormatting sqref="M1484">
    <cfRule type="expression" dxfId="425" priority="391" stopIfTrue="1">
      <formula>IF($F1484="I",TRUE,FALSE)</formula>
    </cfRule>
  </conditionalFormatting>
  <conditionalFormatting sqref="B1485:D1485 F1485:G1485 I1485:P1485">
    <cfRule type="expression" dxfId="424" priority="390" stopIfTrue="1">
      <formula>IF($A1485&lt;&gt;"",IF(B1485="",TRUE,FALSE),FALSE)</formula>
    </cfRule>
  </conditionalFormatting>
  <conditionalFormatting sqref="M1485">
    <cfRule type="expression" dxfId="423" priority="389" stopIfTrue="1">
      <formula>IF($F1485="I",TRUE,FALSE)</formula>
    </cfRule>
  </conditionalFormatting>
  <conditionalFormatting sqref="B1486:D1486 F1486:G1486 I1486:P1486">
    <cfRule type="expression" dxfId="422" priority="388" stopIfTrue="1">
      <formula>IF($A1486&lt;&gt;"",IF(B1486="",TRUE,FALSE),FALSE)</formula>
    </cfRule>
  </conditionalFormatting>
  <conditionalFormatting sqref="M1486">
    <cfRule type="expression" dxfId="421" priority="387" stopIfTrue="1">
      <formula>IF($F1486="I",TRUE,FALSE)</formula>
    </cfRule>
  </conditionalFormatting>
  <conditionalFormatting sqref="B1487:D1487 F1487:G1487 I1487:P1487">
    <cfRule type="expression" dxfId="420" priority="386" stopIfTrue="1">
      <formula>IF($A1487&lt;&gt;"",IF(B1487="",TRUE,FALSE),FALSE)</formula>
    </cfRule>
  </conditionalFormatting>
  <conditionalFormatting sqref="M1487">
    <cfRule type="expression" dxfId="419" priority="385" stopIfTrue="1">
      <formula>IF($F1487="I",TRUE,FALSE)</formula>
    </cfRule>
  </conditionalFormatting>
  <conditionalFormatting sqref="B1488:D1488 F1488:G1488 I1488:P1488">
    <cfRule type="expression" dxfId="418" priority="384" stopIfTrue="1">
      <formula>IF($A1488&lt;&gt;"",IF(B1488="",TRUE,FALSE),FALSE)</formula>
    </cfRule>
  </conditionalFormatting>
  <conditionalFormatting sqref="M1488">
    <cfRule type="expression" dxfId="417" priority="383" stopIfTrue="1">
      <formula>IF($F1488="I",TRUE,FALSE)</formula>
    </cfRule>
  </conditionalFormatting>
  <conditionalFormatting sqref="B1489:D1489 F1489:G1489 I1489:P1489">
    <cfRule type="expression" dxfId="416" priority="382" stopIfTrue="1">
      <formula>IF($A1489&lt;&gt;"",IF(B1489="",TRUE,FALSE),FALSE)</formula>
    </cfRule>
  </conditionalFormatting>
  <conditionalFormatting sqref="M1489">
    <cfRule type="expression" dxfId="415" priority="381" stopIfTrue="1">
      <formula>IF($F1489="I",TRUE,FALSE)</formula>
    </cfRule>
  </conditionalFormatting>
  <conditionalFormatting sqref="B1490:D1490 F1490:G1490 I1490:P1490">
    <cfRule type="expression" dxfId="414" priority="380" stopIfTrue="1">
      <formula>IF($A1490&lt;&gt;"",IF(B1490="",TRUE,FALSE),FALSE)</formula>
    </cfRule>
  </conditionalFormatting>
  <conditionalFormatting sqref="M1490">
    <cfRule type="expression" dxfId="413" priority="379" stopIfTrue="1">
      <formula>IF($F1490="I",TRUE,FALSE)</formula>
    </cfRule>
  </conditionalFormatting>
  <conditionalFormatting sqref="B1491:D1491 F1491:G1491 I1491:P1491">
    <cfRule type="expression" dxfId="412" priority="378" stopIfTrue="1">
      <formula>IF($A1491&lt;&gt;"",IF(B1491="",TRUE,FALSE),FALSE)</formula>
    </cfRule>
  </conditionalFormatting>
  <conditionalFormatting sqref="M1491">
    <cfRule type="expression" dxfId="411" priority="377" stopIfTrue="1">
      <formula>IF($F1491="I",TRUE,FALSE)</formula>
    </cfRule>
  </conditionalFormatting>
  <conditionalFormatting sqref="B1492:D1492 F1492:G1492 I1492:P1492">
    <cfRule type="expression" dxfId="410" priority="376" stopIfTrue="1">
      <formula>IF($A1492&lt;&gt;"",IF(B1492="",TRUE,FALSE),FALSE)</formula>
    </cfRule>
  </conditionalFormatting>
  <conditionalFormatting sqref="M1492">
    <cfRule type="expression" dxfId="409" priority="375" stopIfTrue="1">
      <formula>IF($F1492="I",TRUE,FALSE)</formula>
    </cfRule>
  </conditionalFormatting>
  <conditionalFormatting sqref="B1493:D1493 F1493:G1493 I1493:P1493">
    <cfRule type="expression" dxfId="408" priority="374" stopIfTrue="1">
      <formula>IF($A1493&lt;&gt;"",IF(B1493="",TRUE,FALSE),FALSE)</formula>
    </cfRule>
  </conditionalFormatting>
  <conditionalFormatting sqref="M1493">
    <cfRule type="expression" dxfId="407" priority="373" stopIfTrue="1">
      <formula>IF($F1493="I",TRUE,FALSE)</formula>
    </cfRule>
  </conditionalFormatting>
  <conditionalFormatting sqref="B1494:D1494 F1494:G1494 I1494:P1494">
    <cfRule type="expression" dxfId="406" priority="372" stopIfTrue="1">
      <formula>IF($A1494&lt;&gt;"",IF(B1494="",TRUE,FALSE),FALSE)</formula>
    </cfRule>
  </conditionalFormatting>
  <conditionalFormatting sqref="M1494">
    <cfRule type="expression" dxfId="405" priority="371" stopIfTrue="1">
      <formula>IF($F1494="I",TRUE,FALSE)</formula>
    </cfRule>
  </conditionalFormatting>
  <conditionalFormatting sqref="B1495:D1495 F1495:G1495 I1495:P1495">
    <cfRule type="expression" dxfId="404" priority="370" stopIfTrue="1">
      <formula>IF($A1495&lt;&gt;"",IF(B1495="",TRUE,FALSE),FALSE)</formula>
    </cfRule>
  </conditionalFormatting>
  <conditionalFormatting sqref="M1495">
    <cfRule type="expression" dxfId="403" priority="369" stopIfTrue="1">
      <formula>IF($F1495="I",TRUE,FALSE)</formula>
    </cfRule>
  </conditionalFormatting>
  <conditionalFormatting sqref="B1496:D1496 F1496:G1496 I1496:P1496">
    <cfRule type="expression" dxfId="402" priority="368" stopIfTrue="1">
      <formula>IF($A1496&lt;&gt;"",IF(B1496="",TRUE,FALSE),FALSE)</formula>
    </cfRule>
  </conditionalFormatting>
  <conditionalFormatting sqref="M1496">
    <cfRule type="expression" dxfId="401" priority="367" stopIfTrue="1">
      <formula>IF($F1496="I",TRUE,FALSE)</formula>
    </cfRule>
  </conditionalFormatting>
  <conditionalFormatting sqref="B1497:D1497 F1497:G1497 I1497:P1497">
    <cfRule type="expression" dxfId="400" priority="366" stopIfTrue="1">
      <formula>IF($A1497&lt;&gt;"",IF(B1497="",TRUE,FALSE),FALSE)</formula>
    </cfRule>
  </conditionalFormatting>
  <conditionalFormatting sqref="M1497">
    <cfRule type="expression" dxfId="399" priority="365" stopIfTrue="1">
      <formula>IF($F1497="I",TRUE,FALSE)</formula>
    </cfRule>
  </conditionalFormatting>
  <conditionalFormatting sqref="B1498:D1498 F1498:G1498 I1498:P1498">
    <cfRule type="expression" dxfId="398" priority="364" stopIfTrue="1">
      <formula>IF($A1498&lt;&gt;"",IF(B1498="",TRUE,FALSE),FALSE)</formula>
    </cfRule>
  </conditionalFormatting>
  <conditionalFormatting sqref="M1498">
    <cfRule type="expression" dxfId="397" priority="363" stopIfTrue="1">
      <formula>IF($F1498="I",TRUE,FALSE)</formula>
    </cfRule>
  </conditionalFormatting>
  <conditionalFormatting sqref="B1499:D1499 F1499:G1499 I1499:P1499">
    <cfRule type="expression" dxfId="396" priority="362" stopIfTrue="1">
      <formula>IF($A1499&lt;&gt;"",IF(B1499="",TRUE,FALSE),FALSE)</formula>
    </cfRule>
  </conditionalFormatting>
  <conditionalFormatting sqref="M1499">
    <cfRule type="expression" dxfId="395" priority="361" stopIfTrue="1">
      <formula>IF($F1499="I",TRUE,FALSE)</formula>
    </cfRule>
  </conditionalFormatting>
  <conditionalFormatting sqref="B1500:D1500 F1500:G1500 I1500:P1500">
    <cfRule type="expression" dxfId="394" priority="360" stopIfTrue="1">
      <formula>IF($A1500&lt;&gt;"",IF(B1500="",TRUE,FALSE),FALSE)</formula>
    </cfRule>
  </conditionalFormatting>
  <conditionalFormatting sqref="M1500">
    <cfRule type="expression" dxfId="393" priority="359" stopIfTrue="1">
      <formula>IF($F1500="I",TRUE,FALSE)</formula>
    </cfRule>
  </conditionalFormatting>
  <conditionalFormatting sqref="B1501:D1501 F1501:G1501 I1501:P1501">
    <cfRule type="expression" dxfId="392" priority="358" stopIfTrue="1">
      <formula>IF($A1501&lt;&gt;"",IF(B1501="",TRUE,FALSE),FALSE)</formula>
    </cfRule>
  </conditionalFormatting>
  <conditionalFormatting sqref="M1501">
    <cfRule type="expression" dxfId="391" priority="357" stopIfTrue="1">
      <formula>IF($F1501="I",TRUE,FALSE)</formula>
    </cfRule>
  </conditionalFormatting>
  <conditionalFormatting sqref="B1502:D1502 F1502:G1502 I1502:P1502">
    <cfRule type="expression" dxfId="390" priority="356" stopIfTrue="1">
      <formula>IF($A1502&lt;&gt;"",IF(B1502="",TRUE,FALSE),FALSE)</formula>
    </cfRule>
  </conditionalFormatting>
  <conditionalFormatting sqref="M1502">
    <cfRule type="expression" dxfId="389" priority="355" stopIfTrue="1">
      <formula>IF($F1502="I",TRUE,FALSE)</formula>
    </cfRule>
  </conditionalFormatting>
  <conditionalFormatting sqref="B1503:D1503 F1503:G1503 I1503:P1503">
    <cfRule type="expression" dxfId="388" priority="354" stopIfTrue="1">
      <formula>IF($A1503&lt;&gt;"",IF(B1503="",TRUE,FALSE),FALSE)</formula>
    </cfRule>
  </conditionalFormatting>
  <conditionalFormatting sqref="M1503">
    <cfRule type="expression" dxfId="387" priority="353" stopIfTrue="1">
      <formula>IF($F1503="I",TRUE,FALSE)</formula>
    </cfRule>
  </conditionalFormatting>
  <conditionalFormatting sqref="B1504:D1504 F1504:G1504 I1504:P1504">
    <cfRule type="expression" dxfId="386" priority="352" stopIfTrue="1">
      <formula>IF($A1504&lt;&gt;"",IF(B1504="",TRUE,FALSE),FALSE)</formula>
    </cfRule>
  </conditionalFormatting>
  <conditionalFormatting sqref="M1504">
    <cfRule type="expression" dxfId="385" priority="351" stopIfTrue="1">
      <formula>IF($F1504="I",TRUE,FALSE)</formula>
    </cfRule>
  </conditionalFormatting>
  <conditionalFormatting sqref="B1505:D1505 F1505:G1505 I1505:P1505">
    <cfRule type="expression" dxfId="384" priority="350" stopIfTrue="1">
      <formula>IF($A1505&lt;&gt;"",IF(B1505="",TRUE,FALSE),FALSE)</formula>
    </cfRule>
  </conditionalFormatting>
  <conditionalFormatting sqref="M1505">
    <cfRule type="expression" dxfId="383" priority="349" stopIfTrue="1">
      <formula>IF($F1505="I",TRUE,FALSE)</formula>
    </cfRule>
  </conditionalFormatting>
  <conditionalFormatting sqref="B1506:D1506 F1506:G1506 I1506:P1506">
    <cfRule type="expression" dxfId="382" priority="348" stopIfTrue="1">
      <formula>IF($A1506&lt;&gt;"",IF(B1506="",TRUE,FALSE),FALSE)</formula>
    </cfRule>
  </conditionalFormatting>
  <conditionalFormatting sqref="M1506">
    <cfRule type="expression" dxfId="381" priority="347" stopIfTrue="1">
      <formula>IF($F1506="I",TRUE,FALSE)</formula>
    </cfRule>
  </conditionalFormatting>
  <conditionalFormatting sqref="B1507:D1507 F1507:G1507 I1507:P1507">
    <cfRule type="expression" dxfId="380" priority="346" stopIfTrue="1">
      <formula>IF($A1507&lt;&gt;"",IF(B1507="",TRUE,FALSE),FALSE)</formula>
    </cfRule>
  </conditionalFormatting>
  <conditionalFormatting sqref="M1507">
    <cfRule type="expression" dxfId="379" priority="345" stopIfTrue="1">
      <formula>IF($F1507="I",TRUE,FALSE)</formula>
    </cfRule>
  </conditionalFormatting>
  <conditionalFormatting sqref="B1508:D1508 F1508:G1508 I1508:P1508">
    <cfRule type="expression" dxfId="378" priority="344" stopIfTrue="1">
      <formula>IF($A1508&lt;&gt;"",IF(B1508="",TRUE,FALSE),FALSE)</formula>
    </cfRule>
  </conditionalFormatting>
  <conditionalFormatting sqref="M1508">
    <cfRule type="expression" dxfId="377" priority="343" stopIfTrue="1">
      <formula>IF($F1508="I",TRUE,FALSE)</formula>
    </cfRule>
  </conditionalFormatting>
  <conditionalFormatting sqref="B1509:D1509 F1509:G1509 I1509:P1509">
    <cfRule type="expression" dxfId="376" priority="342" stopIfTrue="1">
      <formula>IF($A1509&lt;&gt;"",IF(B1509="",TRUE,FALSE),FALSE)</formula>
    </cfRule>
  </conditionalFormatting>
  <conditionalFormatting sqref="M1509">
    <cfRule type="expression" dxfId="375" priority="341" stopIfTrue="1">
      <formula>IF($F1509="I",TRUE,FALSE)</formula>
    </cfRule>
  </conditionalFormatting>
  <conditionalFormatting sqref="B1510:D1510 F1510:G1510 I1510:P1510">
    <cfRule type="expression" dxfId="374" priority="340" stopIfTrue="1">
      <formula>IF($A1510&lt;&gt;"",IF(B1510="",TRUE,FALSE),FALSE)</formula>
    </cfRule>
  </conditionalFormatting>
  <conditionalFormatting sqref="M1510">
    <cfRule type="expression" dxfId="373" priority="339" stopIfTrue="1">
      <formula>IF($F1510="I",TRUE,FALSE)</formula>
    </cfRule>
  </conditionalFormatting>
  <conditionalFormatting sqref="B1511:D1511 F1511:G1511 I1511:P1511">
    <cfRule type="expression" dxfId="372" priority="338" stopIfTrue="1">
      <formula>IF($A1511&lt;&gt;"",IF(B1511="",TRUE,FALSE),FALSE)</formula>
    </cfRule>
  </conditionalFormatting>
  <conditionalFormatting sqref="M1511">
    <cfRule type="expression" dxfId="371" priority="337" stopIfTrue="1">
      <formula>IF($F1511="I",TRUE,FALSE)</formula>
    </cfRule>
  </conditionalFormatting>
  <conditionalFormatting sqref="B1512:D1512 F1512:G1512 I1512:P1512">
    <cfRule type="expression" dxfId="370" priority="336" stopIfTrue="1">
      <formula>IF($A1512&lt;&gt;"",IF(B1512="",TRUE,FALSE),FALSE)</formula>
    </cfRule>
  </conditionalFormatting>
  <conditionalFormatting sqref="M1512">
    <cfRule type="expression" dxfId="369" priority="335" stopIfTrue="1">
      <formula>IF($F1512="I",TRUE,FALSE)</formula>
    </cfRule>
  </conditionalFormatting>
  <conditionalFormatting sqref="B1513:D1513 F1513:G1513 I1513:P1513">
    <cfRule type="expression" dxfId="368" priority="334" stopIfTrue="1">
      <formula>IF($A1513&lt;&gt;"",IF(B1513="",TRUE,FALSE),FALSE)</formula>
    </cfRule>
  </conditionalFormatting>
  <conditionalFormatting sqref="M1513">
    <cfRule type="expression" dxfId="367" priority="333" stopIfTrue="1">
      <formula>IF($F1513="I",TRUE,FALSE)</formula>
    </cfRule>
  </conditionalFormatting>
  <conditionalFormatting sqref="B1514:D1514 F1514:G1514 I1514:P1514">
    <cfRule type="expression" dxfId="366" priority="332" stopIfTrue="1">
      <formula>IF($A1514&lt;&gt;"",IF(B1514="",TRUE,FALSE),FALSE)</formula>
    </cfRule>
  </conditionalFormatting>
  <conditionalFormatting sqref="M1514">
    <cfRule type="expression" dxfId="365" priority="331" stopIfTrue="1">
      <formula>IF($F1514="I",TRUE,FALSE)</formula>
    </cfRule>
  </conditionalFormatting>
  <conditionalFormatting sqref="B1515:D1515 F1515:G1515 I1515:P1515">
    <cfRule type="expression" dxfId="364" priority="330" stopIfTrue="1">
      <formula>IF($A1515&lt;&gt;"",IF(B1515="",TRUE,FALSE),FALSE)</formula>
    </cfRule>
  </conditionalFormatting>
  <conditionalFormatting sqref="M1515">
    <cfRule type="expression" dxfId="363" priority="329" stopIfTrue="1">
      <formula>IF($F1515="I",TRUE,FALSE)</formula>
    </cfRule>
  </conditionalFormatting>
  <conditionalFormatting sqref="B1516:D1516 F1516:G1516 I1516:P1516">
    <cfRule type="expression" dxfId="362" priority="328" stopIfTrue="1">
      <formula>IF($A1516&lt;&gt;"",IF(B1516="",TRUE,FALSE),FALSE)</formula>
    </cfRule>
  </conditionalFormatting>
  <conditionalFormatting sqref="M1516">
    <cfRule type="expression" dxfId="361" priority="327" stopIfTrue="1">
      <formula>IF($F1516="I",TRUE,FALSE)</formula>
    </cfRule>
  </conditionalFormatting>
  <conditionalFormatting sqref="B1517:D1517 F1517:G1517 I1517:P1517">
    <cfRule type="expression" dxfId="360" priority="326" stopIfTrue="1">
      <formula>IF($A1517&lt;&gt;"",IF(B1517="",TRUE,FALSE),FALSE)</formula>
    </cfRule>
  </conditionalFormatting>
  <conditionalFormatting sqref="M1517">
    <cfRule type="expression" dxfId="359" priority="325" stopIfTrue="1">
      <formula>IF($F1517="I",TRUE,FALSE)</formula>
    </cfRule>
  </conditionalFormatting>
  <conditionalFormatting sqref="B1518:D1518 F1518:G1518 I1518:P1518">
    <cfRule type="expression" dxfId="358" priority="324" stopIfTrue="1">
      <formula>IF($A1518&lt;&gt;"",IF(B1518="",TRUE,FALSE),FALSE)</formula>
    </cfRule>
  </conditionalFormatting>
  <conditionalFormatting sqref="M1518">
    <cfRule type="expression" dxfId="357" priority="323" stopIfTrue="1">
      <formula>IF($F1518="I",TRUE,FALSE)</formula>
    </cfRule>
  </conditionalFormatting>
  <conditionalFormatting sqref="B1519:D1519 F1519:G1519 I1519:P1519">
    <cfRule type="expression" dxfId="356" priority="322" stopIfTrue="1">
      <formula>IF($A1519&lt;&gt;"",IF(B1519="",TRUE,FALSE),FALSE)</formula>
    </cfRule>
  </conditionalFormatting>
  <conditionalFormatting sqref="M1519">
    <cfRule type="expression" dxfId="355" priority="321" stopIfTrue="1">
      <formula>IF($F1519="I",TRUE,FALSE)</formula>
    </cfRule>
  </conditionalFormatting>
  <conditionalFormatting sqref="B1520:D1520 F1520:G1520 I1520:P1520">
    <cfRule type="expression" dxfId="354" priority="320" stopIfTrue="1">
      <formula>IF($A1520&lt;&gt;"",IF(B1520="",TRUE,FALSE),FALSE)</formula>
    </cfRule>
  </conditionalFormatting>
  <conditionalFormatting sqref="M1520">
    <cfRule type="expression" dxfId="353" priority="319" stopIfTrue="1">
      <formula>IF($F1520="I",TRUE,FALSE)</formula>
    </cfRule>
  </conditionalFormatting>
  <conditionalFormatting sqref="B1521:D1521 F1521:G1521 I1521:P1521">
    <cfRule type="expression" dxfId="352" priority="318" stopIfTrue="1">
      <formula>IF($A1521&lt;&gt;"",IF(B1521="",TRUE,FALSE),FALSE)</formula>
    </cfRule>
  </conditionalFormatting>
  <conditionalFormatting sqref="M1521">
    <cfRule type="expression" dxfId="351" priority="317" stopIfTrue="1">
      <formula>IF($F1521="I",TRUE,FALSE)</formula>
    </cfRule>
  </conditionalFormatting>
  <conditionalFormatting sqref="B1522:D1522 F1522:G1522 I1522:P1522">
    <cfRule type="expression" dxfId="350" priority="316" stopIfTrue="1">
      <formula>IF($A1522&lt;&gt;"",IF(B1522="",TRUE,FALSE),FALSE)</formula>
    </cfRule>
  </conditionalFormatting>
  <conditionalFormatting sqref="M1522">
    <cfRule type="expression" dxfId="349" priority="315" stopIfTrue="1">
      <formula>IF($F1522="I",TRUE,FALSE)</formula>
    </cfRule>
  </conditionalFormatting>
  <conditionalFormatting sqref="B1523:D1523 F1523:G1523 I1523:P1523">
    <cfRule type="expression" dxfId="348" priority="314" stopIfTrue="1">
      <formula>IF($A1523&lt;&gt;"",IF(B1523="",TRUE,FALSE),FALSE)</formula>
    </cfRule>
  </conditionalFormatting>
  <conditionalFormatting sqref="M1523">
    <cfRule type="expression" dxfId="347" priority="313" stopIfTrue="1">
      <formula>IF($F1523="I",TRUE,FALSE)</formula>
    </cfRule>
  </conditionalFormatting>
  <conditionalFormatting sqref="B1524:D1524 F1524:G1524 I1524:P1524">
    <cfRule type="expression" dxfId="346" priority="312" stopIfTrue="1">
      <formula>IF($A1524&lt;&gt;"",IF(B1524="",TRUE,FALSE),FALSE)</formula>
    </cfRule>
  </conditionalFormatting>
  <conditionalFormatting sqref="M1524">
    <cfRule type="expression" dxfId="345" priority="311" stopIfTrue="1">
      <formula>IF($F1524="I",TRUE,FALSE)</formula>
    </cfRule>
  </conditionalFormatting>
  <conditionalFormatting sqref="B1525:D1525 F1525:G1525 I1525:P1525">
    <cfRule type="expression" dxfId="344" priority="310" stopIfTrue="1">
      <formula>IF($A1525&lt;&gt;"",IF(B1525="",TRUE,FALSE),FALSE)</formula>
    </cfRule>
  </conditionalFormatting>
  <conditionalFormatting sqref="M1525">
    <cfRule type="expression" dxfId="343" priority="309" stopIfTrue="1">
      <formula>IF($F1525="I",TRUE,FALSE)</formula>
    </cfRule>
  </conditionalFormatting>
  <conditionalFormatting sqref="B1526:D1526 F1526:G1526 I1526:P1526">
    <cfRule type="expression" dxfId="342" priority="308" stopIfTrue="1">
      <formula>IF($A1526&lt;&gt;"",IF(B1526="",TRUE,FALSE),FALSE)</formula>
    </cfRule>
  </conditionalFormatting>
  <conditionalFormatting sqref="M1526">
    <cfRule type="expression" dxfId="341" priority="307" stopIfTrue="1">
      <formula>IF($F1526="I",TRUE,FALSE)</formula>
    </cfRule>
  </conditionalFormatting>
  <conditionalFormatting sqref="B1527:D1527 F1527:G1527 I1527:P1527">
    <cfRule type="expression" dxfId="340" priority="306" stopIfTrue="1">
      <formula>IF($A1527&lt;&gt;"",IF(B1527="",TRUE,FALSE),FALSE)</formula>
    </cfRule>
  </conditionalFormatting>
  <conditionalFormatting sqref="M1527">
    <cfRule type="expression" dxfId="339" priority="305" stopIfTrue="1">
      <formula>IF($F1527="I",TRUE,FALSE)</formula>
    </cfRule>
  </conditionalFormatting>
  <conditionalFormatting sqref="B1528:D1528 F1528:G1528 I1528:P1528">
    <cfRule type="expression" dxfId="338" priority="304" stopIfTrue="1">
      <formula>IF($A1528&lt;&gt;"",IF(B1528="",TRUE,FALSE),FALSE)</formula>
    </cfRule>
  </conditionalFormatting>
  <conditionalFormatting sqref="M1528">
    <cfRule type="expression" dxfId="337" priority="303" stopIfTrue="1">
      <formula>IF($F1528="I",TRUE,FALSE)</formula>
    </cfRule>
  </conditionalFormatting>
  <conditionalFormatting sqref="B1529:D1529 F1529:G1529 I1529:P1529">
    <cfRule type="expression" dxfId="336" priority="302" stopIfTrue="1">
      <formula>IF($A1529&lt;&gt;"",IF(B1529="",TRUE,FALSE),FALSE)</formula>
    </cfRule>
  </conditionalFormatting>
  <conditionalFormatting sqref="M1529">
    <cfRule type="expression" dxfId="335" priority="301" stopIfTrue="1">
      <formula>IF($F1529="I",TRUE,FALSE)</formula>
    </cfRule>
  </conditionalFormatting>
  <conditionalFormatting sqref="B1530:D1530 F1530:G1530 I1530:P1530">
    <cfRule type="expression" dxfId="334" priority="300" stopIfTrue="1">
      <formula>IF($A1530&lt;&gt;"",IF(B1530="",TRUE,FALSE),FALSE)</formula>
    </cfRule>
  </conditionalFormatting>
  <conditionalFormatting sqref="M1530">
    <cfRule type="expression" dxfId="333" priority="299" stopIfTrue="1">
      <formula>IF($F1530="I",TRUE,FALSE)</formula>
    </cfRule>
  </conditionalFormatting>
  <conditionalFormatting sqref="B1531:D1531 F1531:G1531 I1531:P1531">
    <cfRule type="expression" dxfId="332" priority="298" stopIfTrue="1">
      <formula>IF($A1531&lt;&gt;"",IF(B1531="",TRUE,FALSE),FALSE)</formula>
    </cfRule>
  </conditionalFormatting>
  <conditionalFormatting sqref="M1531">
    <cfRule type="expression" dxfId="331" priority="297" stopIfTrue="1">
      <formula>IF($F1531="I",TRUE,FALSE)</formula>
    </cfRule>
  </conditionalFormatting>
  <conditionalFormatting sqref="B1532:D1532 F1532:G1532 I1532:P1532">
    <cfRule type="expression" dxfId="330" priority="296" stopIfTrue="1">
      <formula>IF($A1532&lt;&gt;"",IF(B1532="",TRUE,FALSE),FALSE)</formula>
    </cfRule>
  </conditionalFormatting>
  <conditionalFormatting sqref="M1532">
    <cfRule type="expression" dxfId="329" priority="295" stopIfTrue="1">
      <formula>IF($F1532="I",TRUE,FALSE)</formula>
    </cfRule>
  </conditionalFormatting>
  <conditionalFormatting sqref="B1533:D1533 F1533:G1533 I1533:P1533">
    <cfRule type="expression" dxfId="328" priority="294" stopIfTrue="1">
      <formula>IF($A1533&lt;&gt;"",IF(B1533="",TRUE,FALSE),FALSE)</formula>
    </cfRule>
  </conditionalFormatting>
  <conditionalFormatting sqref="M1533">
    <cfRule type="expression" dxfId="327" priority="293" stopIfTrue="1">
      <formula>IF($F1533="I",TRUE,FALSE)</formula>
    </cfRule>
  </conditionalFormatting>
  <conditionalFormatting sqref="B1534:D1534 F1534:G1534 I1534:P1534">
    <cfRule type="expression" dxfId="326" priority="292" stopIfTrue="1">
      <formula>IF($A1534&lt;&gt;"",IF(B1534="",TRUE,FALSE),FALSE)</formula>
    </cfRule>
  </conditionalFormatting>
  <conditionalFormatting sqref="M1534">
    <cfRule type="expression" dxfId="325" priority="291" stopIfTrue="1">
      <formula>IF($F1534="I",TRUE,FALSE)</formula>
    </cfRule>
  </conditionalFormatting>
  <conditionalFormatting sqref="B1535:D1535 F1535:G1535 I1535:P1535">
    <cfRule type="expression" dxfId="324" priority="290" stopIfTrue="1">
      <formula>IF($A1535&lt;&gt;"",IF(B1535="",TRUE,FALSE),FALSE)</formula>
    </cfRule>
  </conditionalFormatting>
  <conditionalFormatting sqref="M1535">
    <cfRule type="expression" dxfId="323" priority="289" stopIfTrue="1">
      <formula>IF($F1535="I",TRUE,FALSE)</formula>
    </cfRule>
  </conditionalFormatting>
  <conditionalFormatting sqref="B1536:D1536 F1536:G1536 I1536:P1536">
    <cfRule type="expression" dxfId="322" priority="288" stopIfTrue="1">
      <formula>IF($A1536&lt;&gt;"",IF(B1536="",TRUE,FALSE),FALSE)</formula>
    </cfRule>
  </conditionalFormatting>
  <conditionalFormatting sqref="M1536">
    <cfRule type="expression" dxfId="321" priority="287" stopIfTrue="1">
      <formula>IF($F1536="I",TRUE,FALSE)</formula>
    </cfRule>
  </conditionalFormatting>
  <conditionalFormatting sqref="B1537:D1537 F1537:G1537 I1537:P1537">
    <cfRule type="expression" dxfId="320" priority="286" stopIfTrue="1">
      <formula>IF($A1537&lt;&gt;"",IF(B1537="",TRUE,FALSE),FALSE)</formula>
    </cfRule>
  </conditionalFormatting>
  <conditionalFormatting sqref="M1537">
    <cfRule type="expression" dxfId="319" priority="285" stopIfTrue="1">
      <formula>IF($F1537="I",TRUE,FALSE)</formula>
    </cfRule>
  </conditionalFormatting>
  <conditionalFormatting sqref="B1538:D1538 F1538:G1538 I1538:P1538">
    <cfRule type="expression" dxfId="318" priority="284" stopIfTrue="1">
      <formula>IF($A1538&lt;&gt;"",IF(B1538="",TRUE,FALSE),FALSE)</formula>
    </cfRule>
  </conditionalFormatting>
  <conditionalFormatting sqref="M1538">
    <cfRule type="expression" dxfId="317" priority="283" stopIfTrue="1">
      <formula>IF($F1538="I",TRUE,FALSE)</formula>
    </cfRule>
  </conditionalFormatting>
  <conditionalFormatting sqref="B1539:D1539 F1539:G1539 I1539:P1539">
    <cfRule type="expression" dxfId="316" priority="282" stopIfTrue="1">
      <formula>IF($A1539&lt;&gt;"",IF(B1539="",TRUE,FALSE),FALSE)</formula>
    </cfRule>
  </conditionalFormatting>
  <conditionalFormatting sqref="M1539">
    <cfRule type="expression" dxfId="315" priority="281" stopIfTrue="1">
      <formula>IF($F1539="I",TRUE,FALSE)</formula>
    </cfRule>
  </conditionalFormatting>
  <conditionalFormatting sqref="B1540:D1540 F1540:G1540 I1540:P1540">
    <cfRule type="expression" dxfId="314" priority="280" stopIfTrue="1">
      <formula>IF($A1540&lt;&gt;"",IF(B1540="",TRUE,FALSE),FALSE)</formula>
    </cfRule>
  </conditionalFormatting>
  <conditionalFormatting sqref="M1540">
    <cfRule type="expression" dxfId="313" priority="279" stopIfTrue="1">
      <formula>IF($F1540="I",TRUE,FALSE)</formula>
    </cfRule>
  </conditionalFormatting>
  <conditionalFormatting sqref="B1541:D1541 F1541:G1541 I1541:P1541">
    <cfRule type="expression" dxfId="312" priority="278" stopIfTrue="1">
      <formula>IF($A1541&lt;&gt;"",IF(B1541="",TRUE,FALSE),FALSE)</formula>
    </cfRule>
  </conditionalFormatting>
  <conditionalFormatting sqref="M1541">
    <cfRule type="expression" dxfId="311" priority="277" stopIfTrue="1">
      <formula>IF($F1541="I",TRUE,FALSE)</formula>
    </cfRule>
  </conditionalFormatting>
  <conditionalFormatting sqref="B1542:D1542 F1542:G1542 I1542:P1542">
    <cfRule type="expression" dxfId="310" priority="276" stopIfTrue="1">
      <formula>IF($A1542&lt;&gt;"",IF(B1542="",TRUE,FALSE),FALSE)</formula>
    </cfRule>
  </conditionalFormatting>
  <conditionalFormatting sqref="M1542">
    <cfRule type="expression" dxfId="309" priority="275" stopIfTrue="1">
      <formula>IF($F1542="I",TRUE,FALSE)</formula>
    </cfRule>
  </conditionalFormatting>
  <conditionalFormatting sqref="B1543:D1543 F1543:G1543 I1543:P1543">
    <cfRule type="expression" dxfId="308" priority="274" stopIfTrue="1">
      <formula>IF($A1543&lt;&gt;"",IF(B1543="",TRUE,FALSE),FALSE)</formula>
    </cfRule>
  </conditionalFormatting>
  <conditionalFormatting sqref="M1543">
    <cfRule type="expression" dxfId="307" priority="273" stopIfTrue="1">
      <formula>IF($F1543="I",TRUE,FALSE)</formula>
    </cfRule>
  </conditionalFormatting>
  <conditionalFormatting sqref="B1544:D1544 F1544:G1544 I1544:P1544">
    <cfRule type="expression" dxfId="306" priority="272" stopIfTrue="1">
      <formula>IF($A1544&lt;&gt;"",IF(B1544="",TRUE,FALSE),FALSE)</formula>
    </cfRule>
  </conditionalFormatting>
  <conditionalFormatting sqref="M1544">
    <cfRule type="expression" dxfId="305" priority="271" stopIfTrue="1">
      <formula>IF($F1544="I",TRUE,FALSE)</formula>
    </cfRule>
  </conditionalFormatting>
  <conditionalFormatting sqref="B1545:D1545 F1545:G1545 I1545:P1545">
    <cfRule type="expression" dxfId="304" priority="270" stopIfTrue="1">
      <formula>IF($A1545&lt;&gt;"",IF(B1545="",TRUE,FALSE),FALSE)</formula>
    </cfRule>
  </conditionalFormatting>
  <conditionalFormatting sqref="M1545">
    <cfRule type="expression" dxfId="303" priority="269" stopIfTrue="1">
      <formula>IF($F1545="I",TRUE,FALSE)</formula>
    </cfRule>
  </conditionalFormatting>
  <conditionalFormatting sqref="B1546:D1546 F1546:G1546 I1546:P1546">
    <cfRule type="expression" dxfId="302" priority="268" stopIfTrue="1">
      <formula>IF($A1546&lt;&gt;"",IF(B1546="",TRUE,FALSE),FALSE)</formula>
    </cfRule>
  </conditionalFormatting>
  <conditionalFormatting sqref="M1546">
    <cfRule type="expression" dxfId="301" priority="267" stopIfTrue="1">
      <formula>IF($F1546="I",TRUE,FALSE)</formula>
    </cfRule>
  </conditionalFormatting>
  <conditionalFormatting sqref="B1547:D1547 F1547:G1547 I1547:P1547">
    <cfRule type="expression" dxfId="300" priority="266" stopIfTrue="1">
      <formula>IF($A1547&lt;&gt;"",IF(B1547="",TRUE,FALSE),FALSE)</formula>
    </cfRule>
  </conditionalFormatting>
  <conditionalFormatting sqref="M1547">
    <cfRule type="expression" dxfId="299" priority="265" stopIfTrue="1">
      <formula>IF($F1547="I",TRUE,FALSE)</formula>
    </cfRule>
  </conditionalFormatting>
  <conditionalFormatting sqref="B1548:D1548 F1548:G1548 I1548:P1548">
    <cfRule type="expression" dxfId="298" priority="264" stopIfTrue="1">
      <formula>IF($A1548&lt;&gt;"",IF(B1548="",TRUE,FALSE),FALSE)</formula>
    </cfRule>
  </conditionalFormatting>
  <conditionalFormatting sqref="M1548">
    <cfRule type="expression" dxfId="297" priority="263" stopIfTrue="1">
      <formula>IF($F1548="I",TRUE,FALSE)</formula>
    </cfRule>
  </conditionalFormatting>
  <conditionalFormatting sqref="B1549:D1549 F1549:G1549 I1549:P1549">
    <cfRule type="expression" dxfId="296" priority="262" stopIfTrue="1">
      <formula>IF($A1549&lt;&gt;"",IF(B1549="",TRUE,FALSE),FALSE)</formula>
    </cfRule>
  </conditionalFormatting>
  <conditionalFormatting sqref="M1549">
    <cfRule type="expression" dxfId="295" priority="261" stopIfTrue="1">
      <formula>IF($F1549="I",TRUE,FALSE)</formula>
    </cfRule>
  </conditionalFormatting>
  <conditionalFormatting sqref="B1550:D1550 F1550:G1550 I1550:P1550">
    <cfRule type="expression" dxfId="294" priority="260" stopIfTrue="1">
      <formula>IF($A1550&lt;&gt;"",IF(B1550="",TRUE,FALSE),FALSE)</formula>
    </cfRule>
  </conditionalFormatting>
  <conditionalFormatting sqref="M1550">
    <cfRule type="expression" dxfId="293" priority="259" stopIfTrue="1">
      <formula>IF($F1550="I",TRUE,FALSE)</formula>
    </cfRule>
  </conditionalFormatting>
  <conditionalFormatting sqref="B1551:D1551 F1551:G1551 I1551:P1551">
    <cfRule type="expression" dxfId="292" priority="258" stopIfTrue="1">
      <formula>IF($A1551&lt;&gt;"",IF(B1551="",TRUE,FALSE),FALSE)</formula>
    </cfRule>
  </conditionalFormatting>
  <conditionalFormatting sqref="M1551">
    <cfRule type="expression" dxfId="291" priority="257" stopIfTrue="1">
      <formula>IF($F1551="I",TRUE,FALSE)</formula>
    </cfRule>
  </conditionalFormatting>
  <conditionalFormatting sqref="B1552:D1552 F1552:G1552 I1552:P1552">
    <cfRule type="expression" dxfId="290" priority="256" stopIfTrue="1">
      <formula>IF($A1552&lt;&gt;"",IF(B1552="",TRUE,FALSE),FALSE)</formula>
    </cfRule>
  </conditionalFormatting>
  <conditionalFormatting sqref="M1552">
    <cfRule type="expression" dxfId="289" priority="255" stopIfTrue="1">
      <formula>IF($F1552="I",TRUE,FALSE)</formula>
    </cfRule>
  </conditionalFormatting>
  <conditionalFormatting sqref="B1553:D1553 F1553:G1553 I1553:P1553">
    <cfRule type="expression" dxfId="288" priority="254" stopIfTrue="1">
      <formula>IF($A1553&lt;&gt;"",IF(B1553="",TRUE,FALSE),FALSE)</formula>
    </cfRule>
  </conditionalFormatting>
  <conditionalFormatting sqref="M1553">
    <cfRule type="expression" dxfId="287" priority="253" stopIfTrue="1">
      <formula>IF($F1553="I",TRUE,FALSE)</formula>
    </cfRule>
  </conditionalFormatting>
  <conditionalFormatting sqref="B1554:D1554 F1554:G1554 I1554:P1554">
    <cfRule type="expression" dxfId="286" priority="252" stopIfTrue="1">
      <formula>IF($A1554&lt;&gt;"",IF(B1554="",TRUE,FALSE),FALSE)</formula>
    </cfRule>
  </conditionalFormatting>
  <conditionalFormatting sqref="M1554">
    <cfRule type="expression" dxfId="285" priority="251" stopIfTrue="1">
      <formula>IF($F1554="I",TRUE,FALSE)</formula>
    </cfRule>
  </conditionalFormatting>
  <conditionalFormatting sqref="B1555:D1555 F1555:G1555 I1555:P1555">
    <cfRule type="expression" dxfId="284" priority="250" stopIfTrue="1">
      <formula>IF($A1555&lt;&gt;"",IF(B1555="",TRUE,FALSE),FALSE)</formula>
    </cfRule>
  </conditionalFormatting>
  <conditionalFormatting sqref="M1555">
    <cfRule type="expression" dxfId="283" priority="249" stopIfTrue="1">
      <formula>IF($F1555="I",TRUE,FALSE)</formula>
    </cfRule>
  </conditionalFormatting>
  <conditionalFormatting sqref="B1556:D1556 F1556:G1556 I1556:P1556">
    <cfRule type="expression" dxfId="282" priority="248" stopIfTrue="1">
      <formula>IF($A1556&lt;&gt;"",IF(B1556="",TRUE,FALSE),FALSE)</formula>
    </cfRule>
  </conditionalFormatting>
  <conditionalFormatting sqref="M1556">
    <cfRule type="expression" dxfId="281" priority="247" stopIfTrue="1">
      <formula>IF($F1556="I",TRUE,FALSE)</formula>
    </cfRule>
  </conditionalFormatting>
  <conditionalFormatting sqref="B1557:D1557 F1557:G1557 I1557:P1557">
    <cfRule type="expression" dxfId="280" priority="246" stopIfTrue="1">
      <formula>IF($A1557&lt;&gt;"",IF(B1557="",TRUE,FALSE),FALSE)</formula>
    </cfRule>
  </conditionalFormatting>
  <conditionalFormatting sqref="M1557">
    <cfRule type="expression" dxfId="279" priority="245" stopIfTrue="1">
      <formula>IF($F1557="I",TRUE,FALSE)</formula>
    </cfRule>
  </conditionalFormatting>
  <conditionalFormatting sqref="B1558:D1558 F1558:G1558 I1558:P1558">
    <cfRule type="expression" dxfId="278" priority="244" stopIfTrue="1">
      <formula>IF($A1558&lt;&gt;"",IF(B1558="",TRUE,FALSE),FALSE)</formula>
    </cfRule>
  </conditionalFormatting>
  <conditionalFormatting sqref="M1558">
    <cfRule type="expression" dxfId="277" priority="243" stopIfTrue="1">
      <formula>IF($F1558="I",TRUE,FALSE)</formula>
    </cfRule>
  </conditionalFormatting>
  <conditionalFormatting sqref="B1559:D1559 F1559:G1559 I1559:P1559">
    <cfRule type="expression" dxfId="276" priority="242" stopIfTrue="1">
      <formula>IF($A1559&lt;&gt;"",IF(B1559="",TRUE,FALSE),FALSE)</formula>
    </cfRule>
  </conditionalFormatting>
  <conditionalFormatting sqref="M1559">
    <cfRule type="expression" dxfId="275" priority="241" stopIfTrue="1">
      <formula>IF($F1559="I",TRUE,FALSE)</formula>
    </cfRule>
  </conditionalFormatting>
  <conditionalFormatting sqref="B1560:D1560 F1560:G1560 I1560:P1560">
    <cfRule type="expression" dxfId="274" priority="240" stopIfTrue="1">
      <formula>IF($A1560&lt;&gt;"",IF(B1560="",TRUE,FALSE),FALSE)</formula>
    </cfRule>
  </conditionalFormatting>
  <conditionalFormatting sqref="M1560">
    <cfRule type="expression" dxfId="273" priority="239" stopIfTrue="1">
      <formula>IF($F1560="I",TRUE,FALSE)</formula>
    </cfRule>
  </conditionalFormatting>
  <conditionalFormatting sqref="B1561:D1561 F1561:G1561 I1561:P1561">
    <cfRule type="expression" dxfId="272" priority="238" stopIfTrue="1">
      <formula>IF($A1561&lt;&gt;"",IF(B1561="",TRUE,FALSE),FALSE)</formula>
    </cfRule>
  </conditionalFormatting>
  <conditionalFormatting sqref="M1561">
    <cfRule type="expression" dxfId="271" priority="237" stopIfTrue="1">
      <formula>IF($F1561="I",TRUE,FALSE)</formula>
    </cfRule>
  </conditionalFormatting>
  <conditionalFormatting sqref="B1562:D1562 F1562:G1562 I1562:P1562">
    <cfRule type="expression" dxfId="270" priority="236" stopIfTrue="1">
      <formula>IF($A1562&lt;&gt;"",IF(B1562="",TRUE,FALSE),FALSE)</formula>
    </cfRule>
  </conditionalFormatting>
  <conditionalFormatting sqref="M1562">
    <cfRule type="expression" dxfId="269" priority="235" stopIfTrue="1">
      <formula>IF($F1562="I",TRUE,FALSE)</formula>
    </cfRule>
  </conditionalFormatting>
  <conditionalFormatting sqref="B1563:D1563 F1563:G1563 I1563:P1563">
    <cfRule type="expression" dxfId="268" priority="234" stopIfTrue="1">
      <formula>IF($A1563&lt;&gt;"",IF(B1563="",TRUE,FALSE),FALSE)</formula>
    </cfRule>
  </conditionalFormatting>
  <conditionalFormatting sqref="M1563">
    <cfRule type="expression" dxfId="267" priority="233" stopIfTrue="1">
      <formula>IF($F1563="I",TRUE,FALSE)</formula>
    </cfRule>
  </conditionalFormatting>
  <conditionalFormatting sqref="B1564:D1564 F1564:G1564 I1564:P1564">
    <cfRule type="expression" dxfId="266" priority="232" stopIfTrue="1">
      <formula>IF($A1564&lt;&gt;"",IF(B1564="",TRUE,FALSE),FALSE)</formula>
    </cfRule>
  </conditionalFormatting>
  <conditionalFormatting sqref="M1564">
    <cfRule type="expression" dxfId="265" priority="231" stopIfTrue="1">
      <formula>IF($F1564="I",TRUE,FALSE)</formula>
    </cfRule>
  </conditionalFormatting>
  <conditionalFormatting sqref="B1565:D1565 F1565:G1565 I1565:P1565">
    <cfRule type="expression" dxfId="264" priority="230" stopIfTrue="1">
      <formula>IF($A1565&lt;&gt;"",IF(B1565="",TRUE,FALSE),FALSE)</formula>
    </cfRule>
  </conditionalFormatting>
  <conditionalFormatting sqref="M1565">
    <cfRule type="expression" dxfId="263" priority="229" stopIfTrue="1">
      <formula>IF($F1565="I",TRUE,FALSE)</formula>
    </cfRule>
  </conditionalFormatting>
  <conditionalFormatting sqref="B1566:D1566 F1566:G1566 I1566:P1566">
    <cfRule type="expression" dxfId="262" priority="228" stopIfTrue="1">
      <formula>IF($A1566&lt;&gt;"",IF(B1566="",TRUE,FALSE),FALSE)</formula>
    </cfRule>
  </conditionalFormatting>
  <conditionalFormatting sqref="M1566">
    <cfRule type="expression" dxfId="261" priority="227" stopIfTrue="1">
      <formula>IF($F1566="I",TRUE,FALSE)</formula>
    </cfRule>
  </conditionalFormatting>
  <conditionalFormatting sqref="B1567:D1567 F1567:G1567 I1567:P1567">
    <cfRule type="expression" dxfId="260" priority="226" stopIfTrue="1">
      <formula>IF($A1567&lt;&gt;"",IF(B1567="",TRUE,FALSE),FALSE)</formula>
    </cfRule>
  </conditionalFormatting>
  <conditionalFormatting sqref="M1567">
    <cfRule type="expression" dxfId="259" priority="225" stopIfTrue="1">
      <formula>IF($F1567="I",TRUE,FALSE)</formula>
    </cfRule>
  </conditionalFormatting>
  <conditionalFormatting sqref="B1568:D1568 F1568:G1568 I1568:P1568">
    <cfRule type="expression" dxfId="258" priority="224" stopIfTrue="1">
      <formula>IF($A1568&lt;&gt;"",IF(B1568="",TRUE,FALSE),FALSE)</formula>
    </cfRule>
  </conditionalFormatting>
  <conditionalFormatting sqref="M1568">
    <cfRule type="expression" dxfId="257" priority="223" stopIfTrue="1">
      <formula>IF($F1568="I",TRUE,FALSE)</formula>
    </cfRule>
  </conditionalFormatting>
  <conditionalFormatting sqref="B1569:D1569 F1569:G1569 I1569:P1569">
    <cfRule type="expression" dxfId="256" priority="222" stopIfTrue="1">
      <formula>IF($A1569&lt;&gt;"",IF(B1569="",TRUE,FALSE),FALSE)</formula>
    </cfRule>
  </conditionalFormatting>
  <conditionalFormatting sqref="M1569">
    <cfRule type="expression" dxfId="255" priority="221" stopIfTrue="1">
      <formula>IF($F1569="I",TRUE,FALSE)</formula>
    </cfRule>
  </conditionalFormatting>
  <conditionalFormatting sqref="B1570:D1570 F1570:G1570 I1570:P1570">
    <cfRule type="expression" dxfId="254" priority="220" stopIfTrue="1">
      <formula>IF($A1570&lt;&gt;"",IF(B1570="",TRUE,FALSE),FALSE)</formula>
    </cfRule>
  </conditionalFormatting>
  <conditionalFormatting sqref="M1570">
    <cfRule type="expression" dxfId="253" priority="219" stopIfTrue="1">
      <formula>IF($F1570="I",TRUE,FALSE)</formula>
    </cfRule>
  </conditionalFormatting>
  <conditionalFormatting sqref="B1571:D1571 F1571:G1571 I1571:P1571">
    <cfRule type="expression" dxfId="252" priority="218" stopIfTrue="1">
      <formula>IF($A1571&lt;&gt;"",IF(B1571="",TRUE,FALSE),FALSE)</formula>
    </cfRule>
  </conditionalFormatting>
  <conditionalFormatting sqref="M1571">
    <cfRule type="expression" dxfId="251" priority="217" stopIfTrue="1">
      <formula>IF($F1571="I",TRUE,FALSE)</formula>
    </cfRule>
  </conditionalFormatting>
  <conditionalFormatting sqref="B1572:D1572 F1572:G1572 I1572:P1572">
    <cfRule type="expression" dxfId="250" priority="216" stopIfTrue="1">
      <formula>IF($A1572&lt;&gt;"",IF(B1572="",TRUE,FALSE),FALSE)</formula>
    </cfRule>
  </conditionalFormatting>
  <conditionalFormatting sqref="M1572">
    <cfRule type="expression" dxfId="249" priority="215" stopIfTrue="1">
      <formula>IF($F1572="I",TRUE,FALSE)</formula>
    </cfRule>
  </conditionalFormatting>
  <conditionalFormatting sqref="B1573:D1573 F1573:G1573 I1573:P1573">
    <cfRule type="expression" dxfId="248" priority="214" stopIfTrue="1">
      <formula>IF($A1573&lt;&gt;"",IF(B1573="",TRUE,FALSE),FALSE)</formula>
    </cfRule>
  </conditionalFormatting>
  <conditionalFormatting sqref="M1573">
    <cfRule type="expression" dxfId="247" priority="213" stopIfTrue="1">
      <formula>IF($F1573="I",TRUE,FALSE)</formula>
    </cfRule>
  </conditionalFormatting>
  <conditionalFormatting sqref="B1574:D1574 F1574:G1574 I1574:P1574">
    <cfRule type="expression" dxfId="246" priority="212" stopIfTrue="1">
      <formula>IF($A1574&lt;&gt;"",IF(B1574="",TRUE,FALSE),FALSE)</formula>
    </cfRule>
  </conditionalFormatting>
  <conditionalFormatting sqref="M1574">
    <cfRule type="expression" dxfId="245" priority="211" stopIfTrue="1">
      <formula>IF($F1574="I",TRUE,FALSE)</formula>
    </cfRule>
  </conditionalFormatting>
  <conditionalFormatting sqref="B1575:D1575 F1575:G1575 I1575:P1575">
    <cfRule type="expression" dxfId="244" priority="210" stopIfTrue="1">
      <formula>IF($A1575&lt;&gt;"",IF(B1575="",TRUE,FALSE),FALSE)</formula>
    </cfRule>
  </conditionalFormatting>
  <conditionalFormatting sqref="M1575">
    <cfRule type="expression" dxfId="243" priority="209" stopIfTrue="1">
      <formula>IF($F1575="I",TRUE,FALSE)</formula>
    </cfRule>
  </conditionalFormatting>
  <conditionalFormatting sqref="B1576:D1576 F1576:G1576 I1576:P1576">
    <cfRule type="expression" dxfId="242" priority="208" stopIfTrue="1">
      <formula>IF($A1576&lt;&gt;"",IF(B1576="",TRUE,FALSE),FALSE)</formula>
    </cfRule>
  </conditionalFormatting>
  <conditionalFormatting sqref="M1576">
    <cfRule type="expression" dxfId="241" priority="207" stopIfTrue="1">
      <formula>IF($F1576="I",TRUE,FALSE)</formula>
    </cfRule>
  </conditionalFormatting>
  <conditionalFormatting sqref="B1577:D1577 F1577:G1577 I1577:P1577">
    <cfRule type="expression" dxfId="240" priority="206" stopIfTrue="1">
      <formula>IF($A1577&lt;&gt;"",IF(B1577="",TRUE,FALSE),FALSE)</formula>
    </cfRule>
  </conditionalFormatting>
  <conditionalFormatting sqref="M1577">
    <cfRule type="expression" dxfId="239" priority="205" stopIfTrue="1">
      <formula>IF($F1577="I",TRUE,FALSE)</formula>
    </cfRule>
  </conditionalFormatting>
  <conditionalFormatting sqref="B1578:D1578 F1578:G1578 I1578:P1578">
    <cfRule type="expression" dxfId="238" priority="204" stopIfTrue="1">
      <formula>IF($A1578&lt;&gt;"",IF(B1578="",TRUE,FALSE),FALSE)</formula>
    </cfRule>
  </conditionalFormatting>
  <conditionalFormatting sqref="M1578">
    <cfRule type="expression" dxfId="237" priority="203" stopIfTrue="1">
      <formula>IF($F1578="I",TRUE,FALSE)</formula>
    </cfRule>
  </conditionalFormatting>
  <conditionalFormatting sqref="B1579:D1579 F1579:G1579 I1579:P1579">
    <cfRule type="expression" dxfId="236" priority="202" stopIfTrue="1">
      <formula>IF($A1579&lt;&gt;"",IF(B1579="",TRUE,FALSE),FALSE)</formula>
    </cfRule>
  </conditionalFormatting>
  <conditionalFormatting sqref="M1579">
    <cfRule type="expression" dxfId="235" priority="201" stopIfTrue="1">
      <formula>IF($F1579="I",TRUE,FALSE)</formula>
    </cfRule>
  </conditionalFormatting>
  <conditionalFormatting sqref="B1580:D1580 F1580:G1580 I1580:P1580">
    <cfRule type="expression" dxfId="234" priority="200" stopIfTrue="1">
      <formula>IF($A1580&lt;&gt;"",IF(B1580="",TRUE,FALSE),FALSE)</formula>
    </cfRule>
  </conditionalFormatting>
  <conditionalFormatting sqref="M1580">
    <cfRule type="expression" dxfId="233" priority="199" stopIfTrue="1">
      <formula>IF($F1580="I",TRUE,FALSE)</formula>
    </cfRule>
  </conditionalFormatting>
  <conditionalFormatting sqref="B1581:D1581 F1581:G1581 I1581:P1581">
    <cfRule type="expression" dxfId="232" priority="198" stopIfTrue="1">
      <formula>IF($A1581&lt;&gt;"",IF(B1581="",TRUE,FALSE),FALSE)</formula>
    </cfRule>
  </conditionalFormatting>
  <conditionalFormatting sqref="M1581">
    <cfRule type="expression" dxfId="231" priority="197" stopIfTrue="1">
      <formula>IF($F1581="I",TRUE,FALSE)</formula>
    </cfRule>
  </conditionalFormatting>
  <conditionalFormatting sqref="B1582:D1582 F1582:G1582 I1582:P1582">
    <cfRule type="expression" dxfId="230" priority="196" stopIfTrue="1">
      <formula>IF($A1582&lt;&gt;"",IF(B1582="",TRUE,FALSE),FALSE)</formula>
    </cfRule>
  </conditionalFormatting>
  <conditionalFormatting sqref="M1582">
    <cfRule type="expression" dxfId="229" priority="195" stopIfTrue="1">
      <formula>IF($F1582="I",TRUE,FALSE)</formula>
    </cfRule>
  </conditionalFormatting>
  <conditionalFormatting sqref="B1583:D1583 F1583:G1583 I1583:P1583">
    <cfRule type="expression" dxfId="228" priority="194" stopIfTrue="1">
      <formula>IF($A1583&lt;&gt;"",IF(B1583="",TRUE,FALSE),FALSE)</formula>
    </cfRule>
  </conditionalFormatting>
  <conditionalFormatting sqref="M1583">
    <cfRule type="expression" dxfId="227" priority="193" stopIfTrue="1">
      <formula>IF($F1583="I",TRUE,FALSE)</formula>
    </cfRule>
  </conditionalFormatting>
  <conditionalFormatting sqref="B1584:D1584 F1584:G1584 I1584:P1584">
    <cfRule type="expression" dxfId="226" priority="192" stopIfTrue="1">
      <formula>IF($A1584&lt;&gt;"",IF(B1584="",TRUE,FALSE),FALSE)</formula>
    </cfRule>
  </conditionalFormatting>
  <conditionalFormatting sqref="M1584">
    <cfRule type="expression" dxfId="225" priority="191" stopIfTrue="1">
      <formula>IF($F1584="I",TRUE,FALSE)</formula>
    </cfRule>
  </conditionalFormatting>
  <conditionalFormatting sqref="B1585:D1585 F1585:G1585 I1585:P1585">
    <cfRule type="expression" dxfId="224" priority="190" stopIfTrue="1">
      <formula>IF($A1585&lt;&gt;"",IF(B1585="",TRUE,FALSE),FALSE)</formula>
    </cfRule>
  </conditionalFormatting>
  <conditionalFormatting sqref="M1585">
    <cfRule type="expression" dxfId="223" priority="189" stopIfTrue="1">
      <formula>IF($F1585="I",TRUE,FALSE)</formula>
    </cfRule>
  </conditionalFormatting>
  <conditionalFormatting sqref="B1586:D1586 F1586:G1586 I1586:P1586">
    <cfRule type="expression" dxfId="222" priority="188" stopIfTrue="1">
      <formula>IF($A1586&lt;&gt;"",IF(B1586="",TRUE,FALSE),FALSE)</formula>
    </cfRule>
  </conditionalFormatting>
  <conditionalFormatting sqref="M1586">
    <cfRule type="expression" dxfId="221" priority="187" stopIfTrue="1">
      <formula>IF($F1586="I",TRUE,FALSE)</formula>
    </cfRule>
  </conditionalFormatting>
  <conditionalFormatting sqref="B1587:D1587 F1587:G1587 I1587:P1587">
    <cfRule type="expression" dxfId="220" priority="186" stopIfTrue="1">
      <formula>IF($A1587&lt;&gt;"",IF(B1587="",TRUE,FALSE),FALSE)</formula>
    </cfRule>
  </conditionalFormatting>
  <conditionalFormatting sqref="M1587">
    <cfRule type="expression" dxfId="219" priority="185" stopIfTrue="1">
      <formula>IF($F1587="I",TRUE,FALSE)</formula>
    </cfRule>
  </conditionalFormatting>
  <conditionalFormatting sqref="B1588:D1588 F1588:G1588 I1588:P1588">
    <cfRule type="expression" dxfId="218" priority="184" stopIfTrue="1">
      <formula>IF($A1588&lt;&gt;"",IF(B1588="",TRUE,FALSE),FALSE)</formula>
    </cfRule>
  </conditionalFormatting>
  <conditionalFormatting sqref="M1588">
    <cfRule type="expression" dxfId="217" priority="183" stopIfTrue="1">
      <formula>IF($F1588="I",TRUE,FALSE)</formula>
    </cfRule>
  </conditionalFormatting>
  <conditionalFormatting sqref="B1589:D1589 F1589:G1589 I1589:P1589">
    <cfRule type="expression" dxfId="216" priority="182" stopIfTrue="1">
      <formula>IF($A1589&lt;&gt;"",IF(B1589="",TRUE,FALSE),FALSE)</formula>
    </cfRule>
  </conditionalFormatting>
  <conditionalFormatting sqref="M1589">
    <cfRule type="expression" dxfId="215" priority="181" stopIfTrue="1">
      <formula>IF($F1589="I",TRUE,FALSE)</formula>
    </cfRule>
  </conditionalFormatting>
  <conditionalFormatting sqref="B1590:D1590 F1590:G1590 I1590:P1590">
    <cfRule type="expression" dxfId="214" priority="180" stopIfTrue="1">
      <formula>IF($A1590&lt;&gt;"",IF(B1590="",TRUE,FALSE),FALSE)</formula>
    </cfRule>
  </conditionalFormatting>
  <conditionalFormatting sqref="M1590">
    <cfRule type="expression" dxfId="213" priority="179" stopIfTrue="1">
      <formula>IF($F1590="I",TRUE,FALSE)</formula>
    </cfRule>
  </conditionalFormatting>
  <conditionalFormatting sqref="B1591:D1591 F1591:G1591 I1591:P1591">
    <cfRule type="expression" dxfId="212" priority="178" stopIfTrue="1">
      <formula>IF($A1591&lt;&gt;"",IF(B1591="",TRUE,FALSE),FALSE)</formula>
    </cfRule>
  </conditionalFormatting>
  <conditionalFormatting sqref="M1591">
    <cfRule type="expression" dxfId="211" priority="177" stopIfTrue="1">
      <formula>IF($F1591="I",TRUE,FALSE)</formula>
    </cfRule>
  </conditionalFormatting>
  <conditionalFormatting sqref="B1592:D1592 F1592:G1592 I1592:P1592">
    <cfRule type="expression" dxfId="210" priority="176" stopIfTrue="1">
      <formula>IF($A1592&lt;&gt;"",IF(B1592="",TRUE,FALSE),FALSE)</formula>
    </cfRule>
  </conditionalFormatting>
  <conditionalFormatting sqref="M1592">
    <cfRule type="expression" dxfId="209" priority="175" stopIfTrue="1">
      <formula>IF($F1592="I",TRUE,FALSE)</formula>
    </cfRule>
  </conditionalFormatting>
  <conditionalFormatting sqref="B1593:D1593 F1593:G1593 I1593:P1593">
    <cfRule type="expression" dxfId="208" priority="174" stopIfTrue="1">
      <formula>IF($A1593&lt;&gt;"",IF(B1593="",TRUE,FALSE),FALSE)</formula>
    </cfRule>
  </conditionalFormatting>
  <conditionalFormatting sqref="M1593">
    <cfRule type="expression" dxfId="207" priority="173" stopIfTrue="1">
      <formula>IF($F1593="I",TRUE,FALSE)</formula>
    </cfRule>
  </conditionalFormatting>
  <conditionalFormatting sqref="B1594:D1594 F1594:G1594 I1594:P1594">
    <cfRule type="expression" dxfId="206" priority="172" stopIfTrue="1">
      <formula>IF($A1594&lt;&gt;"",IF(B1594="",TRUE,FALSE),FALSE)</formula>
    </cfRule>
  </conditionalFormatting>
  <conditionalFormatting sqref="M1594">
    <cfRule type="expression" dxfId="205" priority="171" stopIfTrue="1">
      <formula>IF($F1594="I",TRUE,FALSE)</formula>
    </cfRule>
  </conditionalFormatting>
  <conditionalFormatting sqref="B1595:D1595 F1595:G1595 I1595:P1595">
    <cfRule type="expression" dxfId="204" priority="170" stopIfTrue="1">
      <formula>IF($A1595&lt;&gt;"",IF(B1595="",TRUE,FALSE),FALSE)</formula>
    </cfRule>
  </conditionalFormatting>
  <conditionalFormatting sqref="M1595">
    <cfRule type="expression" dxfId="203" priority="169" stopIfTrue="1">
      <formula>IF($F1595="I",TRUE,FALSE)</formula>
    </cfRule>
  </conditionalFormatting>
  <conditionalFormatting sqref="B1596:D1596 F1596:G1596 I1596:P1596">
    <cfRule type="expression" dxfId="202" priority="168" stopIfTrue="1">
      <formula>IF($A1596&lt;&gt;"",IF(B1596="",TRUE,FALSE),FALSE)</formula>
    </cfRule>
  </conditionalFormatting>
  <conditionalFormatting sqref="M1596">
    <cfRule type="expression" dxfId="201" priority="167" stopIfTrue="1">
      <formula>IF($F1596="I",TRUE,FALSE)</formula>
    </cfRule>
  </conditionalFormatting>
  <conditionalFormatting sqref="B1597:D1597 F1597:G1597 I1597:P1597">
    <cfRule type="expression" dxfId="200" priority="166" stopIfTrue="1">
      <formula>IF($A1597&lt;&gt;"",IF(B1597="",TRUE,FALSE),FALSE)</formula>
    </cfRule>
  </conditionalFormatting>
  <conditionalFormatting sqref="M1597">
    <cfRule type="expression" dxfId="199" priority="165" stopIfTrue="1">
      <formula>IF($F1597="I",TRUE,FALSE)</formula>
    </cfRule>
  </conditionalFormatting>
  <conditionalFormatting sqref="B1598:D1598 F1598:G1598 I1598:P1598">
    <cfRule type="expression" dxfId="198" priority="164" stopIfTrue="1">
      <formula>IF($A1598&lt;&gt;"",IF(B1598="",TRUE,FALSE),FALSE)</formula>
    </cfRule>
  </conditionalFormatting>
  <conditionalFormatting sqref="M1598">
    <cfRule type="expression" dxfId="197" priority="163" stopIfTrue="1">
      <formula>IF($F1598="I",TRUE,FALSE)</formula>
    </cfRule>
  </conditionalFormatting>
  <conditionalFormatting sqref="B1599:D1599 F1599:G1599 I1599:P1599">
    <cfRule type="expression" dxfId="196" priority="162" stopIfTrue="1">
      <formula>IF($A1599&lt;&gt;"",IF(B1599="",TRUE,FALSE),FALSE)</formula>
    </cfRule>
  </conditionalFormatting>
  <conditionalFormatting sqref="M1599">
    <cfRule type="expression" dxfId="195" priority="161" stopIfTrue="1">
      <formula>IF($F1599="I",TRUE,FALSE)</formula>
    </cfRule>
  </conditionalFormatting>
  <conditionalFormatting sqref="B1600:D1600 F1600:G1600 I1600:P1600">
    <cfRule type="expression" dxfId="194" priority="160" stopIfTrue="1">
      <formula>IF($A1600&lt;&gt;"",IF(B1600="",TRUE,FALSE),FALSE)</formula>
    </cfRule>
  </conditionalFormatting>
  <conditionalFormatting sqref="M1600">
    <cfRule type="expression" dxfId="193" priority="159" stopIfTrue="1">
      <formula>IF($F1600="I",TRUE,FALSE)</formula>
    </cfRule>
  </conditionalFormatting>
  <conditionalFormatting sqref="B1601:D1601 F1601:G1601 I1601:P1601">
    <cfRule type="expression" dxfId="192" priority="158" stopIfTrue="1">
      <formula>IF($A1601&lt;&gt;"",IF(B1601="",TRUE,FALSE),FALSE)</formula>
    </cfRule>
  </conditionalFormatting>
  <conditionalFormatting sqref="M1601">
    <cfRule type="expression" dxfId="191" priority="157" stopIfTrue="1">
      <formula>IF($F1601="I",TRUE,FALSE)</formula>
    </cfRule>
  </conditionalFormatting>
  <conditionalFormatting sqref="B1602:D1602 F1602:G1602 I1602:P1602">
    <cfRule type="expression" dxfId="190" priority="156" stopIfTrue="1">
      <formula>IF($A1602&lt;&gt;"",IF(B1602="",TRUE,FALSE),FALSE)</formula>
    </cfRule>
  </conditionalFormatting>
  <conditionalFormatting sqref="M1602">
    <cfRule type="expression" dxfId="189" priority="155" stopIfTrue="1">
      <formula>IF($F1602="I",TRUE,FALSE)</formula>
    </cfRule>
  </conditionalFormatting>
  <conditionalFormatting sqref="B1603:D1603 F1603:G1603 I1603:P1603">
    <cfRule type="expression" dxfId="188" priority="154" stopIfTrue="1">
      <formula>IF($A1603&lt;&gt;"",IF(B1603="",TRUE,FALSE),FALSE)</formula>
    </cfRule>
  </conditionalFormatting>
  <conditionalFormatting sqref="M1603">
    <cfRule type="expression" dxfId="187" priority="153" stopIfTrue="1">
      <formula>IF($F1603="I",TRUE,FALSE)</formula>
    </cfRule>
  </conditionalFormatting>
  <conditionalFormatting sqref="B1604:D1604 F1604:G1604 I1604:P1604">
    <cfRule type="expression" dxfId="186" priority="152" stopIfTrue="1">
      <formula>IF($A1604&lt;&gt;"",IF(B1604="",TRUE,FALSE),FALSE)</formula>
    </cfRule>
  </conditionalFormatting>
  <conditionalFormatting sqref="M1604">
    <cfRule type="expression" dxfId="185" priority="151" stopIfTrue="1">
      <formula>IF($F1604="I",TRUE,FALSE)</formula>
    </cfRule>
  </conditionalFormatting>
  <conditionalFormatting sqref="B1605:D1605 F1605:G1605 I1605:P1605">
    <cfRule type="expression" dxfId="184" priority="150" stopIfTrue="1">
      <formula>IF($A1605&lt;&gt;"",IF(B1605="",TRUE,FALSE),FALSE)</formula>
    </cfRule>
  </conditionalFormatting>
  <conditionalFormatting sqref="M1605">
    <cfRule type="expression" dxfId="183" priority="149" stopIfTrue="1">
      <formula>IF($F1605="I",TRUE,FALSE)</formula>
    </cfRule>
  </conditionalFormatting>
  <conditionalFormatting sqref="B1606:D1606 F1606:G1606 I1606:P1606">
    <cfRule type="expression" dxfId="182" priority="148" stopIfTrue="1">
      <formula>IF($A1606&lt;&gt;"",IF(B1606="",TRUE,FALSE),FALSE)</formula>
    </cfRule>
  </conditionalFormatting>
  <conditionalFormatting sqref="M1606">
    <cfRule type="expression" dxfId="181" priority="147" stopIfTrue="1">
      <formula>IF($F1606="I",TRUE,FALSE)</formula>
    </cfRule>
  </conditionalFormatting>
  <conditionalFormatting sqref="B1607:D1607 F1607:G1607 I1607:P1607">
    <cfRule type="expression" dxfId="180" priority="146" stopIfTrue="1">
      <formula>IF($A1607&lt;&gt;"",IF(B1607="",TRUE,FALSE),FALSE)</formula>
    </cfRule>
  </conditionalFormatting>
  <conditionalFormatting sqref="M1607">
    <cfRule type="expression" dxfId="179" priority="145" stopIfTrue="1">
      <formula>IF($F1607="I",TRUE,FALSE)</formula>
    </cfRule>
  </conditionalFormatting>
  <conditionalFormatting sqref="B1608:D1608 F1608:G1608 I1608:P1608">
    <cfRule type="expression" dxfId="178" priority="144" stopIfTrue="1">
      <formula>IF($A1608&lt;&gt;"",IF(B1608="",TRUE,FALSE),FALSE)</formula>
    </cfRule>
  </conditionalFormatting>
  <conditionalFormatting sqref="M1608">
    <cfRule type="expression" dxfId="177" priority="143" stopIfTrue="1">
      <formula>IF($F1608="I",TRUE,FALSE)</formula>
    </cfRule>
  </conditionalFormatting>
  <conditionalFormatting sqref="B1609:D1609 F1609:G1609 I1609:P1609">
    <cfRule type="expression" dxfId="176" priority="142" stopIfTrue="1">
      <formula>IF($A1609&lt;&gt;"",IF(B1609="",TRUE,FALSE),FALSE)</formula>
    </cfRule>
  </conditionalFormatting>
  <conditionalFormatting sqref="M1609">
    <cfRule type="expression" dxfId="175" priority="141" stopIfTrue="1">
      <formula>IF($F1609="I",TRUE,FALSE)</formula>
    </cfRule>
  </conditionalFormatting>
  <conditionalFormatting sqref="B1610:D1610 F1610:G1610 I1610:P1610">
    <cfRule type="expression" dxfId="174" priority="140" stopIfTrue="1">
      <formula>IF($A1610&lt;&gt;"",IF(B1610="",TRUE,FALSE),FALSE)</formula>
    </cfRule>
  </conditionalFormatting>
  <conditionalFormatting sqref="M1610">
    <cfRule type="expression" dxfId="173" priority="139" stopIfTrue="1">
      <formula>IF($F1610="I",TRUE,FALSE)</formula>
    </cfRule>
  </conditionalFormatting>
  <conditionalFormatting sqref="B1611:D1611 F1611:G1611 I1611:P1611">
    <cfRule type="expression" dxfId="172" priority="138" stopIfTrue="1">
      <formula>IF($A1611&lt;&gt;"",IF(B1611="",TRUE,FALSE),FALSE)</formula>
    </cfRule>
  </conditionalFormatting>
  <conditionalFormatting sqref="M1611">
    <cfRule type="expression" dxfId="171" priority="137" stopIfTrue="1">
      <formula>IF($F1611="I",TRUE,FALSE)</formula>
    </cfRule>
  </conditionalFormatting>
  <conditionalFormatting sqref="B1612:D1612 F1612:G1612 I1612:P1612">
    <cfRule type="expression" dxfId="170" priority="136" stopIfTrue="1">
      <formula>IF($A1612&lt;&gt;"",IF(B1612="",TRUE,FALSE),FALSE)</formula>
    </cfRule>
  </conditionalFormatting>
  <conditionalFormatting sqref="M1612">
    <cfRule type="expression" dxfId="169" priority="135" stopIfTrue="1">
      <formula>IF($F1612="I",TRUE,FALSE)</formula>
    </cfRule>
  </conditionalFormatting>
  <conditionalFormatting sqref="B1613:D1613 F1613:G1613 I1613:P1613">
    <cfRule type="expression" dxfId="168" priority="134" stopIfTrue="1">
      <formula>IF($A1613&lt;&gt;"",IF(B1613="",TRUE,FALSE),FALSE)</formula>
    </cfRule>
  </conditionalFormatting>
  <conditionalFormatting sqref="M1613">
    <cfRule type="expression" dxfId="167" priority="133" stopIfTrue="1">
      <formula>IF($F1613="I",TRUE,FALSE)</formula>
    </cfRule>
  </conditionalFormatting>
  <conditionalFormatting sqref="B1614:D1614 F1614:G1614 I1614:P1614">
    <cfRule type="expression" dxfId="166" priority="132" stopIfTrue="1">
      <formula>IF($A1614&lt;&gt;"",IF(B1614="",TRUE,FALSE),FALSE)</formula>
    </cfRule>
  </conditionalFormatting>
  <conditionalFormatting sqref="M1614">
    <cfRule type="expression" dxfId="165" priority="131" stopIfTrue="1">
      <formula>IF($F1614="I",TRUE,FALSE)</formula>
    </cfRule>
  </conditionalFormatting>
  <conditionalFormatting sqref="B1615:D1615 F1615:G1615 I1615:P1615">
    <cfRule type="expression" dxfId="164" priority="130" stopIfTrue="1">
      <formula>IF($A1615&lt;&gt;"",IF(B1615="",TRUE,FALSE),FALSE)</formula>
    </cfRule>
  </conditionalFormatting>
  <conditionalFormatting sqref="M1615">
    <cfRule type="expression" dxfId="163" priority="129" stopIfTrue="1">
      <formula>IF($F1615="I",TRUE,FALSE)</formula>
    </cfRule>
  </conditionalFormatting>
  <conditionalFormatting sqref="B1616:D1616 F1616:G1616 I1616:P1616">
    <cfRule type="expression" dxfId="162" priority="128" stopIfTrue="1">
      <formula>IF($A1616&lt;&gt;"",IF(B1616="",TRUE,FALSE),FALSE)</formula>
    </cfRule>
  </conditionalFormatting>
  <conditionalFormatting sqref="M1616">
    <cfRule type="expression" dxfId="161" priority="127" stopIfTrue="1">
      <formula>IF($F1616="I",TRUE,FALSE)</formula>
    </cfRule>
  </conditionalFormatting>
  <conditionalFormatting sqref="B1617:D1617 F1617:G1617 I1617:P1617">
    <cfRule type="expression" dxfId="160" priority="126" stopIfTrue="1">
      <formula>IF($A1617&lt;&gt;"",IF(B1617="",TRUE,FALSE),FALSE)</formula>
    </cfRule>
  </conditionalFormatting>
  <conditionalFormatting sqref="M1617">
    <cfRule type="expression" dxfId="159" priority="125" stopIfTrue="1">
      <formula>IF($F1617="I",TRUE,FALSE)</formula>
    </cfRule>
  </conditionalFormatting>
  <conditionalFormatting sqref="B1618:D1618 F1618:G1618 I1618:P1618">
    <cfRule type="expression" dxfId="158" priority="124" stopIfTrue="1">
      <formula>IF($A1618&lt;&gt;"",IF(B1618="",TRUE,FALSE),FALSE)</formula>
    </cfRule>
  </conditionalFormatting>
  <conditionalFormatting sqref="M1618">
    <cfRule type="expression" dxfId="157" priority="123" stopIfTrue="1">
      <formula>IF($F1618="I",TRUE,FALSE)</formula>
    </cfRule>
  </conditionalFormatting>
  <conditionalFormatting sqref="B1619:D1619 F1619:G1619 I1619:P1619">
    <cfRule type="expression" dxfId="156" priority="122" stopIfTrue="1">
      <formula>IF($A1619&lt;&gt;"",IF(B1619="",TRUE,FALSE),FALSE)</formula>
    </cfRule>
  </conditionalFormatting>
  <conditionalFormatting sqref="M1619">
    <cfRule type="expression" dxfId="155" priority="121" stopIfTrue="1">
      <formula>IF($F1619="I",TRUE,FALSE)</formula>
    </cfRule>
  </conditionalFormatting>
  <conditionalFormatting sqref="B1620:D1620 F1620:G1620 I1620:P1620">
    <cfRule type="expression" dxfId="154" priority="120" stopIfTrue="1">
      <formula>IF($A1620&lt;&gt;"",IF(B1620="",TRUE,FALSE),FALSE)</formula>
    </cfRule>
  </conditionalFormatting>
  <conditionalFormatting sqref="M1620">
    <cfRule type="expression" dxfId="153" priority="119" stopIfTrue="1">
      <formula>IF($F1620="I",TRUE,FALSE)</formula>
    </cfRule>
  </conditionalFormatting>
  <conditionalFormatting sqref="B1621:D1621 F1621:G1621 I1621:P1621">
    <cfRule type="expression" dxfId="152" priority="118" stopIfTrue="1">
      <formula>IF($A1621&lt;&gt;"",IF(B1621="",TRUE,FALSE),FALSE)</formula>
    </cfRule>
  </conditionalFormatting>
  <conditionalFormatting sqref="M1621">
    <cfRule type="expression" dxfId="151" priority="117" stopIfTrue="1">
      <formula>IF($F1621="I",TRUE,FALSE)</formula>
    </cfRule>
  </conditionalFormatting>
  <conditionalFormatting sqref="B1622:D1622 F1622:G1622 I1622:P1622">
    <cfRule type="expression" dxfId="150" priority="116" stopIfTrue="1">
      <formula>IF($A1622&lt;&gt;"",IF(B1622="",TRUE,FALSE),FALSE)</formula>
    </cfRule>
  </conditionalFormatting>
  <conditionalFormatting sqref="M1622">
    <cfRule type="expression" dxfId="149" priority="115" stopIfTrue="1">
      <formula>IF($F1622="I",TRUE,FALSE)</formula>
    </cfRule>
  </conditionalFormatting>
  <conditionalFormatting sqref="B1623:D1623 F1623:G1623 I1623:P1623">
    <cfRule type="expression" dxfId="148" priority="114" stopIfTrue="1">
      <formula>IF($A1623&lt;&gt;"",IF(B1623="",TRUE,FALSE),FALSE)</formula>
    </cfRule>
  </conditionalFormatting>
  <conditionalFormatting sqref="M1623">
    <cfRule type="expression" dxfId="147" priority="113" stopIfTrue="1">
      <formula>IF($F1623="I",TRUE,FALSE)</formula>
    </cfRule>
  </conditionalFormatting>
  <conditionalFormatting sqref="B1624:D1624 F1624:G1624 I1624:P1624">
    <cfRule type="expression" dxfId="146" priority="112" stopIfTrue="1">
      <formula>IF($A1624&lt;&gt;"",IF(B1624="",TRUE,FALSE),FALSE)</formula>
    </cfRule>
  </conditionalFormatting>
  <conditionalFormatting sqref="M1624">
    <cfRule type="expression" dxfId="145" priority="111" stopIfTrue="1">
      <formula>IF($F1624="I",TRUE,FALSE)</formula>
    </cfRule>
  </conditionalFormatting>
  <conditionalFormatting sqref="B1625:D1625 F1625:G1625 I1625:P1625">
    <cfRule type="expression" dxfId="144" priority="110" stopIfTrue="1">
      <formula>IF($A1625&lt;&gt;"",IF(B1625="",TRUE,FALSE),FALSE)</formula>
    </cfRule>
  </conditionalFormatting>
  <conditionalFormatting sqref="M1625">
    <cfRule type="expression" dxfId="143" priority="109" stopIfTrue="1">
      <formula>IF($F1625="I",TRUE,FALSE)</formula>
    </cfRule>
  </conditionalFormatting>
  <conditionalFormatting sqref="B1626:D1626 F1626:G1626 I1626:P1626">
    <cfRule type="expression" dxfId="142" priority="108" stopIfTrue="1">
      <formula>IF($A1626&lt;&gt;"",IF(B1626="",TRUE,FALSE),FALSE)</formula>
    </cfRule>
  </conditionalFormatting>
  <conditionalFormatting sqref="M1626">
    <cfRule type="expression" dxfId="141" priority="107" stopIfTrue="1">
      <formula>IF($F1626="I",TRUE,FALSE)</formula>
    </cfRule>
  </conditionalFormatting>
  <conditionalFormatting sqref="B1627:D1627 F1627:G1627 I1627:P1627">
    <cfRule type="expression" dxfId="140" priority="106" stopIfTrue="1">
      <formula>IF($A1627&lt;&gt;"",IF(B1627="",TRUE,FALSE),FALSE)</formula>
    </cfRule>
  </conditionalFormatting>
  <conditionalFormatting sqref="M1627">
    <cfRule type="expression" dxfId="139" priority="105" stopIfTrue="1">
      <formula>IF($F1627="I",TRUE,FALSE)</formula>
    </cfRule>
  </conditionalFormatting>
  <conditionalFormatting sqref="B1628:D1628 F1628:G1628 I1628:P1628">
    <cfRule type="expression" dxfId="138" priority="104" stopIfTrue="1">
      <formula>IF($A1628&lt;&gt;"",IF(B1628="",TRUE,FALSE),FALSE)</formula>
    </cfRule>
  </conditionalFormatting>
  <conditionalFormatting sqref="M1628">
    <cfRule type="expression" dxfId="137" priority="103" stopIfTrue="1">
      <formula>IF($F1628="I",TRUE,FALSE)</formula>
    </cfRule>
  </conditionalFormatting>
  <conditionalFormatting sqref="B1629:D1629 F1629:G1629 I1629:P1629">
    <cfRule type="expression" dxfId="136" priority="102" stopIfTrue="1">
      <formula>IF($A1629&lt;&gt;"",IF(B1629="",TRUE,FALSE),FALSE)</formula>
    </cfRule>
  </conditionalFormatting>
  <conditionalFormatting sqref="M1629">
    <cfRule type="expression" dxfId="135" priority="101" stopIfTrue="1">
      <formula>IF($F1629="I",TRUE,FALSE)</formula>
    </cfRule>
  </conditionalFormatting>
  <conditionalFormatting sqref="B1630:D1630 F1630:G1630 I1630:P1630">
    <cfRule type="expression" dxfId="134" priority="100" stopIfTrue="1">
      <formula>IF($A1630&lt;&gt;"",IF(B1630="",TRUE,FALSE),FALSE)</formula>
    </cfRule>
  </conditionalFormatting>
  <conditionalFormatting sqref="M1630">
    <cfRule type="expression" dxfId="133" priority="99" stopIfTrue="1">
      <formula>IF($F1630="I",TRUE,FALSE)</formula>
    </cfRule>
  </conditionalFormatting>
  <conditionalFormatting sqref="B1631:D1631 F1631:G1631 I1631:P1631">
    <cfRule type="expression" dxfId="132" priority="98" stopIfTrue="1">
      <formula>IF($A1631&lt;&gt;"",IF(B1631="",TRUE,FALSE),FALSE)</formula>
    </cfRule>
  </conditionalFormatting>
  <conditionalFormatting sqref="M1631">
    <cfRule type="expression" dxfId="131" priority="97" stopIfTrue="1">
      <formula>IF($F1631="I",TRUE,FALSE)</formula>
    </cfRule>
  </conditionalFormatting>
  <conditionalFormatting sqref="B1632:D1632 F1632:G1632 I1632:P1632">
    <cfRule type="expression" dxfId="130" priority="96" stopIfTrue="1">
      <formula>IF($A1632&lt;&gt;"",IF(B1632="",TRUE,FALSE),FALSE)</formula>
    </cfRule>
  </conditionalFormatting>
  <conditionalFormatting sqref="M1632">
    <cfRule type="expression" dxfId="129" priority="95" stopIfTrue="1">
      <formula>IF($F1632="I",TRUE,FALSE)</formula>
    </cfRule>
  </conditionalFormatting>
  <conditionalFormatting sqref="B1633:D1633 F1633:G1633 I1633:P1633">
    <cfRule type="expression" dxfId="128" priority="94" stopIfTrue="1">
      <formula>IF($A1633&lt;&gt;"",IF(B1633="",TRUE,FALSE),FALSE)</formula>
    </cfRule>
  </conditionalFormatting>
  <conditionalFormatting sqref="M1633">
    <cfRule type="expression" dxfId="127" priority="93" stopIfTrue="1">
      <formula>IF($F1633="I",TRUE,FALSE)</formula>
    </cfRule>
  </conditionalFormatting>
  <conditionalFormatting sqref="B1634:D1634 F1634:G1634 I1634:P1634">
    <cfRule type="expression" dxfId="126" priority="92" stopIfTrue="1">
      <formula>IF($A1634&lt;&gt;"",IF(B1634="",TRUE,FALSE),FALSE)</formula>
    </cfRule>
  </conditionalFormatting>
  <conditionalFormatting sqref="M1634">
    <cfRule type="expression" dxfId="125" priority="91" stopIfTrue="1">
      <formula>IF($F1634="I",TRUE,FALSE)</formula>
    </cfRule>
  </conditionalFormatting>
  <conditionalFormatting sqref="B1635:D1635 F1635:G1635 I1635:P1635">
    <cfRule type="expression" dxfId="124" priority="90" stopIfTrue="1">
      <formula>IF($A1635&lt;&gt;"",IF(B1635="",TRUE,FALSE),FALSE)</formula>
    </cfRule>
  </conditionalFormatting>
  <conditionalFormatting sqref="M1635">
    <cfRule type="expression" dxfId="123" priority="89" stopIfTrue="1">
      <formula>IF($F1635="I",TRUE,FALSE)</formula>
    </cfRule>
  </conditionalFormatting>
  <conditionalFormatting sqref="B1636:D1636 F1636:G1636 I1636:P1636">
    <cfRule type="expression" dxfId="122" priority="88" stopIfTrue="1">
      <formula>IF($A1636&lt;&gt;"",IF(B1636="",TRUE,FALSE),FALSE)</formula>
    </cfRule>
  </conditionalFormatting>
  <conditionalFormatting sqref="M1636">
    <cfRule type="expression" dxfId="121" priority="87" stopIfTrue="1">
      <formula>IF($F1636="I",TRUE,FALSE)</formula>
    </cfRule>
  </conditionalFormatting>
  <conditionalFormatting sqref="B1637:D1637 F1637:G1637 I1637:P1637">
    <cfRule type="expression" dxfId="120" priority="86" stopIfTrue="1">
      <formula>IF($A1637&lt;&gt;"",IF(B1637="",TRUE,FALSE),FALSE)</formula>
    </cfRule>
  </conditionalFormatting>
  <conditionalFormatting sqref="M1637">
    <cfRule type="expression" dxfId="119" priority="85" stopIfTrue="1">
      <formula>IF($F1637="I",TRUE,FALSE)</formula>
    </cfRule>
  </conditionalFormatting>
  <conditionalFormatting sqref="B1638:D1638 F1638:G1638 I1638:P1638">
    <cfRule type="expression" dxfId="118" priority="84" stopIfTrue="1">
      <formula>IF($A1638&lt;&gt;"",IF(B1638="",TRUE,FALSE),FALSE)</formula>
    </cfRule>
  </conditionalFormatting>
  <conditionalFormatting sqref="M1638">
    <cfRule type="expression" dxfId="117" priority="83" stopIfTrue="1">
      <formula>IF($F1638="I",TRUE,FALSE)</formula>
    </cfRule>
  </conditionalFormatting>
  <conditionalFormatting sqref="B1639:D1639 F1639:G1639 I1639:P1639">
    <cfRule type="expression" dxfId="116" priority="82" stopIfTrue="1">
      <formula>IF($A1639&lt;&gt;"",IF(B1639="",TRUE,FALSE),FALSE)</formula>
    </cfRule>
  </conditionalFormatting>
  <conditionalFormatting sqref="M1639">
    <cfRule type="expression" dxfId="115" priority="81" stopIfTrue="1">
      <formula>IF($F1639="I",TRUE,FALSE)</formula>
    </cfRule>
  </conditionalFormatting>
  <conditionalFormatting sqref="B1640:D1640 F1640:G1640 I1640:P1640">
    <cfRule type="expression" dxfId="114" priority="80" stopIfTrue="1">
      <formula>IF($A1640&lt;&gt;"",IF(B1640="",TRUE,FALSE),FALSE)</formula>
    </cfRule>
  </conditionalFormatting>
  <conditionalFormatting sqref="M1640">
    <cfRule type="expression" dxfId="113" priority="79" stopIfTrue="1">
      <formula>IF($F1640="I",TRUE,FALSE)</formula>
    </cfRule>
  </conditionalFormatting>
  <conditionalFormatting sqref="B1641:D1641 F1641:G1641 I1641:P1641">
    <cfRule type="expression" dxfId="112" priority="78" stopIfTrue="1">
      <formula>IF($A1641&lt;&gt;"",IF(B1641="",TRUE,FALSE),FALSE)</formula>
    </cfRule>
  </conditionalFormatting>
  <conditionalFormatting sqref="M1641">
    <cfRule type="expression" dxfId="111" priority="77" stopIfTrue="1">
      <formula>IF($F1641="I",TRUE,FALSE)</formula>
    </cfRule>
  </conditionalFormatting>
  <conditionalFormatting sqref="B1642:D1642 F1642:G1642 I1642:P1642">
    <cfRule type="expression" dxfId="110" priority="76" stopIfTrue="1">
      <formula>IF($A1642&lt;&gt;"",IF(B1642="",TRUE,FALSE),FALSE)</formula>
    </cfRule>
  </conditionalFormatting>
  <conditionalFormatting sqref="M1642">
    <cfRule type="expression" dxfId="109" priority="75" stopIfTrue="1">
      <formula>IF($F1642="I",TRUE,FALSE)</formula>
    </cfRule>
  </conditionalFormatting>
  <conditionalFormatting sqref="B1643:D1643 F1643:G1643 I1643:P1643">
    <cfRule type="expression" dxfId="108" priority="74" stopIfTrue="1">
      <formula>IF($A1643&lt;&gt;"",IF(B1643="",TRUE,FALSE),FALSE)</formula>
    </cfRule>
  </conditionalFormatting>
  <conditionalFormatting sqref="M1643">
    <cfRule type="expression" dxfId="107" priority="73" stopIfTrue="1">
      <formula>IF($F1643="I",TRUE,FALSE)</formula>
    </cfRule>
  </conditionalFormatting>
  <conditionalFormatting sqref="B1644:D1644 F1644:G1644 I1644:P1644">
    <cfRule type="expression" dxfId="106" priority="72" stopIfTrue="1">
      <formula>IF($A1644&lt;&gt;"",IF(B1644="",TRUE,FALSE),FALSE)</formula>
    </cfRule>
  </conditionalFormatting>
  <conditionalFormatting sqref="M1644">
    <cfRule type="expression" dxfId="105" priority="71" stopIfTrue="1">
      <formula>IF($F1644="I",TRUE,FALSE)</formula>
    </cfRule>
  </conditionalFormatting>
  <conditionalFormatting sqref="B1645:D1645 F1645:G1645 I1645:P1645">
    <cfRule type="expression" dxfId="104" priority="70" stopIfTrue="1">
      <formula>IF($A1645&lt;&gt;"",IF(B1645="",TRUE,FALSE),FALSE)</formula>
    </cfRule>
  </conditionalFormatting>
  <conditionalFormatting sqref="M1645">
    <cfRule type="expression" dxfId="103" priority="69" stopIfTrue="1">
      <formula>IF($F1645="I",TRUE,FALSE)</formula>
    </cfRule>
  </conditionalFormatting>
  <conditionalFormatting sqref="B1646:D1646 F1646:G1646 I1646:P1646">
    <cfRule type="expression" dxfId="102" priority="68" stopIfTrue="1">
      <formula>IF($A1646&lt;&gt;"",IF(B1646="",TRUE,FALSE),FALSE)</formula>
    </cfRule>
  </conditionalFormatting>
  <conditionalFormatting sqref="M1646">
    <cfRule type="expression" dxfId="101" priority="67" stopIfTrue="1">
      <formula>IF($F1646="I",TRUE,FALSE)</formula>
    </cfRule>
  </conditionalFormatting>
  <conditionalFormatting sqref="B1647:D1647 F1647:G1647 I1647:P1647">
    <cfRule type="expression" dxfId="100" priority="66" stopIfTrue="1">
      <formula>IF($A1647&lt;&gt;"",IF(B1647="",TRUE,FALSE),FALSE)</formula>
    </cfRule>
  </conditionalFormatting>
  <conditionalFormatting sqref="M1647">
    <cfRule type="expression" dxfId="99" priority="65" stopIfTrue="1">
      <formula>IF($F1647="I",TRUE,FALSE)</formula>
    </cfRule>
  </conditionalFormatting>
  <conditionalFormatting sqref="B1648:D1648 F1648:G1648 I1648:P1648">
    <cfRule type="expression" dxfId="98" priority="64" stopIfTrue="1">
      <formula>IF($A1648&lt;&gt;"",IF(B1648="",TRUE,FALSE),FALSE)</formula>
    </cfRule>
  </conditionalFormatting>
  <conditionalFormatting sqref="M1648">
    <cfRule type="expression" dxfId="97" priority="63" stopIfTrue="1">
      <formula>IF($F1648="I",TRUE,FALSE)</formula>
    </cfRule>
  </conditionalFormatting>
  <conditionalFormatting sqref="B1649:D1649 F1649:G1649 I1649:P1649">
    <cfRule type="expression" dxfId="96" priority="62" stopIfTrue="1">
      <formula>IF($A1649&lt;&gt;"",IF(B1649="",TRUE,FALSE),FALSE)</formula>
    </cfRule>
  </conditionalFormatting>
  <conditionalFormatting sqref="M1649">
    <cfRule type="expression" dxfId="95" priority="61" stopIfTrue="1">
      <formula>IF($F1649="I",TRUE,FALSE)</formula>
    </cfRule>
  </conditionalFormatting>
  <conditionalFormatting sqref="B1650:D1650 F1650:G1650 I1650:P1650">
    <cfRule type="expression" dxfId="94" priority="60" stopIfTrue="1">
      <formula>IF($A1650&lt;&gt;"",IF(B1650="",TRUE,FALSE),FALSE)</formula>
    </cfRule>
  </conditionalFormatting>
  <conditionalFormatting sqref="M1650">
    <cfRule type="expression" dxfId="93" priority="59" stopIfTrue="1">
      <formula>IF($F1650="I",TRUE,FALSE)</formula>
    </cfRule>
  </conditionalFormatting>
  <conditionalFormatting sqref="B1651:D1651 F1651:G1651 I1651:P1651">
    <cfRule type="expression" dxfId="92" priority="58" stopIfTrue="1">
      <formula>IF($A1651&lt;&gt;"",IF(B1651="",TRUE,FALSE),FALSE)</formula>
    </cfRule>
  </conditionalFormatting>
  <conditionalFormatting sqref="M1651">
    <cfRule type="expression" dxfId="91" priority="57" stopIfTrue="1">
      <formula>IF($F1651="I",TRUE,FALSE)</formula>
    </cfRule>
  </conditionalFormatting>
  <conditionalFormatting sqref="B1652:D1652 F1652:G1652 I1652:P1652">
    <cfRule type="expression" dxfId="90" priority="56" stopIfTrue="1">
      <formula>IF($A1652&lt;&gt;"",IF(B1652="",TRUE,FALSE),FALSE)</formula>
    </cfRule>
  </conditionalFormatting>
  <conditionalFormatting sqref="M1652">
    <cfRule type="expression" dxfId="89" priority="55" stopIfTrue="1">
      <formula>IF($F1652="I",TRUE,FALSE)</formula>
    </cfRule>
  </conditionalFormatting>
  <conditionalFormatting sqref="B1653:D1653 F1653:G1653 I1653:P1653">
    <cfRule type="expression" dxfId="88" priority="54" stopIfTrue="1">
      <formula>IF($A1653&lt;&gt;"",IF(B1653="",TRUE,FALSE),FALSE)</formula>
    </cfRule>
  </conditionalFormatting>
  <conditionalFormatting sqref="M1653">
    <cfRule type="expression" dxfId="87" priority="53" stopIfTrue="1">
      <formula>IF($F1653="I",TRUE,FALSE)</formula>
    </cfRule>
  </conditionalFormatting>
  <conditionalFormatting sqref="B1654:D1654 F1654:G1654 I1654:P1654">
    <cfRule type="expression" dxfId="86" priority="52" stopIfTrue="1">
      <formula>IF($A1654&lt;&gt;"",IF(B1654="",TRUE,FALSE),FALSE)</formula>
    </cfRule>
  </conditionalFormatting>
  <conditionalFormatting sqref="M1654">
    <cfRule type="expression" dxfId="85" priority="51" stopIfTrue="1">
      <formula>IF($F1654="I",TRUE,FALSE)</formula>
    </cfRule>
  </conditionalFormatting>
  <conditionalFormatting sqref="B1655:D1655 F1655:G1655 I1655:P1655">
    <cfRule type="expression" dxfId="84" priority="50" stopIfTrue="1">
      <formula>IF($A1655&lt;&gt;"",IF(B1655="",TRUE,FALSE),FALSE)</formula>
    </cfRule>
  </conditionalFormatting>
  <conditionalFormatting sqref="M1655">
    <cfRule type="expression" dxfId="83" priority="49" stopIfTrue="1">
      <formula>IF($F1655="I",TRUE,FALSE)</formula>
    </cfRule>
  </conditionalFormatting>
  <conditionalFormatting sqref="B1656:D1656 F1656:G1656 I1656:P1656">
    <cfRule type="expression" dxfId="82" priority="48" stopIfTrue="1">
      <formula>IF($A1656&lt;&gt;"",IF(B1656="",TRUE,FALSE),FALSE)</formula>
    </cfRule>
  </conditionalFormatting>
  <conditionalFormatting sqref="M1656">
    <cfRule type="expression" dxfId="81" priority="47" stopIfTrue="1">
      <formula>IF($F1656="I",TRUE,FALSE)</formula>
    </cfRule>
  </conditionalFormatting>
  <conditionalFormatting sqref="B1657:D1657 F1657:G1657 I1657:P1657">
    <cfRule type="expression" dxfId="80" priority="46" stopIfTrue="1">
      <formula>IF($A1657&lt;&gt;"",IF(B1657="",TRUE,FALSE),FALSE)</formula>
    </cfRule>
  </conditionalFormatting>
  <conditionalFormatting sqref="M1657">
    <cfRule type="expression" dxfId="79" priority="45" stopIfTrue="1">
      <formula>IF($F1657="I",TRUE,FALSE)</formula>
    </cfRule>
  </conditionalFormatting>
  <conditionalFormatting sqref="B1658:D1658 F1658:G1658 I1658:P1658">
    <cfRule type="expression" dxfId="78" priority="44" stopIfTrue="1">
      <formula>IF($A1658&lt;&gt;"",IF(B1658="",TRUE,FALSE),FALSE)</formula>
    </cfRule>
  </conditionalFormatting>
  <conditionalFormatting sqref="M1658">
    <cfRule type="expression" dxfId="77" priority="43" stopIfTrue="1">
      <formula>IF($F1658="I",TRUE,FALSE)</formula>
    </cfRule>
  </conditionalFormatting>
  <conditionalFormatting sqref="B1659:D1659 F1659:G1659 I1659:P1659">
    <cfRule type="expression" dxfId="76" priority="42" stopIfTrue="1">
      <formula>IF($A1659&lt;&gt;"",IF(B1659="",TRUE,FALSE),FALSE)</formula>
    </cfRule>
  </conditionalFormatting>
  <conditionalFormatting sqref="M1659">
    <cfRule type="expression" dxfId="75" priority="41" stopIfTrue="1">
      <formula>IF($F1659="I",TRUE,FALSE)</formula>
    </cfRule>
  </conditionalFormatting>
  <conditionalFormatting sqref="B1660:D1660 F1660:G1660 I1660:P1660">
    <cfRule type="expression" dxfId="74" priority="40" stopIfTrue="1">
      <formula>IF($A1660&lt;&gt;"",IF(B1660="",TRUE,FALSE),FALSE)</formula>
    </cfRule>
  </conditionalFormatting>
  <conditionalFormatting sqref="M1660">
    <cfRule type="expression" dxfId="73" priority="39" stopIfTrue="1">
      <formula>IF($F1660="I",TRUE,FALSE)</formula>
    </cfRule>
  </conditionalFormatting>
  <conditionalFormatting sqref="B1661:D1661 F1661:G1661 I1661:P1661">
    <cfRule type="expression" dxfId="72" priority="38" stopIfTrue="1">
      <formula>IF($A1661&lt;&gt;"",IF(B1661="",TRUE,FALSE),FALSE)</formula>
    </cfRule>
  </conditionalFormatting>
  <conditionalFormatting sqref="M1661">
    <cfRule type="expression" dxfId="71" priority="37" stopIfTrue="1">
      <formula>IF($F1661="I",TRUE,FALSE)</formula>
    </cfRule>
  </conditionalFormatting>
  <conditionalFormatting sqref="B1662:D1662 F1662:G1662 I1662:P1662">
    <cfRule type="expression" dxfId="70" priority="36" stopIfTrue="1">
      <formula>IF($A1662&lt;&gt;"",IF(B1662="",TRUE,FALSE),FALSE)</formula>
    </cfRule>
  </conditionalFormatting>
  <conditionalFormatting sqref="M1662">
    <cfRule type="expression" dxfId="69" priority="35" stopIfTrue="1">
      <formula>IF($F1662="I",TRUE,FALSE)</formula>
    </cfRule>
  </conditionalFormatting>
  <conditionalFormatting sqref="B1663:D1663 F1663:G1663 I1663:P1663">
    <cfRule type="expression" dxfId="68" priority="34" stopIfTrue="1">
      <formula>IF($A1663&lt;&gt;"",IF(B1663="",TRUE,FALSE),FALSE)</formula>
    </cfRule>
  </conditionalFormatting>
  <conditionalFormatting sqref="M1663">
    <cfRule type="expression" dxfId="67" priority="33" stopIfTrue="1">
      <formula>IF($F1663="I",TRUE,FALSE)</formula>
    </cfRule>
  </conditionalFormatting>
  <conditionalFormatting sqref="B1664:D1664 F1664:G1664 I1664:P1664">
    <cfRule type="expression" dxfId="66" priority="32" stopIfTrue="1">
      <formula>IF($A1664&lt;&gt;"",IF(B1664="",TRUE,FALSE),FALSE)</formula>
    </cfRule>
  </conditionalFormatting>
  <conditionalFormatting sqref="M1664">
    <cfRule type="expression" dxfId="65" priority="31" stopIfTrue="1">
      <formula>IF($F1664="I",TRUE,FALSE)</formula>
    </cfRule>
  </conditionalFormatting>
  <conditionalFormatting sqref="B1665:D1665 F1665:G1665 I1665:P1665">
    <cfRule type="expression" dxfId="64" priority="30" stopIfTrue="1">
      <formula>IF($A1665&lt;&gt;"",IF(B1665="",TRUE,FALSE),FALSE)</formula>
    </cfRule>
  </conditionalFormatting>
  <conditionalFormatting sqref="M1665">
    <cfRule type="expression" dxfId="63" priority="29" stopIfTrue="1">
      <formula>IF($F1665="I",TRUE,FALSE)</formula>
    </cfRule>
  </conditionalFormatting>
  <conditionalFormatting sqref="B1666:D1666 F1666:G1666 I1666:P1666">
    <cfRule type="expression" dxfId="62" priority="28" stopIfTrue="1">
      <formula>IF($A1666&lt;&gt;"",IF(B1666="",TRUE,FALSE),FALSE)</formula>
    </cfRule>
  </conditionalFormatting>
  <conditionalFormatting sqref="M1666">
    <cfRule type="expression" dxfId="61" priority="27" stopIfTrue="1">
      <formula>IF($F1666="I",TRUE,FALSE)</formula>
    </cfRule>
  </conditionalFormatting>
  <conditionalFormatting sqref="B1667:D1667 F1667:G1667 I1667:P1667">
    <cfRule type="expression" dxfId="60" priority="26" stopIfTrue="1">
      <formula>IF($A1667&lt;&gt;"",IF(B1667="",TRUE,FALSE),FALSE)</formula>
    </cfRule>
  </conditionalFormatting>
  <conditionalFormatting sqref="M1667">
    <cfRule type="expression" dxfId="59" priority="25" stopIfTrue="1">
      <formula>IF($F1667="I",TRUE,FALSE)</formula>
    </cfRule>
  </conditionalFormatting>
  <conditionalFormatting sqref="B1668:D1668 F1668:G1668 I1668:P1668">
    <cfRule type="expression" dxfId="58" priority="24" stopIfTrue="1">
      <formula>IF($A1668&lt;&gt;"",IF(B1668="",TRUE,FALSE),FALSE)</formula>
    </cfRule>
  </conditionalFormatting>
  <conditionalFormatting sqref="M1668">
    <cfRule type="expression" dxfId="57" priority="23" stopIfTrue="1">
      <formula>IF($F1668="I",TRUE,FALSE)</formula>
    </cfRule>
  </conditionalFormatting>
  <conditionalFormatting sqref="B1669:D1669 F1669:G1669 I1669:P1669">
    <cfRule type="expression" dxfId="56" priority="22" stopIfTrue="1">
      <formula>IF($A1669&lt;&gt;"",IF(B1669="",TRUE,FALSE),FALSE)</formula>
    </cfRule>
  </conditionalFormatting>
  <conditionalFormatting sqref="M1669">
    <cfRule type="expression" dxfId="55" priority="21" stopIfTrue="1">
      <formula>IF($F1669="I",TRUE,FALSE)</formula>
    </cfRule>
  </conditionalFormatting>
  <conditionalFormatting sqref="B1670:D1670 F1670:G1670 I1670:P1670">
    <cfRule type="expression" dxfId="54" priority="20" stopIfTrue="1">
      <formula>IF($A1670&lt;&gt;"",IF(B1670="",TRUE,FALSE),FALSE)</formula>
    </cfRule>
  </conditionalFormatting>
  <conditionalFormatting sqref="M1670">
    <cfRule type="expression" dxfId="53" priority="19" stopIfTrue="1">
      <formula>IF($F1670="I",TRUE,FALSE)</formula>
    </cfRule>
  </conditionalFormatting>
  <conditionalFormatting sqref="B1671:D1671 F1671:G1671 I1671:P1671">
    <cfRule type="expression" dxfId="52" priority="18" stopIfTrue="1">
      <formula>IF($A1671&lt;&gt;"",IF(B1671="",TRUE,FALSE),FALSE)</formula>
    </cfRule>
  </conditionalFormatting>
  <conditionalFormatting sqref="M1671">
    <cfRule type="expression" dxfId="51" priority="17" stopIfTrue="1">
      <formula>IF($F1671="I",TRUE,FALSE)</formula>
    </cfRule>
  </conditionalFormatting>
  <conditionalFormatting sqref="B1672:D1672 F1672:G1672 I1672:P1672">
    <cfRule type="expression" dxfId="50" priority="16" stopIfTrue="1">
      <formula>IF($A1672&lt;&gt;"",IF(B1672="",TRUE,FALSE),FALSE)</formula>
    </cfRule>
  </conditionalFormatting>
  <conditionalFormatting sqref="M1672">
    <cfRule type="expression" dxfId="49" priority="15" stopIfTrue="1">
      <formula>IF($F1672="I",TRUE,FALSE)</formula>
    </cfRule>
  </conditionalFormatting>
  <conditionalFormatting sqref="B1673:D1673 F1673:G1673 I1673:P1673">
    <cfRule type="expression" dxfId="48" priority="14" stopIfTrue="1">
      <formula>IF($A1673&lt;&gt;"",IF(B1673="",TRUE,FALSE),FALSE)</formula>
    </cfRule>
  </conditionalFormatting>
  <conditionalFormatting sqref="M1673">
    <cfRule type="expression" dxfId="47" priority="13" stopIfTrue="1">
      <formula>IF($F1673="I",TRUE,FALSE)</formula>
    </cfRule>
  </conditionalFormatting>
  <conditionalFormatting sqref="B1674:D1674 F1674:G1674 I1674:P1674">
    <cfRule type="expression" dxfId="46" priority="12" stopIfTrue="1">
      <formula>IF($A1674&lt;&gt;"",IF(B1674="",TRUE,FALSE),FALSE)</formula>
    </cfRule>
  </conditionalFormatting>
  <conditionalFormatting sqref="M1674">
    <cfRule type="expression" dxfId="45" priority="11" stopIfTrue="1">
      <formula>IF($F1674="I",TRUE,FALSE)</formula>
    </cfRule>
  </conditionalFormatting>
  <conditionalFormatting sqref="B1675:D1675 F1675:G1675 I1675:P1675">
    <cfRule type="expression" dxfId="44" priority="10" stopIfTrue="1">
      <formula>IF($A1675&lt;&gt;"",IF(B1675="",TRUE,FALSE),FALSE)</formula>
    </cfRule>
  </conditionalFormatting>
  <conditionalFormatting sqref="M1675">
    <cfRule type="expression" dxfId="43" priority="9" stopIfTrue="1">
      <formula>IF($F1675="I",TRUE,FALSE)</formula>
    </cfRule>
  </conditionalFormatting>
  <conditionalFormatting sqref="B1676:D1676 F1676:G1676 I1676:P1676">
    <cfRule type="expression" dxfId="42" priority="8" stopIfTrue="1">
      <formula>IF($A1676&lt;&gt;"",IF(B1676="",TRUE,FALSE),FALSE)</formula>
    </cfRule>
  </conditionalFormatting>
  <conditionalFormatting sqref="M1676">
    <cfRule type="expression" dxfId="41" priority="7" stopIfTrue="1">
      <formula>IF($F1676="I",TRUE,FALSE)</formula>
    </cfRule>
  </conditionalFormatting>
  <conditionalFormatting sqref="B1677:D1677 F1677:G1677 I1677:P1677">
    <cfRule type="expression" dxfId="40" priority="6" stopIfTrue="1">
      <formula>IF($A1677&lt;&gt;"",IF(B1677="",TRUE,FALSE),FALSE)</formula>
    </cfRule>
  </conditionalFormatting>
  <conditionalFormatting sqref="M1677">
    <cfRule type="expression" dxfId="39" priority="5" stopIfTrue="1">
      <formula>IF($F1677="I",TRUE,FALSE)</formula>
    </cfRule>
  </conditionalFormatting>
  <conditionalFormatting sqref="B1678:D1678 F1678:G1678 I1678:P1678">
    <cfRule type="expression" dxfId="38" priority="4" stopIfTrue="1">
      <formula>IF($A1678&lt;&gt;"",IF(B1678="",TRUE,FALSE),FALSE)</formula>
    </cfRule>
  </conditionalFormatting>
  <conditionalFormatting sqref="M1678">
    <cfRule type="expression" dxfId="37" priority="3" stopIfTrue="1">
      <formula>IF($F1678="I",TRUE,FALSE)</formula>
    </cfRule>
  </conditionalFormatting>
  <conditionalFormatting sqref="B1679:D1679 F1679:G1679 I1679:P1679">
    <cfRule type="expression" dxfId="36" priority="2" stopIfTrue="1">
      <formula>IF($A1679&lt;&gt;"",IF(B1679="",TRUE,FALSE),FALSE)</formula>
    </cfRule>
  </conditionalFormatting>
  <conditionalFormatting sqref="M1679">
    <cfRule type="expression" dxfId="35" priority="1" stopIfTrue="1">
      <formula>IF($F1679="I",TRUE,FALSE)</formula>
    </cfRule>
  </conditionalFormatting>
  <dataValidations count="5024">
    <dataValidation type="list" allowBlank="1" showInputMessage="1" showErrorMessage="1" sqref="G5">
      <formula1>$T$1:$T$2</formula1>
    </dataValidation>
    <dataValidation type="list" allowBlank="1" showInputMessage="1" showErrorMessage="1" sqref="F5">
      <formula1>$S$1:$S$3</formula1>
    </dataValidation>
    <dataValidation type="list" allowBlank="1" showInputMessage="1" showErrorMessage="1" sqref="D6">
      <formula1>FDDValList</formula1>
    </dataValidation>
    <dataValidation type="list" allowBlank="1" showInputMessage="1" showErrorMessage="1" sqref="F6">
      <formula1>"I, O, M, D, N"</formula1>
    </dataValidation>
    <dataValidation type="list" allowBlank="1" showInputMessage="1" showErrorMessage="1" sqref="G6">
      <formula1>"Y, N"</formula1>
    </dataValidation>
    <dataValidation type="list" allowBlank="1" showInputMessage="1" showErrorMessage="1" sqref="D7">
      <formula1>FDDValList</formula1>
    </dataValidation>
    <dataValidation type="list" allowBlank="1" showInputMessage="1" showErrorMessage="1" sqref="F7">
      <formula1>"I, O, M, D, N"</formula1>
    </dataValidation>
    <dataValidation type="list" allowBlank="1" showInputMessage="1" showErrorMessage="1" sqref="G7">
      <formula1>"Y, N"</formula1>
    </dataValidation>
    <dataValidation type="list" allowBlank="1" showInputMessage="1" showErrorMessage="1" sqref="D8">
      <formula1>FDDValList</formula1>
    </dataValidation>
    <dataValidation type="list" allowBlank="1" showInputMessage="1" showErrorMessage="1" sqref="F8">
      <formula1>"I, O, M, D, N"</formula1>
    </dataValidation>
    <dataValidation type="list" allowBlank="1" showInputMessage="1" showErrorMessage="1" sqref="G8">
      <formula1>"Y, N"</formula1>
    </dataValidation>
    <dataValidation type="list" allowBlank="1" showInputMessage="1" showErrorMessage="1" sqref="D9">
      <formula1>FDDValList</formula1>
    </dataValidation>
    <dataValidation type="list" allowBlank="1" showInputMessage="1" showErrorMessage="1" sqref="F9">
      <formula1>"I, O, M, D, N"</formula1>
    </dataValidation>
    <dataValidation type="list" allowBlank="1" showInputMessage="1" showErrorMessage="1" sqref="G9">
      <formula1>"Y, N"</formula1>
    </dataValidation>
    <dataValidation type="list" allowBlank="1" showInputMessage="1" showErrorMessage="1" sqref="D10">
      <formula1>FDDValList</formula1>
    </dataValidation>
    <dataValidation type="list" allowBlank="1" showInputMessage="1" showErrorMessage="1" sqref="F10">
      <formula1>"I, O, M, D, N"</formula1>
    </dataValidation>
    <dataValidation type="list" allowBlank="1" showInputMessage="1" showErrorMessage="1" sqref="G10">
      <formula1>"Y, N"</formula1>
    </dataValidation>
    <dataValidation type="list" allowBlank="1" showInputMessage="1" showErrorMessage="1" sqref="D11">
      <formula1>FDDValList</formula1>
    </dataValidation>
    <dataValidation type="list" allowBlank="1" showInputMessage="1" showErrorMessage="1" sqref="F11">
      <formula1>"I, O, M, D, N"</formula1>
    </dataValidation>
    <dataValidation type="list" allowBlank="1" showInputMessage="1" showErrorMessage="1" sqref="G11">
      <formula1>"Y, N"</formula1>
    </dataValidation>
    <dataValidation type="list" allowBlank="1" showInputMessage="1" showErrorMessage="1" sqref="D12">
      <formula1>FDDValList</formula1>
    </dataValidation>
    <dataValidation type="list" allowBlank="1" showInputMessage="1" showErrorMessage="1" sqref="F12">
      <formula1>"I, O, M, D, N"</formula1>
    </dataValidation>
    <dataValidation type="list" allowBlank="1" showInputMessage="1" showErrorMessage="1" sqref="G12">
      <formula1>"Y, N"</formula1>
    </dataValidation>
    <dataValidation type="list" allowBlank="1" showInputMessage="1" showErrorMessage="1" sqref="D13">
      <formula1>FDDValList</formula1>
    </dataValidation>
    <dataValidation type="list" allowBlank="1" showInputMessage="1" showErrorMessage="1" sqref="F13">
      <formula1>"I, O, M, D, N"</formula1>
    </dataValidation>
    <dataValidation type="list" allowBlank="1" showInputMessage="1" showErrorMessage="1" sqref="G13">
      <formula1>"Y, N"</formula1>
    </dataValidation>
    <dataValidation type="list" allowBlank="1" showInputMessage="1" showErrorMessage="1" sqref="D14">
      <formula1>FDDValList</formula1>
    </dataValidation>
    <dataValidation type="list" allowBlank="1" showInputMessage="1" showErrorMessage="1" sqref="F14">
      <formula1>"I, O, M, D, N"</formula1>
    </dataValidation>
    <dataValidation type="list" allowBlank="1" showInputMessage="1" showErrorMessage="1" sqref="G14">
      <formula1>"Y, N"</formula1>
    </dataValidation>
    <dataValidation type="list" allowBlank="1" showInputMessage="1" showErrorMessage="1" sqref="D15">
      <formula1>FDDValList</formula1>
    </dataValidation>
    <dataValidation type="list" allowBlank="1" showInputMessage="1" showErrorMessage="1" sqref="F15">
      <formula1>"I, O, M, D, N"</formula1>
    </dataValidation>
    <dataValidation type="list" allowBlank="1" showInputMessage="1" showErrorMessage="1" sqref="G15">
      <formula1>"Y, N"</formula1>
    </dataValidation>
    <dataValidation type="list" allowBlank="1" showInputMessage="1" showErrorMessage="1" sqref="D16">
      <formula1>FDDValList</formula1>
    </dataValidation>
    <dataValidation type="list" allowBlank="1" showInputMessage="1" showErrorMessage="1" sqref="F16">
      <formula1>"I, O, M, D, N"</formula1>
    </dataValidation>
    <dataValidation type="list" allowBlank="1" showInputMessage="1" showErrorMessage="1" sqref="G16">
      <formula1>"Y, N"</formula1>
    </dataValidation>
    <dataValidation type="list" allowBlank="1" showInputMessage="1" showErrorMessage="1" sqref="D17">
      <formula1>FDDValList</formula1>
    </dataValidation>
    <dataValidation type="list" allowBlank="1" showInputMessage="1" showErrorMessage="1" sqref="F17">
      <formula1>"I, O, M, D, N"</formula1>
    </dataValidation>
    <dataValidation type="list" allowBlank="1" showInputMessage="1" showErrorMessage="1" sqref="G17">
      <formula1>"Y, N"</formula1>
    </dataValidation>
    <dataValidation type="list" allowBlank="1" showInputMessage="1" showErrorMessage="1" sqref="D18">
      <formula1>FDDValList</formula1>
    </dataValidation>
    <dataValidation type="list" allowBlank="1" showInputMessage="1" showErrorMessage="1" sqref="F18">
      <formula1>"I, O, M, D, N"</formula1>
    </dataValidation>
    <dataValidation type="list" allowBlank="1" showInputMessage="1" showErrorMessage="1" sqref="G18">
      <formula1>"Y, N"</formula1>
    </dataValidation>
    <dataValidation type="list" allowBlank="1" showInputMessage="1" showErrorMessage="1" sqref="D19">
      <formula1>FDDValList</formula1>
    </dataValidation>
    <dataValidation type="list" allowBlank="1" showInputMessage="1" showErrorMessage="1" sqref="F19">
      <formula1>"I, O, M, D, N"</formula1>
    </dataValidation>
    <dataValidation type="list" allowBlank="1" showInputMessage="1" showErrorMessage="1" sqref="G19">
      <formula1>"Y, N"</formula1>
    </dataValidation>
    <dataValidation type="list" allowBlank="1" showInputMessage="1" showErrorMessage="1" sqref="D20">
      <formula1>FDDValList</formula1>
    </dataValidation>
    <dataValidation type="list" allowBlank="1" showInputMessage="1" showErrorMessage="1" sqref="F20">
      <formula1>"I, O, M, D, N"</formula1>
    </dataValidation>
    <dataValidation type="list" allowBlank="1" showInputMessage="1" showErrorMessage="1" sqref="G20">
      <formula1>"Y, N"</formula1>
    </dataValidation>
    <dataValidation type="list" allowBlank="1" showInputMessage="1" showErrorMessage="1" sqref="D21">
      <formula1>FDDValList</formula1>
    </dataValidation>
    <dataValidation type="list" allowBlank="1" showInputMessage="1" showErrorMessage="1" sqref="F21">
      <formula1>"I, O, M, D, N"</formula1>
    </dataValidation>
    <dataValidation type="list" allowBlank="1" showInputMessage="1" showErrorMessage="1" sqref="G21">
      <formula1>"Y, N"</formula1>
    </dataValidation>
    <dataValidation type="list" allowBlank="1" showInputMessage="1" showErrorMessage="1" sqref="D22">
      <formula1>FDDValList</formula1>
    </dataValidation>
    <dataValidation type="list" allowBlank="1" showInputMessage="1" showErrorMessage="1" sqref="F22">
      <formula1>"I, O, M, D, N"</formula1>
    </dataValidation>
    <dataValidation type="list" allowBlank="1" showInputMessage="1" showErrorMessage="1" sqref="G22">
      <formula1>"Y, N"</formula1>
    </dataValidation>
    <dataValidation type="list" allowBlank="1" showInputMessage="1" showErrorMessage="1" sqref="D23">
      <formula1>FDDValList</formula1>
    </dataValidation>
    <dataValidation type="list" allowBlank="1" showInputMessage="1" showErrorMessage="1" sqref="F23">
      <formula1>"I, O, M, D, N"</formula1>
    </dataValidation>
    <dataValidation type="list" allowBlank="1" showInputMessage="1" showErrorMessage="1" sqref="G23">
      <formula1>"Y, N"</formula1>
    </dataValidation>
    <dataValidation type="list" allowBlank="1" showInputMessage="1" showErrorMessage="1" sqref="D24">
      <formula1>FDDValList</formula1>
    </dataValidation>
    <dataValidation type="list" allowBlank="1" showInputMessage="1" showErrorMessage="1" sqref="F24">
      <formula1>"I, O, M, D, N"</formula1>
    </dataValidation>
    <dataValidation type="list" allowBlank="1" showInputMessage="1" showErrorMessage="1" sqref="G24">
      <formula1>"Y, N"</formula1>
    </dataValidation>
    <dataValidation type="list" allowBlank="1" showInputMessage="1" showErrorMessage="1" sqref="D25">
      <formula1>FDDValList</formula1>
    </dataValidation>
    <dataValidation type="list" allowBlank="1" showInputMessage="1" showErrorMessage="1" sqref="F25">
      <formula1>"I, O, M, D, N"</formula1>
    </dataValidation>
    <dataValidation type="list" allowBlank="1" showInputMessage="1" showErrorMessage="1" sqref="G25">
      <formula1>"Y, N"</formula1>
    </dataValidation>
    <dataValidation type="list" allowBlank="1" showInputMessage="1" showErrorMessage="1" sqref="D26">
      <formula1>FDDValList</formula1>
    </dataValidation>
    <dataValidation type="list" allowBlank="1" showInputMessage="1" showErrorMessage="1" sqref="F26">
      <formula1>"I, O, M, D, N"</formula1>
    </dataValidation>
    <dataValidation type="list" allowBlank="1" showInputMessage="1" showErrorMessage="1" sqref="G26">
      <formula1>"Y, N"</formula1>
    </dataValidation>
    <dataValidation type="list" allowBlank="1" showInputMessage="1" showErrorMessage="1" sqref="D27">
      <formula1>FDDValList</formula1>
    </dataValidation>
    <dataValidation type="list" allowBlank="1" showInputMessage="1" showErrorMessage="1" sqref="F27">
      <formula1>"I, O, M, D, N"</formula1>
    </dataValidation>
    <dataValidation type="list" allowBlank="1" showInputMessage="1" showErrorMessage="1" sqref="G27">
      <formula1>"Y, N"</formula1>
    </dataValidation>
    <dataValidation type="list" allowBlank="1" showInputMessage="1" showErrorMessage="1" sqref="D28">
      <formula1>FDDValList</formula1>
    </dataValidation>
    <dataValidation type="list" allowBlank="1" showInputMessage="1" showErrorMessage="1" sqref="F28">
      <formula1>"I, O, M, D, N"</formula1>
    </dataValidation>
    <dataValidation type="list" allowBlank="1" showInputMessage="1" showErrorMessage="1" sqref="G28">
      <formula1>"Y, N"</formula1>
    </dataValidation>
    <dataValidation type="list" allowBlank="1" showInputMessage="1" showErrorMessage="1" sqref="D29">
      <formula1>FDDValList</formula1>
    </dataValidation>
    <dataValidation type="list" allowBlank="1" showInputMessage="1" showErrorMessage="1" sqref="F29">
      <formula1>"I, O, M, D, N"</formula1>
    </dataValidation>
    <dataValidation type="list" allowBlank="1" showInputMessage="1" showErrorMessage="1" sqref="G29">
      <formula1>"Y, N"</formula1>
    </dataValidation>
    <dataValidation type="list" allowBlank="1" showInputMessage="1" showErrorMessage="1" sqref="D30">
      <formula1>FDDValList</formula1>
    </dataValidation>
    <dataValidation type="list" allowBlank="1" showInputMessage="1" showErrorMessage="1" sqref="F30">
      <formula1>"I, O, M, D, N"</formula1>
    </dataValidation>
    <dataValidation type="list" allowBlank="1" showInputMessage="1" showErrorMessage="1" sqref="G30">
      <formula1>"Y, N"</formula1>
    </dataValidation>
    <dataValidation type="list" allowBlank="1" showInputMessage="1" showErrorMessage="1" sqref="D31">
      <formula1>FDDValList</formula1>
    </dataValidation>
    <dataValidation type="list" allowBlank="1" showInputMessage="1" showErrorMessage="1" sqref="F31">
      <formula1>"I, O, M, D, N"</formula1>
    </dataValidation>
    <dataValidation type="list" allowBlank="1" showInputMessage="1" showErrorMessage="1" sqref="G31">
      <formula1>"Y, N"</formula1>
    </dataValidation>
    <dataValidation type="list" allowBlank="1" showInputMessage="1" showErrorMessage="1" sqref="D32">
      <formula1>FDDValList</formula1>
    </dataValidation>
    <dataValidation type="list" allowBlank="1" showInputMessage="1" showErrorMessage="1" sqref="F32">
      <formula1>"I, O, M, D, N"</formula1>
    </dataValidation>
    <dataValidation type="list" allowBlank="1" showInputMessage="1" showErrorMessage="1" sqref="G32">
      <formula1>"Y, N"</formula1>
    </dataValidation>
    <dataValidation type="list" allowBlank="1" showInputMessage="1" showErrorMessage="1" sqref="D33">
      <formula1>FDDValList</formula1>
    </dataValidation>
    <dataValidation type="list" allowBlank="1" showInputMessage="1" showErrorMessage="1" sqref="F33">
      <formula1>"I, O, M, D, N"</formula1>
    </dataValidation>
    <dataValidation type="list" allowBlank="1" showInputMessage="1" showErrorMessage="1" sqref="G33">
      <formula1>"Y, N"</formula1>
    </dataValidation>
    <dataValidation type="list" allowBlank="1" showInputMessage="1" showErrorMessage="1" sqref="D34">
      <formula1>FDDValList</formula1>
    </dataValidation>
    <dataValidation type="list" allowBlank="1" showInputMessage="1" showErrorMessage="1" sqref="F34">
      <formula1>"I, O, M, D, N"</formula1>
    </dataValidation>
    <dataValidation type="list" allowBlank="1" showInputMessage="1" showErrorMessage="1" sqref="G34">
      <formula1>"Y, N"</formula1>
    </dataValidation>
    <dataValidation type="list" allowBlank="1" showInputMessage="1" showErrorMessage="1" sqref="D35">
      <formula1>FDDValList</formula1>
    </dataValidation>
    <dataValidation type="list" allowBlank="1" showInputMessage="1" showErrorMessage="1" sqref="F35">
      <formula1>"I, O, M, D, N"</formula1>
    </dataValidation>
    <dataValidation type="list" allowBlank="1" showInputMessage="1" showErrorMessage="1" sqref="G35">
      <formula1>"Y, N"</formula1>
    </dataValidation>
    <dataValidation type="list" allowBlank="1" showInputMessage="1" showErrorMessage="1" sqref="D36">
      <formula1>FDDValList</formula1>
    </dataValidation>
    <dataValidation type="list" allowBlank="1" showInputMessage="1" showErrorMessage="1" sqref="F36">
      <formula1>"I, O, M, D, N"</formula1>
    </dataValidation>
    <dataValidation type="list" allowBlank="1" showInputMessage="1" showErrorMessage="1" sqref="G36">
      <formula1>"Y, N"</formula1>
    </dataValidation>
    <dataValidation type="list" allowBlank="1" showInputMessage="1" showErrorMessage="1" sqref="D37">
      <formula1>FDDValList</formula1>
    </dataValidation>
    <dataValidation type="list" allowBlank="1" showInputMessage="1" showErrorMessage="1" sqref="F37">
      <formula1>"I, O, M, D, N"</formula1>
    </dataValidation>
    <dataValidation type="list" allowBlank="1" showInputMessage="1" showErrorMessage="1" sqref="G37">
      <formula1>"Y, N"</formula1>
    </dataValidation>
    <dataValidation type="list" allowBlank="1" showInputMessage="1" showErrorMessage="1" sqref="D38">
      <formula1>FDDValList</formula1>
    </dataValidation>
    <dataValidation type="list" allowBlank="1" showInputMessage="1" showErrorMessage="1" sqref="F38">
      <formula1>"I, O, M, D, N"</formula1>
    </dataValidation>
    <dataValidation type="list" allowBlank="1" showInputMessage="1" showErrorMessage="1" sqref="G38">
      <formula1>"Y, N"</formula1>
    </dataValidation>
    <dataValidation type="list" allowBlank="1" showInputMessage="1" showErrorMessage="1" sqref="D39">
      <formula1>FDDValList</formula1>
    </dataValidation>
    <dataValidation type="list" allowBlank="1" showInputMessage="1" showErrorMessage="1" sqref="F39">
      <formula1>"I, O, M, D, N"</formula1>
    </dataValidation>
    <dataValidation type="list" allowBlank="1" showInputMessage="1" showErrorMessage="1" sqref="G39">
      <formula1>"Y, N"</formula1>
    </dataValidation>
    <dataValidation type="list" allowBlank="1" showInputMessage="1" showErrorMessage="1" sqref="D40">
      <formula1>FDDValList</formula1>
    </dataValidation>
    <dataValidation type="list" allowBlank="1" showInputMessage="1" showErrorMessage="1" sqref="F40">
      <formula1>"I, O, M, D, N"</formula1>
    </dataValidation>
    <dataValidation type="list" allowBlank="1" showInputMessage="1" showErrorMessage="1" sqref="G40">
      <formula1>"Y, N"</formula1>
    </dataValidation>
    <dataValidation type="list" allowBlank="1" showInputMessage="1" showErrorMessage="1" sqref="D41">
      <formula1>FDDValList</formula1>
    </dataValidation>
    <dataValidation type="list" allowBlank="1" showInputMessage="1" showErrorMessage="1" sqref="F41">
      <formula1>"I, O, M, D, N"</formula1>
    </dataValidation>
    <dataValidation type="list" allowBlank="1" showInputMessage="1" showErrorMessage="1" sqref="G41">
      <formula1>"Y, N"</formula1>
    </dataValidation>
    <dataValidation type="list" allowBlank="1" showInputMessage="1" showErrorMessage="1" sqref="D42">
      <formula1>FDDValList</formula1>
    </dataValidation>
    <dataValidation type="list" allowBlank="1" showInputMessage="1" showErrorMessage="1" sqref="F42">
      <formula1>"I, O, M, D, N"</formula1>
    </dataValidation>
    <dataValidation type="list" allowBlank="1" showInputMessage="1" showErrorMessage="1" sqref="G42">
      <formula1>"Y, N"</formula1>
    </dataValidation>
    <dataValidation type="list" allowBlank="1" showInputMessage="1" showErrorMessage="1" sqref="D43">
      <formula1>FDDValList</formula1>
    </dataValidation>
    <dataValidation type="list" allowBlank="1" showInputMessage="1" showErrorMessage="1" sqref="F43">
      <formula1>"I, O, M, D, N"</formula1>
    </dataValidation>
    <dataValidation type="list" allowBlank="1" showInputMessage="1" showErrorMessage="1" sqref="G43">
      <formula1>"Y, N"</formula1>
    </dataValidation>
    <dataValidation type="list" allowBlank="1" showInputMessage="1" showErrorMessage="1" sqref="D44">
      <formula1>FDDValList</formula1>
    </dataValidation>
    <dataValidation type="list" allowBlank="1" showInputMessage="1" showErrorMessage="1" sqref="F44">
      <formula1>"I, O, M, D, N"</formula1>
    </dataValidation>
    <dataValidation type="list" allowBlank="1" showInputMessage="1" showErrorMessage="1" sqref="G44">
      <formula1>"Y, N"</formula1>
    </dataValidation>
    <dataValidation type="list" allowBlank="1" showInputMessage="1" showErrorMessage="1" sqref="D45">
      <formula1>FDDValList</formula1>
    </dataValidation>
    <dataValidation type="list" allowBlank="1" showInputMessage="1" showErrorMessage="1" sqref="F45">
      <formula1>"I, O, M, D, N"</formula1>
    </dataValidation>
    <dataValidation type="list" allowBlank="1" showInputMessage="1" showErrorMessage="1" sqref="G45">
      <formula1>"Y, N"</formula1>
    </dataValidation>
    <dataValidation type="list" allowBlank="1" showInputMessage="1" showErrorMessage="1" sqref="D46">
      <formula1>FDDValList</formula1>
    </dataValidation>
    <dataValidation type="list" allowBlank="1" showInputMessage="1" showErrorMessage="1" sqref="F46">
      <formula1>"I, O, M, D, N"</formula1>
    </dataValidation>
    <dataValidation type="list" allowBlank="1" showInputMessage="1" showErrorMessage="1" sqref="G46">
      <formula1>"Y, N"</formula1>
    </dataValidation>
    <dataValidation type="list" allowBlank="1" showInputMessage="1" showErrorMessage="1" sqref="D47">
      <formula1>FDDValList</formula1>
    </dataValidation>
    <dataValidation type="list" allowBlank="1" showInputMessage="1" showErrorMessage="1" sqref="F47">
      <formula1>"I, O, M, D, N"</formula1>
    </dataValidation>
    <dataValidation type="list" allowBlank="1" showInputMessage="1" showErrorMessage="1" sqref="G47">
      <formula1>"Y, N"</formula1>
    </dataValidation>
    <dataValidation type="list" allowBlank="1" showInputMessage="1" showErrorMessage="1" sqref="D48">
      <formula1>FDDValList</formula1>
    </dataValidation>
    <dataValidation type="list" allowBlank="1" showInputMessage="1" showErrorMessage="1" sqref="F48">
      <formula1>"I, O, M, D, N"</formula1>
    </dataValidation>
    <dataValidation type="list" allowBlank="1" showInputMessage="1" showErrorMessage="1" sqref="G48">
      <formula1>"Y, N"</formula1>
    </dataValidation>
    <dataValidation type="list" allowBlank="1" showInputMessage="1" showErrorMessage="1" sqref="D49">
      <formula1>FDDValList</formula1>
    </dataValidation>
    <dataValidation type="list" allowBlank="1" showInputMessage="1" showErrorMessage="1" sqref="F49">
      <formula1>"I, O, M, D, N"</formula1>
    </dataValidation>
    <dataValidation type="list" allowBlank="1" showInputMessage="1" showErrorMessage="1" sqref="G49">
      <formula1>"Y, N"</formula1>
    </dataValidation>
    <dataValidation type="list" allowBlank="1" showInputMessage="1" showErrorMessage="1" sqref="D50">
      <formula1>FDDValList</formula1>
    </dataValidation>
    <dataValidation type="list" allowBlank="1" showInputMessage="1" showErrorMessage="1" sqref="F50">
      <formula1>"I, O, M, D, N"</formula1>
    </dataValidation>
    <dataValidation type="list" allowBlank="1" showInputMessage="1" showErrorMessage="1" sqref="G50">
      <formula1>"Y, N"</formula1>
    </dataValidation>
    <dataValidation type="list" allowBlank="1" showInputMessage="1" showErrorMessage="1" sqref="D51">
      <formula1>FDDValList</formula1>
    </dataValidation>
    <dataValidation type="list" allowBlank="1" showInputMessage="1" showErrorMessage="1" sqref="F51">
      <formula1>"I, O, M, D, N"</formula1>
    </dataValidation>
    <dataValidation type="list" allowBlank="1" showInputMessage="1" showErrorMessage="1" sqref="G51">
      <formula1>"Y, N"</formula1>
    </dataValidation>
    <dataValidation type="list" allowBlank="1" showInputMessage="1" showErrorMessage="1" sqref="D52">
      <formula1>FDDValList</formula1>
    </dataValidation>
    <dataValidation type="list" allowBlank="1" showInputMessage="1" showErrorMessage="1" sqref="F52">
      <formula1>"I, O, M, D, N"</formula1>
    </dataValidation>
    <dataValidation type="list" allowBlank="1" showInputMessage="1" showErrorMessage="1" sqref="G52">
      <formula1>"Y, N"</formula1>
    </dataValidation>
    <dataValidation type="list" allowBlank="1" showInputMessage="1" showErrorMessage="1" sqref="D53">
      <formula1>FDDValList</formula1>
    </dataValidation>
    <dataValidation type="list" allowBlank="1" showInputMessage="1" showErrorMessage="1" sqref="F53">
      <formula1>"I, O, M, D, N"</formula1>
    </dataValidation>
    <dataValidation type="list" allowBlank="1" showInputMessage="1" showErrorMessage="1" sqref="G53">
      <formula1>"Y, N"</formula1>
    </dataValidation>
    <dataValidation type="list" allowBlank="1" showInputMessage="1" showErrorMessage="1" sqref="D54">
      <formula1>FDDValList</formula1>
    </dataValidation>
    <dataValidation type="list" allowBlank="1" showInputMessage="1" showErrorMessage="1" sqref="F54">
      <formula1>"I, O, M, D, N"</formula1>
    </dataValidation>
    <dataValidation type="list" allowBlank="1" showInputMessage="1" showErrorMessage="1" sqref="G54">
      <formula1>"Y, N"</formula1>
    </dataValidation>
    <dataValidation type="list" allowBlank="1" showInputMessage="1" showErrorMessage="1" sqref="D55">
      <formula1>FDDValList</formula1>
    </dataValidation>
    <dataValidation type="list" allowBlank="1" showInputMessage="1" showErrorMessage="1" sqref="F55">
      <formula1>"I, O, M, D, N"</formula1>
    </dataValidation>
    <dataValidation type="list" allowBlank="1" showInputMessage="1" showErrorMessage="1" sqref="G55">
      <formula1>"Y, N"</formula1>
    </dataValidation>
    <dataValidation type="list" allowBlank="1" showInputMessage="1" showErrorMessage="1" sqref="D56">
      <formula1>FDDValList</formula1>
    </dataValidation>
    <dataValidation type="list" allowBlank="1" showInputMessage="1" showErrorMessage="1" sqref="F56">
      <formula1>"I, O, M, D, N"</formula1>
    </dataValidation>
    <dataValidation type="list" allowBlank="1" showInputMessage="1" showErrorMessage="1" sqref="G56">
      <formula1>"Y, N"</formula1>
    </dataValidation>
    <dataValidation type="list" allowBlank="1" showInputMessage="1" showErrorMessage="1" sqref="D57">
      <formula1>FDDValList</formula1>
    </dataValidation>
    <dataValidation type="list" allowBlank="1" showInputMessage="1" showErrorMessage="1" sqref="F57">
      <formula1>"I, O, M, D, N"</formula1>
    </dataValidation>
    <dataValidation type="list" allowBlank="1" showInputMessage="1" showErrorMessage="1" sqref="G57">
      <formula1>"Y, N"</formula1>
    </dataValidation>
    <dataValidation type="list" allowBlank="1" showInputMessage="1" showErrorMessage="1" sqref="D58">
      <formula1>FDDValList</formula1>
    </dataValidation>
    <dataValidation type="list" allowBlank="1" showInputMessage="1" showErrorMessage="1" sqref="F58">
      <formula1>"I, O, M, D, N"</formula1>
    </dataValidation>
    <dataValidation type="list" allowBlank="1" showInputMessage="1" showErrorMessage="1" sqref="G58">
      <formula1>"Y, N"</formula1>
    </dataValidation>
    <dataValidation type="list" allowBlank="1" showInputMessage="1" showErrorMessage="1" sqref="D59">
      <formula1>FDDValList</formula1>
    </dataValidation>
    <dataValidation type="list" allowBlank="1" showInputMessage="1" showErrorMessage="1" sqref="F59">
      <formula1>"I, O, M, D, N"</formula1>
    </dataValidation>
    <dataValidation type="list" allowBlank="1" showInputMessage="1" showErrorMessage="1" sqref="G59">
      <formula1>"Y, N"</formula1>
    </dataValidation>
    <dataValidation type="list" allowBlank="1" showInputMessage="1" showErrorMessage="1" sqref="D60">
      <formula1>FDDValList</formula1>
    </dataValidation>
    <dataValidation type="list" allowBlank="1" showInputMessage="1" showErrorMessage="1" sqref="F60">
      <formula1>"I, O, M, D, N"</formula1>
    </dataValidation>
    <dataValidation type="list" allowBlank="1" showInputMessage="1" showErrorMessage="1" sqref="G60">
      <formula1>"Y, N"</formula1>
    </dataValidation>
    <dataValidation type="list" allowBlank="1" showInputMessage="1" showErrorMessage="1" sqref="D61">
      <formula1>FDDValList</formula1>
    </dataValidation>
    <dataValidation type="list" allowBlank="1" showInputMessage="1" showErrorMessage="1" sqref="F61">
      <formula1>"I, O, M, D, N"</formula1>
    </dataValidation>
    <dataValidation type="list" allowBlank="1" showInputMessage="1" showErrorMessage="1" sqref="G61">
      <formula1>"Y, N"</formula1>
    </dataValidation>
    <dataValidation type="list" allowBlank="1" showInputMessage="1" showErrorMessage="1" sqref="D62">
      <formula1>FDDValList</formula1>
    </dataValidation>
    <dataValidation type="list" allowBlank="1" showInputMessage="1" showErrorMessage="1" sqref="F62">
      <formula1>"I, O, M, D, N"</formula1>
    </dataValidation>
    <dataValidation type="list" allowBlank="1" showInputMessage="1" showErrorMessage="1" sqref="G62">
      <formula1>"Y, N"</formula1>
    </dataValidation>
    <dataValidation type="list" allowBlank="1" showInputMessage="1" showErrorMessage="1" sqref="D63">
      <formula1>FDDValList</formula1>
    </dataValidation>
    <dataValidation type="list" allowBlank="1" showInputMessage="1" showErrorMessage="1" sqref="F63">
      <formula1>"I, O, M, D, N"</formula1>
    </dataValidation>
    <dataValidation type="list" allowBlank="1" showInputMessage="1" showErrorMessage="1" sqref="G63">
      <formula1>"Y, N"</formula1>
    </dataValidation>
    <dataValidation type="list" allowBlank="1" showInputMessage="1" showErrorMessage="1" sqref="D64">
      <formula1>FDDValList</formula1>
    </dataValidation>
    <dataValidation type="list" allowBlank="1" showInputMessage="1" showErrorMessage="1" sqref="F64">
      <formula1>"I, O, M, D, N"</formula1>
    </dataValidation>
    <dataValidation type="list" allowBlank="1" showInputMessage="1" showErrorMessage="1" sqref="G64">
      <formula1>"Y, N"</formula1>
    </dataValidation>
    <dataValidation type="list" allowBlank="1" showInputMessage="1" showErrorMessage="1" sqref="D65">
      <formula1>FDDValList</formula1>
    </dataValidation>
    <dataValidation type="list" allowBlank="1" showInputMessage="1" showErrorMessage="1" sqref="F65">
      <formula1>"I, O, M, D, N"</formula1>
    </dataValidation>
    <dataValidation type="list" allowBlank="1" showInputMessage="1" showErrorMessage="1" sqref="G65">
      <formula1>"Y, N"</formula1>
    </dataValidation>
    <dataValidation type="list" allowBlank="1" showInputMessage="1" showErrorMessage="1" sqref="D66">
      <formula1>FDDValList</formula1>
    </dataValidation>
    <dataValidation type="list" allowBlank="1" showInputMessage="1" showErrorMessage="1" sqref="F66">
      <formula1>"I, O, M, D, N"</formula1>
    </dataValidation>
    <dataValidation type="list" allowBlank="1" showInputMessage="1" showErrorMessage="1" sqref="G66">
      <formula1>"Y, N"</formula1>
    </dataValidation>
    <dataValidation type="list" allowBlank="1" showInputMessage="1" showErrorMessage="1" sqref="D67">
      <formula1>FDDValList</formula1>
    </dataValidation>
    <dataValidation type="list" allowBlank="1" showInputMessage="1" showErrorMessage="1" sqref="F67">
      <formula1>"I, O, M, D, N"</formula1>
    </dataValidation>
    <dataValidation type="list" allowBlank="1" showInputMessage="1" showErrorMessage="1" sqref="G67">
      <formula1>"Y, N"</formula1>
    </dataValidation>
    <dataValidation type="list" allowBlank="1" showInputMessage="1" showErrorMessage="1" sqref="D68">
      <formula1>FDDValList</formula1>
    </dataValidation>
    <dataValidation type="list" allowBlank="1" showInputMessage="1" showErrorMessage="1" sqref="F68">
      <formula1>"I, O, M, D, N"</formula1>
    </dataValidation>
    <dataValidation type="list" allowBlank="1" showInputMessage="1" showErrorMessage="1" sqref="G68">
      <formula1>"Y, N"</formula1>
    </dataValidation>
    <dataValidation type="list" allowBlank="1" showInputMessage="1" showErrorMessage="1" sqref="D69">
      <formula1>FDDValList</formula1>
    </dataValidation>
    <dataValidation type="list" allowBlank="1" showInputMessage="1" showErrorMessage="1" sqref="F69">
      <formula1>"I, O, M, D, N"</formula1>
    </dataValidation>
    <dataValidation type="list" allowBlank="1" showInputMessage="1" showErrorMessage="1" sqref="G69">
      <formula1>"Y, N"</formula1>
    </dataValidation>
    <dataValidation type="list" allowBlank="1" showInputMessage="1" showErrorMessage="1" sqref="D70">
      <formula1>FDDValList</formula1>
    </dataValidation>
    <dataValidation type="list" allowBlank="1" showInputMessage="1" showErrorMessage="1" sqref="F70">
      <formula1>"I, O, M, D, N"</formula1>
    </dataValidation>
    <dataValidation type="list" allowBlank="1" showInputMessage="1" showErrorMessage="1" sqref="G70">
      <formula1>"Y, N"</formula1>
    </dataValidation>
    <dataValidation type="list" allowBlank="1" showInputMessage="1" showErrorMessage="1" sqref="D71">
      <formula1>FDDValList</formula1>
    </dataValidation>
    <dataValidation type="list" allowBlank="1" showInputMessage="1" showErrorMessage="1" sqref="F71">
      <formula1>"I, O, M, D, N"</formula1>
    </dataValidation>
    <dataValidation type="list" allowBlank="1" showInputMessage="1" showErrorMessage="1" sqref="G71">
      <formula1>"Y, N"</formula1>
    </dataValidation>
    <dataValidation type="list" allowBlank="1" showInputMessage="1" showErrorMessage="1" sqref="D72">
      <formula1>FDDValList</formula1>
    </dataValidation>
    <dataValidation type="list" allowBlank="1" showInputMessage="1" showErrorMessage="1" sqref="F72">
      <formula1>"I, O, M, D, N"</formula1>
    </dataValidation>
    <dataValidation type="list" allowBlank="1" showInputMessage="1" showErrorMessage="1" sqref="G72">
      <formula1>"Y, N"</formula1>
    </dataValidation>
    <dataValidation type="list" allowBlank="1" showInputMessage="1" showErrorMessage="1" sqref="D73">
      <formula1>FDDValList</formula1>
    </dataValidation>
    <dataValidation type="list" allowBlank="1" showInputMessage="1" showErrorMessage="1" sqref="F73">
      <formula1>"I, O, M, D, N"</formula1>
    </dataValidation>
    <dataValidation type="list" allowBlank="1" showInputMessage="1" showErrorMessage="1" sqref="G73">
      <formula1>"Y, N"</formula1>
    </dataValidation>
    <dataValidation type="list" allowBlank="1" showInputMessage="1" showErrorMessage="1" sqref="D74">
      <formula1>FDDValList</formula1>
    </dataValidation>
    <dataValidation type="list" allowBlank="1" showInputMessage="1" showErrorMessage="1" sqref="F74">
      <formula1>"I, O, M, D, N"</formula1>
    </dataValidation>
    <dataValidation type="list" allowBlank="1" showInputMessage="1" showErrorMessage="1" sqref="G74">
      <formula1>"Y, N"</formula1>
    </dataValidation>
    <dataValidation type="list" allowBlank="1" showInputMessage="1" showErrorMessage="1" sqref="D75">
      <formula1>FDDValList</formula1>
    </dataValidation>
    <dataValidation type="list" allowBlank="1" showInputMessage="1" showErrorMessage="1" sqref="F75">
      <formula1>"I, O, M, D, N"</formula1>
    </dataValidation>
    <dataValidation type="list" allowBlank="1" showInputMessage="1" showErrorMessage="1" sqref="G75">
      <formula1>"Y, N"</formula1>
    </dataValidation>
    <dataValidation type="list" allowBlank="1" showInputMessage="1" showErrorMessage="1" sqref="D76">
      <formula1>FDDValList</formula1>
    </dataValidation>
    <dataValidation type="list" allowBlank="1" showInputMessage="1" showErrorMessage="1" sqref="F76">
      <formula1>"I, O, M, D, N"</formula1>
    </dataValidation>
    <dataValidation type="list" allowBlank="1" showInputMessage="1" showErrorMessage="1" sqref="G76">
      <formula1>"Y, N"</formula1>
    </dataValidation>
    <dataValidation type="list" allowBlank="1" showInputMessage="1" showErrorMessage="1" sqref="D77">
      <formula1>FDDValList</formula1>
    </dataValidation>
    <dataValidation type="list" allowBlank="1" showInputMessage="1" showErrorMessage="1" sqref="F77">
      <formula1>"I, O, M, D, N"</formula1>
    </dataValidation>
    <dataValidation type="list" allowBlank="1" showInputMessage="1" showErrorMessage="1" sqref="G77">
      <formula1>"Y, N"</formula1>
    </dataValidation>
    <dataValidation type="list" allowBlank="1" showInputMessage="1" showErrorMessage="1" sqref="D78">
      <formula1>FDDValList</formula1>
    </dataValidation>
    <dataValidation type="list" allowBlank="1" showInputMessage="1" showErrorMessage="1" sqref="F78">
      <formula1>"I, O, M, D, N"</formula1>
    </dataValidation>
    <dataValidation type="list" allowBlank="1" showInputMessage="1" showErrorMessage="1" sqref="G78">
      <formula1>"Y, N"</formula1>
    </dataValidation>
    <dataValidation type="list" allowBlank="1" showInputMessage="1" showErrorMessage="1" sqref="D79">
      <formula1>FDDValList</formula1>
    </dataValidation>
    <dataValidation type="list" allowBlank="1" showInputMessage="1" showErrorMessage="1" sqref="F79">
      <formula1>"I, O, M, D, N"</formula1>
    </dataValidation>
    <dataValidation type="list" allowBlank="1" showInputMessage="1" showErrorMessage="1" sqref="G79">
      <formula1>"Y, N"</formula1>
    </dataValidation>
    <dataValidation type="list" allowBlank="1" showInputMessage="1" showErrorMessage="1" sqref="D80">
      <formula1>FDDValList</formula1>
    </dataValidation>
    <dataValidation type="list" allowBlank="1" showInputMessage="1" showErrorMessage="1" sqref="F80">
      <formula1>"I, O, M, D, N"</formula1>
    </dataValidation>
    <dataValidation type="list" allowBlank="1" showInputMessage="1" showErrorMessage="1" sqref="G80">
      <formula1>"Y, N"</formula1>
    </dataValidation>
    <dataValidation type="list" allowBlank="1" showInputMessage="1" showErrorMessage="1" sqref="D81">
      <formula1>FDDValList</formula1>
    </dataValidation>
    <dataValidation type="list" allowBlank="1" showInputMessage="1" showErrorMessage="1" sqref="F81">
      <formula1>"I, O, M, D, N"</formula1>
    </dataValidation>
    <dataValidation type="list" allowBlank="1" showInputMessage="1" showErrorMessage="1" sqref="G81">
      <formula1>"Y, N"</formula1>
    </dataValidation>
    <dataValidation type="list" allowBlank="1" showInputMessage="1" showErrorMessage="1" sqref="D82">
      <formula1>FDDValList</formula1>
    </dataValidation>
    <dataValidation type="list" allowBlank="1" showInputMessage="1" showErrorMessage="1" sqref="F82">
      <formula1>"I, O, M, D, N"</formula1>
    </dataValidation>
    <dataValidation type="list" allowBlank="1" showInputMessage="1" showErrorMessage="1" sqref="G82">
      <formula1>"Y, N"</formula1>
    </dataValidation>
    <dataValidation type="list" allowBlank="1" showInputMessage="1" showErrorMessage="1" sqref="D83">
      <formula1>FDDValList</formula1>
    </dataValidation>
    <dataValidation type="list" allowBlank="1" showInputMessage="1" showErrorMessage="1" sqref="F83">
      <formula1>"I, O, M, D, N"</formula1>
    </dataValidation>
    <dataValidation type="list" allowBlank="1" showInputMessage="1" showErrorMessage="1" sqref="G83">
      <formula1>"Y, N"</formula1>
    </dataValidation>
    <dataValidation type="list" allowBlank="1" showInputMessage="1" showErrorMessage="1" sqref="D84">
      <formula1>FDDValList</formula1>
    </dataValidation>
    <dataValidation type="list" allowBlank="1" showInputMessage="1" showErrorMessage="1" sqref="F84">
      <formula1>"I, O, M, D, N"</formula1>
    </dataValidation>
    <dataValidation type="list" allowBlank="1" showInputMessage="1" showErrorMessage="1" sqref="G84">
      <formula1>"Y, N"</formula1>
    </dataValidation>
    <dataValidation type="list" allowBlank="1" showInputMessage="1" showErrorMessage="1" sqref="D85">
      <formula1>FDDValList</formula1>
    </dataValidation>
    <dataValidation type="list" allowBlank="1" showInputMessage="1" showErrorMessage="1" sqref="F85">
      <formula1>"I, O, M, D, N"</formula1>
    </dataValidation>
    <dataValidation type="list" allowBlank="1" showInputMessage="1" showErrorMessage="1" sqref="G85">
      <formula1>"Y, N"</formula1>
    </dataValidation>
    <dataValidation type="list" allowBlank="1" showInputMessage="1" showErrorMessage="1" sqref="D86">
      <formula1>FDDValList</formula1>
    </dataValidation>
    <dataValidation type="list" allowBlank="1" showInputMessage="1" showErrorMessage="1" sqref="F86">
      <formula1>"I, O, M, D, N"</formula1>
    </dataValidation>
    <dataValidation type="list" allowBlank="1" showInputMessage="1" showErrorMessage="1" sqref="G86">
      <formula1>"Y, N"</formula1>
    </dataValidation>
    <dataValidation type="list" allowBlank="1" showInputMessage="1" showErrorMessage="1" sqref="D87">
      <formula1>FDDValList</formula1>
    </dataValidation>
    <dataValidation type="list" allowBlank="1" showInputMessage="1" showErrorMessage="1" sqref="F87">
      <formula1>"I, O, M, D, N"</formula1>
    </dataValidation>
    <dataValidation type="list" allowBlank="1" showInputMessage="1" showErrorMessage="1" sqref="G87">
      <formula1>"Y, N"</formula1>
    </dataValidation>
    <dataValidation type="list" allowBlank="1" showInputMessage="1" showErrorMessage="1" sqref="D88">
      <formula1>FDDValList</formula1>
    </dataValidation>
    <dataValidation type="list" allowBlank="1" showInputMessage="1" showErrorMessage="1" sqref="F88">
      <formula1>"I, O, M, D, N"</formula1>
    </dataValidation>
    <dataValidation type="list" allowBlank="1" showInputMessage="1" showErrorMessage="1" sqref="G88">
      <formula1>"Y, N"</formula1>
    </dataValidation>
    <dataValidation type="list" allowBlank="1" showInputMessage="1" showErrorMessage="1" sqref="D89">
      <formula1>FDDValList</formula1>
    </dataValidation>
    <dataValidation type="list" allowBlank="1" showInputMessage="1" showErrorMessage="1" sqref="F89">
      <formula1>"I, O, M, D, N"</formula1>
    </dataValidation>
    <dataValidation type="list" allowBlank="1" showInputMessage="1" showErrorMessage="1" sqref="G89">
      <formula1>"Y, N"</formula1>
    </dataValidation>
    <dataValidation type="list" allowBlank="1" showInputMessage="1" showErrorMessage="1" sqref="D90">
      <formula1>FDDValList</formula1>
    </dataValidation>
    <dataValidation type="list" allowBlank="1" showInputMessage="1" showErrorMessage="1" sqref="F90">
      <formula1>"I, O, M, D, N"</formula1>
    </dataValidation>
    <dataValidation type="list" allowBlank="1" showInputMessage="1" showErrorMessage="1" sqref="G90">
      <formula1>"Y, N"</formula1>
    </dataValidation>
    <dataValidation type="list" allowBlank="1" showInputMessage="1" showErrorMessage="1" sqref="D91">
      <formula1>FDDValList</formula1>
    </dataValidation>
    <dataValidation type="list" allowBlank="1" showInputMessage="1" showErrorMessage="1" sqref="F91">
      <formula1>"I, O, M, D, N"</formula1>
    </dataValidation>
    <dataValidation type="list" allowBlank="1" showInputMessage="1" showErrorMessage="1" sqref="G91">
      <formula1>"Y, N"</formula1>
    </dataValidation>
    <dataValidation type="list" allowBlank="1" showInputMessage="1" showErrorMessage="1" sqref="D92">
      <formula1>FDDValList</formula1>
    </dataValidation>
    <dataValidation type="list" allowBlank="1" showInputMessage="1" showErrorMessage="1" sqref="F92">
      <formula1>"I, O, M, D, N"</formula1>
    </dataValidation>
    <dataValidation type="list" allowBlank="1" showInputMessage="1" showErrorMessage="1" sqref="G92">
      <formula1>"Y, N"</formula1>
    </dataValidation>
    <dataValidation type="list" allowBlank="1" showInputMessage="1" showErrorMessage="1" sqref="D93">
      <formula1>FDDValList</formula1>
    </dataValidation>
    <dataValidation type="list" allowBlank="1" showInputMessage="1" showErrorMessage="1" sqref="F93">
      <formula1>"I, O, M, D, N"</formula1>
    </dataValidation>
    <dataValidation type="list" allowBlank="1" showInputMessage="1" showErrorMessage="1" sqref="G93">
      <formula1>"Y, N"</formula1>
    </dataValidation>
    <dataValidation type="list" allowBlank="1" showInputMessage="1" showErrorMessage="1" sqref="D94">
      <formula1>FDDValList</formula1>
    </dataValidation>
    <dataValidation type="list" allowBlank="1" showInputMessage="1" showErrorMessage="1" sqref="F94">
      <formula1>"I, O, M, D, N"</formula1>
    </dataValidation>
    <dataValidation type="list" allowBlank="1" showInputMessage="1" showErrorMessage="1" sqref="G94">
      <formula1>"Y, N"</formula1>
    </dataValidation>
    <dataValidation type="list" allowBlank="1" showInputMessage="1" showErrorMessage="1" sqref="D95">
      <formula1>FDDValList</formula1>
    </dataValidation>
    <dataValidation type="list" allowBlank="1" showInputMessage="1" showErrorMessage="1" sqref="F95">
      <formula1>"I, O, M, D, N"</formula1>
    </dataValidation>
    <dataValidation type="list" allowBlank="1" showInputMessage="1" showErrorMessage="1" sqref="G95">
      <formula1>"Y, N"</formula1>
    </dataValidation>
    <dataValidation type="list" allowBlank="1" showInputMessage="1" showErrorMessage="1" sqref="D96">
      <formula1>FDDValList</formula1>
    </dataValidation>
    <dataValidation type="list" allowBlank="1" showInputMessage="1" showErrorMessage="1" sqref="F96">
      <formula1>"I, O, M, D, N"</formula1>
    </dataValidation>
    <dataValidation type="list" allowBlank="1" showInputMessage="1" showErrorMessage="1" sqref="G96">
      <formula1>"Y, N"</formula1>
    </dataValidation>
    <dataValidation type="list" allowBlank="1" showInputMessage="1" showErrorMessage="1" sqref="D97">
      <formula1>FDDValList</formula1>
    </dataValidation>
    <dataValidation type="list" allowBlank="1" showInputMessage="1" showErrorMessage="1" sqref="F97">
      <formula1>"I, O, M, D, N"</formula1>
    </dataValidation>
    <dataValidation type="list" allowBlank="1" showInputMessage="1" showErrorMessage="1" sqref="G97">
      <formula1>"Y, N"</formula1>
    </dataValidation>
    <dataValidation type="list" allowBlank="1" showInputMessage="1" showErrorMessage="1" sqref="D98">
      <formula1>FDDValList</formula1>
    </dataValidation>
    <dataValidation type="list" allowBlank="1" showInputMessage="1" showErrorMessage="1" sqref="F98">
      <formula1>"I, O, M, D, N"</formula1>
    </dataValidation>
    <dataValidation type="list" allowBlank="1" showInputMessage="1" showErrorMessage="1" sqref="G98">
      <formula1>"Y, N"</formula1>
    </dataValidation>
    <dataValidation type="list" allowBlank="1" showInputMessage="1" showErrorMessage="1" sqref="D99">
      <formula1>FDDValList</formula1>
    </dataValidation>
    <dataValidation type="list" allowBlank="1" showInputMessage="1" showErrorMessage="1" sqref="F99">
      <formula1>"I, O, M, D, N"</formula1>
    </dataValidation>
    <dataValidation type="list" allowBlank="1" showInputMessage="1" showErrorMessage="1" sqref="G99">
      <formula1>"Y, N"</formula1>
    </dataValidation>
    <dataValidation type="list" allowBlank="1" showInputMessage="1" showErrorMessage="1" sqref="D100">
      <formula1>FDDValList</formula1>
    </dataValidation>
    <dataValidation type="list" allowBlank="1" showInputMessage="1" showErrorMessage="1" sqref="F100">
      <formula1>"I, O, M, D, N"</formula1>
    </dataValidation>
    <dataValidation type="list" allowBlank="1" showInputMessage="1" showErrorMessage="1" sqref="G100">
      <formula1>"Y, N"</formula1>
    </dataValidation>
    <dataValidation type="list" allowBlank="1" showInputMessage="1" showErrorMessage="1" sqref="D101">
      <formula1>FDDValList</formula1>
    </dataValidation>
    <dataValidation type="list" allowBlank="1" showInputMessage="1" showErrorMessage="1" sqref="F101">
      <formula1>"I, O, M, D, N"</formula1>
    </dataValidation>
    <dataValidation type="list" allowBlank="1" showInputMessage="1" showErrorMessage="1" sqref="G101">
      <formula1>"Y, N"</formula1>
    </dataValidation>
    <dataValidation type="list" allowBlank="1" showInputMessage="1" showErrorMessage="1" sqref="D102">
      <formula1>FDDValList</formula1>
    </dataValidation>
    <dataValidation type="list" allowBlank="1" showInputMessage="1" showErrorMessage="1" sqref="F102">
      <formula1>"I, O, M, D, N"</formula1>
    </dataValidation>
    <dataValidation type="list" allowBlank="1" showInputMessage="1" showErrorMessage="1" sqref="G102">
      <formula1>"Y, N"</formula1>
    </dataValidation>
    <dataValidation type="list" allowBlank="1" showInputMessage="1" showErrorMessage="1" sqref="D103">
      <formula1>FDDValList</formula1>
    </dataValidation>
    <dataValidation type="list" allowBlank="1" showInputMessage="1" showErrorMessage="1" sqref="F103">
      <formula1>"I, O, M, D, N"</formula1>
    </dataValidation>
    <dataValidation type="list" allowBlank="1" showInputMessage="1" showErrorMessage="1" sqref="G103">
      <formula1>"Y, N"</formula1>
    </dataValidation>
    <dataValidation type="list" allowBlank="1" showInputMessage="1" showErrorMessage="1" sqref="D104">
      <formula1>FDDValList</formula1>
    </dataValidation>
    <dataValidation type="list" allowBlank="1" showInputMessage="1" showErrorMessage="1" sqref="F104">
      <formula1>"I, O, M, D, N"</formula1>
    </dataValidation>
    <dataValidation type="list" allowBlank="1" showInputMessage="1" showErrorMessage="1" sqref="G104">
      <formula1>"Y, N"</formula1>
    </dataValidation>
    <dataValidation type="list" allowBlank="1" showInputMessage="1" showErrorMessage="1" sqref="D105">
      <formula1>FDDValList</formula1>
    </dataValidation>
    <dataValidation type="list" allowBlank="1" showInputMessage="1" showErrorMessage="1" sqref="F105">
      <formula1>"I, O, M, D, N"</formula1>
    </dataValidation>
    <dataValidation type="list" allowBlank="1" showInputMessage="1" showErrorMessage="1" sqref="G105">
      <formula1>"Y, N"</formula1>
    </dataValidation>
    <dataValidation type="list" allowBlank="1" showInputMessage="1" showErrorMessage="1" sqref="D106">
      <formula1>FDDValList</formula1>
    </dataValidation>
    <dataValidation type="list" allowBlank="1" showInputMessage="1" showErrorMessage="1" sqref="F106">
      <formula1>"I, O, M, D, N"</formula1>
    </dataValidation>
    <dataValidation type="list" allowBlank="1" showInputMessage="1" showErrorMessage="1" sqref="G106">
      <formula1>"Y, N"</formula1>
    </dataValidation>
    <dataValidation type="list" allowBlank="1" showInputMessage="1" showErrorMessage="1" sqref="D107">
      <formula1>FDDValList</formula1>
    </dataValidation>
    <dataValidation type="list" allowBlank="1" showInputMessage="1" showErrorMessage="1" sqref="F107">
      <formula1>"I, O, M, D, N"</formula1>
    </dataValidation>
    <dataValidation type="list" allowBlank="1" showInputMessage="1" showErrorMessage="1" sqref="G107">
      <formula1>"Y, N"</formula1>
    </dataValidation>
    <dataValidation type="list" allowBlank="1" showInputMessage="1" showErrorMessage="1" sqref="D108">
      <formula1>FDDValList</formula1>
    </dataValidation>
    <dataValidation type="list" allowBlank="1" showInputMessage="1" showErrorMessage="1" sqref="F108">
      <formula1>"I, O, M, D, N"</formula1>
    </dataValidation>
    <dataValidation type="list" allowBlank="1" showInputMessage="1" showErrorMessage="1" sqref="G108">
      <formula1>"Y, N"</formula1>
    </dataValidation>
    <dataValidation type="list" allowBlank="1" showInputMessage="1" showErrorMessage="1" sqref="D109">
      <formula1>FDDValList</formula1>
    </dataValidation>
    <dataValidation type="list" allowBlank="1" showInputMessage="1" showErrorMessage="1" sqref="F109">
      <formula1>"I, O, M, D, N"</formula1>
    </dataValidation>
    <dataValidation type="list" allowBlank="1" showInputMessage="1" showErrorMessage="1" sqref="G109">
      <formula1>"Y, N"</formula1>
    </dataValidation>
    <dataValidation type="list" allowBlank="1" showInputMessage="1" showErrorMessage="1" sqref="D110">
      <formula1>FDDValList</formula1>
    </dataValidation>
    <dataValidation type="list" allowBlank="1" showInputMessage="1" showErrorMessage="1" sqref="F110">
      <formula1>"I, O, M, D, N"</formula1>
    </dataValidation>
    <dataValidation type="list" allowBlank="1" showInputMessage="1" showErrorMessage="1" sqref="G110">
      <formula1>"Y, N"</formula1>
    </dataValidation>
    <dataValidation type="list" allowBlank="1" showInputMessage="1" showErrorMessage="1" sqref="D111">
      <formula1>FDDValList</formula1>
    </dataValidation>
    <dataValidation type="list" allowBlank="1" showInputMessage="1" showErrorMessage="1" sqref="F111">
      <formula1>"I, O, M, D, N"</formula1>
    </dataValidation>
    <dataValidation type="list" allowBlank="1" showInputMessage="1" showErrorMessage="1" sqref="G111">
      <formula1>"Y, N"</formula1>
    </dataValidation>
    <dataValidation type="list" allowBlank="1" showInputMessage="1" showErrorMessage="1" sqref="D112">
      <formula1>FDDValList</formula1>
    </dataValidation>
    <dataValidation type="list" allowBlank="1" showInputMessage="1" showErrorMessage="1" sqref="F112">
      <formula1>"I, O, M, D, N"</formula1>
    </dataValidation>
    <dataValidation type="list" allowBlank="1" showInputMessage="1" showErrorMessage="1" sqref="G112">
      <formula1>"Y, N"</formula1>
    </dataValidation>
    <dataValidation type="list" allowBlank="1" showInputMessage="1" showErrorMessage="1" sqref="D113">
      <formula1>FDDValList</formula1>
    </dataValidation>
    <dataValidation type="list" allowBlank="1" showInputMessage="1" showErrorMessage="1" sqref="F113">
      <formula1>"I, O, M, D, N"</formula1>
    </dataValidation>
    <dataValidation type="list" allowBlank="1" showInputMessage="1" showErrorMessage="1" sqref="G113">
      <formula1>"Y, N"</formula1>
    </dataValidation>
    <dataValidation type="list" allowBlank="1" showInputMessage="1" showErrorMessage="1" sqref="D114">
      <formula1>FDDValList</formula1>
    </dataValidation>
    <dataValidation type="list" allowBlank="1" showInputMessage="1" showErrorMessage="1" sqref="F114">
      <formula1>"I, O, M, D, N"</formula1>
    </dataValidation>
    <dataValidation type="list" allowBlank="1" showInputMessage="1" showErrorMessage="1" sqref="G114">
      <formula1>"Y, N"</formula1>
    </dataValidation>
    <dataValidation type="list" allowBlank="1" showInputMessage="1" showErrorMessage="1" sqref="D115">
      <formula1>FDDValList</formula1>
    </dataValidation>
    <dataValidation type="list" allowBlank="1" showInputMessage="1" showErrorMessage="1" sqref="F115">
      <formula1>"I, O, M, D, N"</formula1>
    </dataValidation>
    <dataValidation type="list" allowBlank="1" showInputMessage="1" showErrorMessage="1" sqref="G115">
      <formula1>"Y, N"</formula1>
    </dataValidation>
    <dataValidation type="list" allowBlank="1" showInputMessage="1" showErrorMessage="1" sqref="D116">
      <formula1>FDDValList</formula1>
    </dataValidation>
    <dataValidation type="list" allowBlank="1" showInputMessage="1" showErrorMessage="1" sqref="F116">
      <formula1>"I, O, M, D, N"</formula1>
    </dataValidation>
    <dataValidation type="list" allowBlank="1" showInputMessage="1" showErrorMessage="1" sqref="G116">
      <formula1>"Y, N"</formula1>
    </dataValidation>
    <dataValidation type="list" allowBlank="1" showInputMessage="1" showErrorMessage="1" sqref="D117">
      <formula1>FDDValList</formula1>
    </dataValidation>
    <dataValidation type="list" allowBlank="1" showInputMessage="1" showErrorMessage="1" sqref="F117">
      <formula1>"I, O, M, D, N"</formula1>
    </dataValidation>
    <dataValidation type="list" allowBlank="1" showInputMessage="1" showErrorMessage="1" sqref="G117">
      <formula1>"Y, N"</formula1>
    </dataValidation>
    <dataValidation type="list" allowBlank="1" showInputMessage="1" showErrorMessage="1" sqref="D118">
      <formula1>FDDValList</formula1>
    </dataValidation>
    <dataValidation type="list" allowBlank="1" showInputMessage="1" showErrorMessage="1" sqref="F118">
      <formula1>"I, O, M, D, N"</formula1>
    </dataValidation>
    <dataValidation type="list" allowBlank="1" showInputMessage="1" showErrorMessage="1" sqref="G118">
      <formula1>"Y, N"</formula1>
    </dataValidation>
    <dataValidation type="list" allowBlank="1" showInputMessage="1" showErrorMessage="1" sqref="D119">
      <formula1>FDDValList</formula1>
    </dataValidation>
    <dataValidation type="list" allowBlank="1" showInputMessage="1" showErrorMessage="1" sqref="F119">
      <formula1>"I, O, M, D, N"</formula1>
    </dataValidation>
    <dataValidation type="list" allowBlank="1" showInputMessage="1" showErrorMessage="1" sqref="G119">
      <formula1>"Y, N"</formula1>
    </dataValidation>
    <dataValidation type="list" allowBlank="1" showInputMessage="1" showErrorMessage="1" sqref="D120">
      <formula1>FDDValList</formula1>
    </dataValidation>
    <dataValidation type="list" allowBlank="1" showInputMessage="1" showErrorMessage="1" sqref="F120">
      <formula1>"I, O, M, D, N"</formula1>
    </dataValidation>
    <dataValidation type="list" allowBlank="1" showInputMessage="1" showErrorMessage="1" sqref="G120">
      <formula1>"Y, N"</formula1>
    </dataValidation>
    <dataValidation type="list" allowBlank="1" showInputMessage="1" showErrorMessage="1" sqref="D121">
      <formula1>FDDValList</formula1>
    </dataValidation>
    <dataValidation type="list" allowBlank="1" showInputMessage="1" showErrorMessage="1" sqref="F121">
      <formula1>"I, O, M, D, N"</formula1>
    </dataValidation>
    <dataValidation type="list" allowBlank="1" showInputMessage="1" showErrorMessage="1" sqref="G121">
      <formula1>"Y, N"</formula1>
    </dataValidation>
    <dataValidation type="list" allowBlank="1" showInputMessage="1" showErrorMessage="1" sqref="D122">
      <formula1>FDDValList</formula1>
    </dataValidation>
    <dataValidation type="list" allowBlank="1" showInputMessage="1" showErrorMessage="1" sqref="F122">
      <formula1>"I, O, M, D, N"</formula1>
    </dataValidation>
    <dataValidation type="list" allowBlank="1" showInputMessage="1" showErrorMessage="1" sqref="G122">
      <formula1>"Y, N"</formula1>
    </dataValidation>
    <dataValidation type="list" allowBlank="1" showInputMessage="1" showErrorMessage="1" sqref="D123">
      <formula1>FDDValList</formula1>
    </dataValidation>
    <dataValidation type="list" allowBlank="1" showInputMessage="1" showErrorMessage="1" sqref="F123">
      <formula1>"I, O, M, D, N"</formula1>
    </dataValidation>
    <dataValidation type="list" allowBlank="1" showInputMessage="1" showErrorMessage="1" sqref="G123">
      <formula1>"Y, N"</formula1>
    </dataValidation>
    <dataValidation type="list" allowBlank="1" showInputMessage="1" showErrorMessage="1" sqref="D124">
      <formula1>FDDValList</formula1>
    </dataValidation>
    <dataValidation type="list" allowBlank="1" showInputMessage="1" showErrorMessage="1" sqref="F124">
      <formula1>"I, O, M, D, N"</formula1>
    </dataValidation>
    <dataValidation type="list" allowBlank="1" showInputMessage="1" showErrorMessage="1" sqref="G124">
      <formula1>"Y, N"</formula1>
    </dataValidation>
    <dataValidation type="list" allowBlank="1" showInputMessage="1" showErrorMessage="1" sqref="D125">
      <formula1>FDDValList</formula1>
    </dataValidation>
    <dataValidation type="list" allowBlank="1" showInputMessage="1" showErrorMessage="1" sqref="F125">
      <formula1>"I, O, M, D, N"</formula1>
    </dataValidation>
    <dataValidation type="list" allowBlank="1" showInputMessage="1" showErrorMessage="1" sqref="G125">
      <formula1>"Y, N"</formula1>
    </dataValidation>
    <dataValidation type="list" allowBlank="1" showInputMessage="1" showErrorMessage="1" sqref="D126">
      <formula1>FDDValList</formula1>
    </dataValidation>
    <dataValidation type="list" allowBlank="1" showInputMessage="1" showErrorMessage="1" sqref="F126">
      <formula1>"I, O, M, D, N"</formula1>
    </dataValidation>
    <dataValidation type="list" allowBlank="1" showInputMessage="1" showErrorMessage="1" sqref="G126">
      <formula1>"Y, N"</formula1>
    </dataValidation>
    <dataValidation type="list" allowBlank="1" showInputMessage="1" showErrorMessage="1" sqref="D127">
      <formula1>FDDValList</formula1>
    </dataValidation>
    <dataValidation type="list" allowBlank="1" showInputMessage="1" showErrorMessage="1" sqref="F127">
      <formula1>"I, O, M, D, N"</formula1>
    </dataValidation>
    <dataValidation type="list" allowBlank="1" showInputMessage="1" showErrorMessage="1" sqref="G127">
      <formula1>"Y, N"</formula1>
    </dataValidation>
    <dataValidation type="list" allowBlank="1" showInputMessage="1" showErrorMessage="1" sqref="D128">
      <formula1>FDDValList</formula1>
    </dataValidation>
    <dataValidation type="list" allowBlank="1" showInputMessage="1" showErrorMessage="1" sqref="F128">
      <formula1>"I, O, M, D, N"</formula1>
    </dataValidation>
    <dataValidation type="list" allowBlank="1" showInputMessage="1" showErrorMessage="1" sqref="G128">
      <formula1>"Y, N"</formula1>
    </dataValidation>
    <dataValidation type="list" allowBlank="1" showInputMessage="1" showErrorMessage="1" sqref="D129">
      <formula1>FDDValList</formula1>
    </dataValidation>
    <dataValidation type="list" allowBlank="1" showInputMessage="1" showErrorMessage="1" sqref="F129">
      <formula1>"I, O, M, D, N"</formula1>
    </dataValidation>
    <dataValidation type="list" allowBlank="1" showInputMessage="1" showErrorMessage="1" sqref="G129">
      <formula1>"Y, N"</formula1>
    </dataValidation>
    <dataValidation type="list" allowBlank="1" showInputMessage="1" showErrorMessage="1" sqref="D130">
      <formula1>FDDValList</formula1>
    </dataValidation>
    <dataValidation type="list" allowBlank="1" showInputMessage="1" showErrorMessage="1" sqref="F130">
      <formula1>"I, O, M, D, N"</formula1>
    </dataValidation>
    <dataValidation type="list" allowBlank="1" showInputMessage="1" showErrorMessage="1" sqref="G130">
      <formula1>"Y, N"</formula1>
    </dataValidation>
    <dataValidation type="list" allowBlank="1" showInputMessage="1" showErrorMessage="1" sqref="D131">
      <formula1>FDDValList</formula1>
    </dataValidation>
    <dataValidation type="list" allowBlank="1" showInputMessage="1" showErrorMessage="1" sqref="F131">
      <formula1>"I, O, M, D, N"</formula1>
    </dataValidation>
    <dataValidation type="list" allowBlank="1" showInputMessage="1" showErrorMessage="1" sqref="G131">
      <formula1>"Y, N"</formula1>
    </dataValidation>
    <dataValidation type="list" allowBlank="1" showInputMessage="1" showErrorMessage="1" sqref="D132">
      <formula1>FDDValList</formula1>
    </dataValidation>
    <dataValidation type="list" allowBlank="1" showInputMessage="1" showErrorMessage="1" sqref="F132">
      <formula1>"I, O, M, D, N"</formula1>
    </dataValidation>
    <dataValidation type="list" allowBlank="1" showInputMessage="1" showErrorMessage="1" sqref="G132">
      <formula1>"Y, N"</formula1>
    </dataValidation>
    <dataValidation type="list" allowBlank="1" showInputMessage="1" showErrorMessage="1" sqref="D133">
      <formula1>FDDValList</formula1>
    </dataValidation>
    <dataValidation type="list" allowBlank="1" showInputMessage="1" showErrorMessage="1" sqref="F133">
      <formula1>"I, O, M, D, N"</formula1>
    </dataValidation>
    <dataValidation type="list" allowBlank="1" showInputMessage="1" showErrorMessage="1" sqref="G133">
      <formula1>"Y, N"</formula1>
    </dataValidation>
    <dataValidation type="list" allowBlank="1" showInputMessage="1" showErrorMessage="1" sqref="D134">
      <formula1>FDDValList</formula1>
    </dataValidation>
    <dataValidation type="list" allowBlank="1" showInputMessage="1" showErrorMessage="1" sqref="F134">
      <formula1>"I, O, M, D, N"</formula1>
    </dataValidation>
    <dataValidation type="list" allowBlank="1" showInputMessage="1" showErrorMessage="1" sqref="G134">
      <formula1>"Y, N"</formula1>
    </dataValidation>
    <dataValidation type="list" allowBlank="1" showInputMessage="1" showErrorMessage="1" sqref="D135">
      <formula1>FDDValList</formula1>
    </dataValidation>
    <dataValidation type="list" allowBlank="1" showInputMessage="1" showErrorMessage="1" sqref="F135">
      <formula1>"I, O, M, D, N"</formula1>
    </dataValidation>
    <dataValidation type="list" allowBlank="1" showInputMessage="1" showErrorMessage="1" sqref="G135">
      <formula1>"Y, N"</formula1>
    </dataValidation>
    <dataValidation type="list" allowBlank="1" showInputMessage="1" showErrorMessage="1" sqref="D136">
      <formula1>FDDValList</formula1>
    </dataValidation>
    <dataValidation type="list" allowBlank="1" showInputMessage="1" showErrorMessage="1" sqref="F136">
      <formula1>"I, O, M, D, N"</formula1>
    </dataValidation>
    <dataValidation type="list" allowBlank="1" showInputMessage="1" showErrorMessage="1" sqref="G136">
      <formula1>"Y, N"</formula1>
    </dataValidation>
    <dataValidation type="list" allowBlank="1" showInputMessage="1" showErrorMessage="1" sqref="D137">
      <formula1>FDDValList</formula1>
    </dataValidation>
    <dataValidation type="list" allowBlank="1" showInputMessage="1" showErrorMessage="1" sqref="F137">
      <formula1>"I, O, M, D, N"</formula1>
    </dataValidation>
    <dataValidation type="list" allowBlank="1" showInputMessage="1" showErrorMessage="1" sqref="G137">
      <formula1>"Y, N"</formula1>
    </dataValidation>
    <dataValidation type="list" allowBlank="1" showInputMessage="1" showErrorMessage="1" sqref="D138">
      <formula1>FDDValList</formula1>
    </dataValidation>
    <dataValidation type="list" allowBlank="1" showInputMessage="1" showErrorMessage="1" sqref="F138">
      <formula1>"I, O, M, D, N"</formula1>
    </dataValidation>
    <dataValidation type="list" allowBlank="1" showInputMessage="1" showErrorMessage="1" sqref="G138">
      <formula1>"Y, N"</formula1>
    </dataValidation>
    <dataValidation type="list" allowBlank="1" showInputMessage="1" showErrorMessage="1" sqref="D139">
      <formula1>FDDValList</formula1>
    </dataValidation>
    <dataValidation type="list" allowBlank="1" showInputMessage="1" showErrorMessage="1" sqref="F139">
      <formula1>"I, O, M, D, N"</formula1>
    </dataValidation>
    <dataValidation type="list" allowBlank="1" showInputMessage="1" showErrorMessage="1" sqref="G139">
      <formula1>"Y, N"</formula1>
    </dataValidation>
    <dataValidation type="list" allowBlank="1" showInputMessage="1" showErrorMessage="1" sqref="D140">
      <formula1>FDDValList</formula1>
    </dataValidation>
    <dataValidation type="list" allowBlank="1" showInputMessage="1" showErrorMessage="1" sqref="F140">
      <formula1>"I, O, M, D, N"</formula1>
    </dataValidation>
    <dataValidation type="list" allowBlank="1" showInputMessage="1" showErrorMessage="1" sqref="G140">
      <formula1>"Y, N"</formula1>
    </dataValidation>
    <dataValidation type="list" allowBlank="1" showInputMessage="1" showErrorMessage="1" sqref="D141">
      <formula1>FDDValList</formula1>
    </dataValidation>
    <dataValidation type="list" allowBlank="1" showInputMessage="1" showErrorMessage="1" sqref="F141">
      <formula1>"I, O, M, D, N"</formula1>
    </dataValidation>
    <dataValidation type="list" allowBlank="1" showInputMessage="1" showErrorMessage="1" sqref="G141">
      <formula1>"Y, N"</formula1>
    </dataValidation>
    <dataValidation type="list" allowBlank="1" showInputMessage="1" showErrorMessage="1" sqref="D142">
      <formula1>FDDValList</formula1>
    </dataValidation>
    <dataValidation type="list" allowBlank="1" showInputMessage="1" showErrorMessage="1" sqref="F142">
      <formula1>"I, O, M, D, N"</formula1>
    </dataValidation>
    <dataValidation type="list" allowBlank="1" showInputMessage="1" showErrorMessage="1" sqref="G142">
      <formula1>"Y, N"</formula1>
    </dataValidation>
    <dataValidation type="list" allowBlank="1" showInputMessage="1" showErrorMessage="1" sqref="D143">
      <formula1>FDDValList</formula1>
    </dataValidation>
    <dataValidation type="list" allowBlank="1" showInputMessage="1" showErrorMessage="1" sqref="F143">
      <formula1>"I, O, M, D, N"</formula1>
    </dataValidation>
    <dataValidation type="list" allowBlank="1" showInputMessage="1" showErrorMessage="1" sqref="G143">
      <formula1>"Y, N"</formula1>
    </dataValidation>
    <dataValidation type="list" allowBlank="1" showInputMessage="1" showErrorMessage="1" sqref="D144">
      <formula1>FDDValList</formula1>
    </dataValidation>
    <dataValidation type="list" allowBlank="1" showInputMessage="1" showErrorMessage="1" sqref="F144">
      <formula1>"I, O, M, D, N"</formula1>
    </dataValidation>
    <dataValidation type="list" allowBlank="1" showInputMessage="1" showErrorMessage="1" sqref="G144">
      <formula1>"Y, N"</formula1>
    </dataValidation>
    <dataValidation type="list" allowBlank="1" showInputMessage="1" showErrorMessage="1" sqref="D145">
      <formula1>FDDValList</formula1>
    </dataValidation>
    <dataValidation type="list" allowBlank="1" showInputMessage="1" showErrorMessage="1" sqref="F145">
      <formula1>"I, O, M, D, N"</formula1>
    </dataValidation>
    <dataValidation type="list" allowBlank="1" showInputMessage="1" showErrorMessage="1" sqref="G145">
      <formula1>"Y, N"</formula1>
    </dataValidation>
    <dataValidation type="list" allowBlank="1" showInputMessage="1" showErrorMessage="1" sqref="D146">
      <formula1>FDDValList</formula1>
    </dataValidation>
    <dataValidation type="list" allowBlank="1" showInputMessage="1" showErrorMessage="1" sqref="F146">
      <formula1>"I, O, M, D, N"</formula1>
    </dataValidation>
    <dataValidation type="list" allowBlank="1" showInputMessage="1" showErrorMessage="1" sqref="G146">
      <formula1>"Y, N"</formula1>
    </dataValidation>
    <dataValidation type="list" allowBlank="1" showInputMessage="1" showErrorMessage="1" sqref="D147">
      <formula1>FDDValList</formula1>
    </dataValidation>
    <dataValidation type="list" allowBlank="1" showInputMessage="1" showErrorMessage="1" sqref="F147">
      <formula1>"I, O, M, D, N"</formula1>
    </dataValidation>
    <dataValidation type="list" allowBlank="1" showInputMessage="1" showErrorMessage="1" sqref="G147">
      <formula1>"Y, N"</formula1>
    </dataValidation>
    <dataValidation type="list" allowBlank="1" showInputMessage="1" showErrorMessage="1" sqref="D148">
      <formula1>FDDValList</formula1>
    </dataValidation>
    <dataValidation type="list" allowBlank="1" showInputMessage="1" showErrorMessage="1" sqref="F148">
      <formula1>"I, O, M, D, N"</formula1>
    </dataValidation>
    <dataValidation type="list" allowBlank="1" showInputMessage="1" showErrorMessage="1" sqref="G148">
      <formula1>"Y, N"</formula1>
    </dataValidation>
    <dataValidation type="list" allowBlank="1" showInputMessage="1" showErrorMessage="1" sqref="D149">
      <formula1>FDDValList</formula1>
    </dataValidation>
    <dataValidation type="list" allowBlank="1" showInputMessage="1" showErrorMessage="1" sqref="F149">
      <formula1>"I, O, M, D, N"</formula1>
    </dataValidation>
    <dataValidation type="list" allowBlank="1" showInputMessage="1" showErrorMessage="1" sqref="G149">
      <formula1>"Y, N"</formula1>
    </dataValidation>
    <dataValidation type="list" allowBlank="1" showInputMessage="1" showErrorMessage="1" sqref="D150">
      <formula1>FDDValList</formula1>
    </dataValidation>
    <dataValidation type="list" allowBlank="1" showInputMessage="1" showErrorMessage="1" sqref="F150">
      <formula1>"I, O, M, D, N"</formula1>
    </dataValidation>
    <dataValidation type="list" allowBlank="1" showInputMessage="1" showErrorMessage="1" sqref="G150">
      <formula1>"Y, N"</formula1>
    </dataValidation>
    <dataValidation type="list" allowBlank="1" showInputMessage="1" showErrorMessage="1" sqref="D151">
      <formula1>FDDValList</formula1>
    </dataValidation>
    <dataValidation type="list" allowBlank="1" showInputMessage="1" showErrorMessage="1" sqref="F151">
      <formula1>"I, O, M, D, N"</formula1>
    </dataValidation>
    <dataValidation type="list" allowBlank="1" showInputMessage="1" showErrorMessage="1" sqref="G151">
      <formula1>"Y, N"</formula1>
    </dataValidation>
    <dataValidation type="list" allowBlank="1" showInputMessage="1" showErrorMessage="1" sqref="D152">
      <formula1>FDDValList</formula1>
    </dataValidation>
    <dataValidation type="list" allowBlank="1" showInputMessage="1" showErrorMessage="1" sqref="F152">
      <formula1>"I, O, M, D, N"</formula1>
    </dataValidation>
    <dataValidation type="list" allowBlank="1" showInputMessage="1" showErrorMessage="1" sqref="G152">
      <formula1>"Y, N"</formula1>
    </dataValidation>
    <dataValidation type="list" allowBlank="1" showInputMessage="1" showErrorMessage="1" sqref="D153">
      <formula1>FDDValList</formula1>
    </dataValidation>
    <dataValidation type="list" allowBlank="1" showInputMessage="1" showErrorMessage="1" sqref="F153">
      <formula1>"I, O, M, D, N"</formula1>
    </dataValidation>
    <dataValidation type="list" allowBlank="1" showInputMessage="1" showErrorMessage="1" sqref="G153">
      <formula1>"Y, N"</formula1>
    </dataValidation>
    <dataValidation type="list" allowBlank="1" showInputMessage="1" showErrorMessage="1" sqref="D154">
      <formula1>FDDValList</formula1>
    </dataValidation>
    <dataValidation type="list" allowBlank="1" showInputMessage="1" showErrorMessage="1" sqref="F154">
      <formula1>"I, O, M, D, N"</formula1>
    </dataValidation>
    <dataValidation type="list" allowBlank="1" showInputMessage="1" showErrorMessage="1" sqref="G154">
      <formula1>"Y, N"</formula1>
    </dataValidation>
    <dataValidation type="list" allowBlank="1" showInputMessage="1" showErrorMessage="1" sqref="D155">
      <formula1>FDDValList</formula1>
    </dataValidation>
    <dataValidation type="list" allowBlank="1" showInputMessage="1" showErrorMessage="1" sqref="F155">
      <formula1>"I, O, M, D, N"</formula1>
    </dataValidation>
    <dataValidation type="list" allowBlank="1" showInputMessage="1" showErrorMessage="1" sqref="G155">
      <formula1>"Y, N"</formula1>
    </dataValidation>
    <dataValidation type="list" allowBlank="1" showInputMessage="1" showErrorMessage="1" sqref="D156">
      <formula1>FDDValList</formula1>
    </dataValidation>
    <dataValidation type="list" allowBlank="1" showInputMessage="1" showErrorMessage="1" sqref="F156">
      <formula1>"I, O, M, D, N"</formula1>
    </dataValidation>
    <dataValidation type="list" allowBlank="1" showInputMessage="1" showErrorMessage="1" sqref="G156">
      <formula1>"Y, N"</formula1>
    </dataValidation>
    <dataValidation type="list" allowBlank="1" showInputMessage="1" showErrorMessage="1" sqref="D157">
      <formula1>FDDValList</formula1>
    </dataValidation>
    <dataValidation type="list" allowBlank="1" showInputMessage="1" showErrorMessage="1" sqref="F157">
      <formula1>"I, O, M, D, N"</formula1>
    </dataValidation>
    <dataValidation type="list" allowBlank="1" showInputMessage="1" showErrorMessage="1" sqref="G157">
      <formula1>"Y, N"</formula1>
    </dataValidation>
    <dataValidation type="list" allowBlank="1" showInputMessage="1" showErrorMessage="1" sqref="D158">
      <formula1>FDDValList</formula1>
    </dataValidation>
    <dataValidation type="list" allowBlank="1" showInputMessage="1" showErrorMessage="1" sqref="F158">
      <formula1>"I, O, M, D, N"</formula1>
    </dataValidation>
    <dataValidation type="list" allowBlank="1" showInputMessage="1" showErrorMessage="1" sqref="G158">
      <formula1>"Y, N"</formula1>
    </dataValidation>
    <dataValidation type="list" allowBlank="1" showInputMessage="1" showErrorMessage="1" sqref="D159">
      <formula1>FDDValList</formula1>
    </dataValidation>
    <dataValidation type="list" allowBlank="1" showInputMessage="1" showErrorMessage="1" sqref="F159">
      <formula1>"I, O, M, D, N"</formula1>
    </dataValidation>
    <dataValidation type="list" allowBlank="1" showInputMessage="1" showErrorMessage="1" sqref="G159">
      <formula1>"Y, N"</formula1>
    </dataValidation>
    <dataValidation type="list" allowBlank="1" showInputMessage="1" showErrorMessage="1" sqref="D160">
      <formula1>FDDValList</formula1>
    </dataValidation>
    <dataValidation type="list" allowBlank="1" showInputMessage="1" showErrorMessage="1" sqref="F160">
      <formula1>"I, O, M, D, N"</formula1>
    </dataValidation>
    <dataValidation type="list" allowBlank="1" showInputMessage="1" showErrorMessage="1" sqref="G160">
      <formula1>"Y, N"</formula1>
    </dataValidation>
    <dataValidation type="list" allowBlank="1" showInputMessage="1" showErrorMessage="1" sqref="D161">
      <formula1>FDDValList</formula1>
    </dataValidation>
    <dataValidation type="list" allowBlank="1" showInputMessage="1" showErrorMessage="1" sqref="F161">
      <formula1>"I, O, M, D, N"</formula1>
    </dataValidation>
    <dataValidation type="list" allowBlank="1" showInputMessage="1" showErrorMessage="1" sqref="G161">
      <formula1>"Y, N"</formula1>
    </dataValidation>
    <dataValidation type="list" allowBlank="1" showInputMessage="1" showErrorMessage="1" sqref="D162">
      <formula1>FDDValList</formula1>
    </dataValidation>
    <dataValidation type="list" allowBlank="1" showInputMessage="1" showErrorMessage="1" sqref="F162">
      <formula1>"I, O, M, D, N"</formula1>
    </dataValidation>
    <dataValidation type="list" allowBlank="1" showInputMessage="1" showErrorMessage="1" sqref="G162">
      <formula1>"Y, N"</formula1>
    </dataValidation>
    <dataValidation type="list" allowBlank="1" showInputMessage="1" showErrorMessage="1" sqref="D163">
      <formula1>FDDValList</formula1>
    </dataValidation>
    <dataValidation type="list" allowBlank="1" showInputMessage="1" showErrorMessage="1" sqref="F163">
      <formula1>"I, O, M, D, N"</formula1>
    </dataValidation>
    <dataValidation type="list" allowBlank="1" showInputMessage="1" showErrorMessage="1" sqref="G163">
      <formula1>"Y, N"</formula1>
    </dataValidation>
    <dataValidation type="list" allowBlank="1" showInputMessage="1" showErrorMessage="1" sqref="D164">
      <formula1>FDDValList</formula1>
    </dataValidation>
    <dataValidation type="list" allowBlank="1" showInputMessage="1" showErrorMessage="1" sqref="F164">
      <formula1>"I, O, M, D, N"</formula1>
    </dataValidation>
    <dataValidation type="list" allowBlank="1" showInputMessage="1" showErrorMessage="1" sqref="G164">
      <formula1>"Y, N"</formula1>
    </dataValidation>
    <dataValidation type="list" allowBlank="1" showInputMessage="1" showErrorMessage="1" sqref="D165">
      <formula1>FDDValList</formula1>
    </dataValidation>
    <dataValidation type="list" allowBlank="1" showInputMessage="1" showErrorMessage="1" sqref="F165">
      <formula1>"I, O, M, D, N"</formula1>
    </dataValidation>
    <dataValidation type="list" allowBlank="1" showInputMessage="1" showErrorMessage="1" sqref="G165">
      <formula1>"Y, N"</formula1>
    </dataValidation>
    <dataValidation type="list" allowBlank="1" showInputMessage="1" showErrorMessage="1" sqref="D166">
      <formula1>FDDValList</formula1>
    </dataValidation>
    <dataValidation type="list" allowBlank="1" showInputMessage="1" showErrorMessage="1" sqref="F166">
      <formula1>"I, O, M, D, N"</formula1>
    </dataValidation>
    <dataValidation type="list" allowBlank="1" showInputMessage="1" showErrorMessage="1" sqref="G166">
      <formula1>"Y, N"</formula1>
    </dataValidation>
    <dataValidation type="list" allowBlank="1" showInputMessage="1" showErrorMessage="1" sqref="D167">
      <formula1>FDDValList</formula1>
    </dataValidation>
    <dataValidation type="list" allowBlank="1" showInputMessage="1" showErrorMessage="1" sqref="F167">
      <formula1>"I, O, M, D, N"</formula1>
    </dataValidation>
    <dataValidation type="list" allowBlank="1" showInputMessage="1" showErrorMessage="1" sqref="G167">
      <formula1>"Y, N"</formula1>
    </dataValidation>
    <dataValidation type="list" allowBlank="1" showInputMessage="1" showErrorMessage="1" sqref="D168">
      <formula1>FDDValList</formula1>
    </dataValidation>
    <dataValidation type="list" allowBlank="1" showInputMessage="1" showErrorMessage="1" sqref="F168">
      <formula1>"I, O, M, D, N"</formula1>
    </dataValidation>
    <dataValidation type="list" allowBlank="1" showInputMessage="1" showErrorMessage="1" sqref="G168">
      <formula1>"Y, N"</formula1>
    </dataValidation>
    <dataValidation type="list" allowBlank="1" showInputMessage="1" showErrorMessage="1" sqref="D169">
      <formula1>FDDValList</formula1>
    </dataValidation>
    <dataValidation type="list" allowBlank="1" showInputMessage="1" showErrorMessage="1" sqref="F169">
      <formula1>"I, O, M, D, N"</formula1>
    </dataValidation>
    <dataValidation type="list" allowBlank="1" showInputMessage="1" showErrorMessage="1" sqref="G169">
      <formula1>"Y, N"</formula1>
    </dataValidation>
    <dataValidation type="list" allowBlank="1" showInputMessage="1" showErrorMessage="1" sqref="D170">
      <formula1>FDDValList</formula1>
    </dataValidation>
    <dataValidation type="list" allowBlank="1" showInputMessage="1" showErrorMessage="1" sqref="F170">
      <formula1>"I, O, M, D, N"</formula1>
    </dataValidation>
    <dataValidation type="list" allowBlank="1" showInputMessage="1" showErrorMessage="1" sqref="G170">
      <formula1>"Y, N"</formula1>
    </dataValidation>
    <dataValidation type="list" allowBlank="1" showInputMessage="1" showErrorMessage="1" sqref="D171">
      <formula1>FDDValList</formula1>
    </dataValidation>
    <dataValidation type="list" allowBlank="1" showInputMessage="1" showErrorMessage="1" sqref="F171">
      <formula1>"I, O, M, D, N"</formula1>
    </dataValidation>
    <dataValidation type="list" allowBlank="1" showInputMessage="1" showErrorMessage="1" sqref="G171">
      <formula1>"Y, N"</formula1>
    </dataValidation>
    <dataValidation type="list" allowBlank="1" showInputMessage="1" showErrorMessage="1" sqref="D172">
      <formula1>FDDValList</formula1>
    </dataValidation>
    <dataValidation type="list" allowBlank="1" showInputMessage="1" showErrorMessage="1" sqref="F172">
      <formula1>"I, O, M, D, N"</formula1>
    </dataValidation>
    <dataValidation type="list" allowBlank="1" showInputMessage="1" showErrorMessage="1" sqref="G172">
      <formula1>"Y, N"</formula1>
    </dataValidation>
    <dataValidation type="list" allowBlank="1" showInputMessage="1" showErrorMessage="1" sqref="D173">
      <formula1>FDDValList</formula1>
    </dataValidation>
    <dataValidation type="list" allowBlank="1" showInputMessage="1" showErrorMessage="1" sqref="F173">
      <formula1>"I, O, M, D, N"</formula1>
    </dataValidation>
    <dataValidation type="list" allowBlank="1" showInputMessage="1" showErrorMessage="1" sqref="G173">
      <formula1>"Y, N"</formula1>
    </dataValidation>
    <dataValidation type="list" allowBlank="1" showInputMessage="1" showErrorMessage="1" sqref="D174">
      <formula1>FDDValList</formula1>
    </dataValidation>
    <dataValidation type="list" allowBlank="1" showInputMessage="1" showErrorMessage="1" sqref="F174">
      <formula1>"I, O, M, D, N"</formula1>
    </dataValidation>
    <dataValidation type="list" allowBlank="1" showInputMessage="1" showErrorMessage="1" sqref="G174">
      <formula1>"Y, N"</formula1>
    </dataValidation>
    <dataValidation type="list" allowBlank="1" showInputMessage="1" showErrorMessage="1" sqref="D175">
      <formula1>FDDValList</formula1>
    </dataValidation>
    <dataValidation type="list" allowBlank="1" showInputMessage="1" showErrorMessage="1" sqref="F175">
      <formula1>"I, O, M, D, N"</formula1>
    </dataValidation>
    <dataValidation type="list" allowBlank="1" showInputMessage="1" showErrorMessage="1" sqref="G175">
      <formula1>"Y, N"</formula1>
    </dataValidation>
    <dataValidation type="list" allowBlank="1" showInputMessage="1" showErrorMessage="1" sqref="D176">
      <formula1>FDDValList</formula1>
    </dataValidation>
    <dataValidation type="list" allowBlank="1" showInputMessage="1" showErrorMessage="1" sqref="F176">
      <formula1>"I, O, M, D, N"</formula1>
    </dataValidation>
    <dataValidation type="list" allowBlank="1" showInputMessage="1" showErrorMessage="1" sqref="G176">
      <formula1>"Y, N"</formula1>
    </dataValidation>
    <dataValidation type="list" allowBlank="1" showInputMessage="1" showErrorMessage="1" sqref="D177">
      <formula1>FDDValList</formula1>
    </dataValidation>
    <dataValidation type="list" allowBlank="1" showInputMessage="1" showErrorMessage="1" sqref="F177">
      <formula1>"I, O, M, D, N"</formula1>
    </dataValidation>
    <dataValidation type="list" allowBlank="1" showInputMessage="1" showErrorMessage="1" sqref="G177">
      <formula1>"Y, N"</formula1>
    </dataValidation>
    <dataValidation type="list" allowBlank="1" showInputMessage="1" showErrorMessage="1" sqref="D178">
      <formula1>FDDValList</formula1>
    </dataValidation>
    <dataValidation type="list" allowBlank="1" showInputMessage="1" showErrorMessage="1" sqref="F178">
      <formula1>"I, O, M, D, N"</formula1>
    </dataValidation>
    <dataValidation type="list" allowBlank="1" showInputMessage="1" showErrorMessage="1" sqref="G178">
      <formula1>"Y, N"</formula1>
    </dataValidation>
    <dataValidation type="list" allowBlank="1" showInputMessage="1" showErrorMessage="1" sqref="D179">
      <formula1>FDDValList</formula1>
    </dataValidation>
    <dataValidation type="list" allowBlank="1" showInputMessage="1" showErrorMessage="1" sqref="F179">
      <formula1>"I, O, M, D, N"</formula1>
    </dataValidation>
    <dataValidation type="list" allowBlank="1" showInputMessage="1" showErrorMessage="1" sqref="G179">
      <formula1>"Y, N"</formula1>
    </dataValidation>
    <dataValidation type="list" allowBlank="1" showInputMessage="1" showErrorMessage="1" sqref="D180">
      <formula1>FDDValList</formula1>
    </dataValidation>
    <dataValidation type="list" allowBlank="1" showInputMessage="1" showErrorMessage="1" sqref="F180">
      <formula1>"I, O, M, D, N"</formula1>
    </dataValidation>
    <dataValidation type="list" allowBlank="1" showInputMessage="1" showErrorMessage="1" sqref="G180">
      <formula1>"Y, N"</formula1>
    </dataValidation>
    <dataValidation type="list" allowBlank="1" showInputMessage="1" showErrorMessage="1" sqref="D181">
      <formula1>FDDValList</formula1>
    </dataValidation>
    <dataValidation type="list" allowBlank="1" showInputMessage="1" showErrorMessage="1" sqref="F181">
      <formula1>"I, O, M, D, N"</formula1>
    </dataValidation>
    <dataValidation type="list" allowBlank="1" showInputMessage="1" showErrorMessage="1" sqref="G181">
      <formula1>"Y, N"</formula1>
    </dataValidation>
    <dataValidation type="list" allowBlank="1" showInputMessage="1" showErrorMessage="1" sqref="D182">
      <formula1>FDDValList</formula1>
    </dataValidation>
    <dataValidation type="list" allowBlank="1" showInputMessage="1" showErrorMessage="1" sqref="F182">
      <formula1>"I, O, M, D, N"</formula1>
    </dataValidation>
    <dataValidation type="list" allowBlank="1" showInputMessage="1" showErrorMessage="1" sqref="G182">
      <formula1>"Y, N"</formula1>
    </dataValidation>
    <dataValidation type="list" allowBlank="1" showInputMessage="1" showErrorMessage="1" sqref="D183">
      <formula1>FDDValList</formula1>
    </dataValidation>
    <dataValidation type="list" allowBlank="1" showInputMessage="1" showErrorMessage="1" sqref="F183">
      <formula1>"I, O, M, D, N"</formula1>
    </dataValidation>
    <dataValidation type="list" allowBlank="1" showInputMessage="1" showErrorMessage="1" sqref="G183">
      <formula1>"Y, N"</formula1>
    </dataValidation>
    <dataValidation type="list" allowBlank="1" showInputMessage="1" showErrorMessage="1" sqref="D184">
      <formula1>FDDValList</formula1>
    </dataValidation>
    <dataValidation type="list" allowBlank="1" showInputMessage="1" showErrorMessage="1" sqref="F184">
      <formula1>"I, O, M, D, N"</formula1>
    </dataValidation>
    <dataValidation type="list" allowBlank="1" showInputMessage="1" showErrorMessage="1" sqref="G184">
      <formula1>"Y, N"</formula1>
    </dataValidation>
    <dataValidation type="list" allowBlank="1" showInputMessage="1" showErrorMessage="1" sqref="D185">
      <formula1>FDDValList</formula1>
    </dataValidation>
    <dataValidation type="list" allowBlank="1" showInputMessage="1" showErrorMessage="1" sqref="F185">
      <formula1>"I, O, M, D, N"</formula1>
    </dataValidation>
    <dataValidation type="list" allowBlank="1" showInputMessage="1" showErrorMessage="1" sqref="G185">
      <formula1>"Y, N"</formula1>
    </dataValidation>
    <dataValidation type="list" allowBlank="1" showInputMessage="1" showErrorMessage="1" sqref="D186">
      <formula1>FDDValList</formula1>
    </dataValidation>
    <dataValidation type="list" allowBlank="1" showInputMessage="1" showErrorMessage="1" sqref="F186">
      <formula1>"I, O, M, D, N"</formula1>
    </dataValidation>
    <dataValidation type="list" allowBlank="1" showInputMessage="1" showErrorMessage="1" sqref="G186">
      <formula1>"Y, N"</formula1>
    </dataValidation>
    <dataValidation type="list" allowBlank="1" showInputMessage="1" showErrorMessage="1" sqref="D187">
      <formula1>FDDValList</formula1>
    </dataValidation>
    <dataValidation type="list" allowBlank="1" showInputMessage="1" showErrorMessage="1" sqref="F187">
      <formula1>"I, O, M, D, N"</formula1>
    </dataValidation>
    <dataValidation type="list" allowBlank="1" showInputMessage="1" showErrorMessage="1" sqref="G187">
      <formula1>"Y, N"</formula1>
    </dataValidation>
    <dataValidation type="list" allowBlank="1" showInputMessage="1" showErrorMessage="1" sqref="D188">
      <formula1>FDDValList</formula1>
    </dataValidation>
    <dataValidation type="list" allowBlank="1" showInputMessage="1" showErrorMessage="1" sqref="F188">
      <formula1>"I, O, M, D, N"</formula1>
    </dataValidation>
    <dataValidation type="list" allowBlank="1" showInputMessage="1" showErrorMessage="1" sqref="G188">
      <formula1>"Y, N"</formula1>
    </dataValidation>
    <dataValidation type="list" allowBlank="1" showInputMessage="1" showErrorMessage="1" sqref="D189">
      <formula1>FDDValList</formula1>
    </dataValidation>
    <dataValidation type="list" allowBlank="1" showInputMessage="1" showErrorMessage="1" sqref="F189">
      <formula1>"I, O, M, D, N"</formula1>
    </dataValidation>
    <dataValidation type="list" allowBlank="1" showInputMessage="1" showErrorMessage="1" sqref="G189">
      <formula1>"Y, N"</formula1>
    </dataValidation>
    <dataValidation type="list" allowBlank="1" showInputMessage="1" showErrorMessage="1" sqref="D190">
      <formula1>FDDValList</formula1>
    </dataValidation>
    <dataValidation type="list" allowBlank="1" showInputMessage="1" showErrorMessage="1" sqref="F190">
      <formula1>"I, O, M, D, N"</formula1>
    </dataValidation>
    <dataValidation type="list" allowBlank="1" showInputMessage="1" showErrorMessage="1" sqref="G190">
      <formula1>"Y, N"</formula1>
    </dataValidation>
    <dataValidation type="list" allowBlank="1" showInputMessage="1" showErrorMessage="1" sqref="D191">
      <formula1>FDDValList</formula1>
    </dataValidation>
    <dataValidation type="list" allowBlank="1" showInputMessage="1" showErrorMessage="1" sqref="F191">
      <formula1>"I, O, M, D, N"</formula1>
    </dataValidation>
    <dataValidation type="list" allowBlank="1" showInputMessage="1" showErrorMessage="1" sqref="G191">
      <formula1>"Y, N"</formula1>
    </dataValidation>
    <dataValidation type="list" allowBlank="1" showInputMessage="1" showErrorMessage="1" sqref="D192">
      <formula1>FDDValList</formula1>
    </dataValidation>
    <dataValidation type="list" allowBlank="1" showInputMessage="1" showErrorMessage="1" sqref="F192">
      <formula1>"I, O, M, D, N"</formula1>
    </dataValidation>
    <dataValidation type="list" allowBlank="1" showInputMessage="1" showErrorMessage="1" sqref="G192">
      <formula1>"Y, N"</formula1>
    </dataValidation>
    <dataValidation type="list" allowBlank="1" showInputMessage="1" showErrorMessage="1" sqref="D193">
      <formula1>FDDValList</formula1>
    </dataValidation>
    <dataValidation type="list" allowBlank="1" showInputMessage="1" showErrorMessage="1" sqref="F193">
      <formula1>"I, O, M, D, N"</formula1>
    </dataValidation>
    <dataValidation type="list" allowBlank="1" showInputMessage="1" showErrorMessage="1" sqref="G193">
      <formula1>"Y, N"</formula1>
    </dataValidation>
    <dataValidation type="list" allowBlank="1" showInputMessage="1" showErrorMessage="1" sqref="D194">
      <formula1>FDDValList</formula1>
    </dataValidation>
    <dataValidation type="list" allowBlank="1" showInputMessage="1" showErrorMessage="1" sqref="F194">
      <formula1>"I, O, M, D, N"</formula1>
    </dataValidation>
    <dataValidation type="list" allowBlank="1" showInputMessage="1" showErrorMessage="1" sqref="G194">
      <formula1>"Y, N"</formula1>
    </dataValidation>
    <dataValidation type="list" allowBlank="1" showInputMessage="1" showErrorMessage="1" sqref="D195">
      <formula1>FDDValList</formula1>
    </dataValidation>
    <dataValidation type="list" allowBlank="1" showInputMessage="1" showErrorMessage="1" sqref="F195">
      <formula1>"I, O, M, D, N"</formula1>
    </dataValidation>
    <dataValidation type="list" allowBlank="1" showInputMessage="1" showErrorMessage="1" sqref="G195">
      <formula1>"Y, N"</formula1>
    </dataValidation>
    <dataValidation type="list" allowBlank="1" showInputMessage="1" showErrorMessage="1" sqref="D196">
      <formula1>FDDValList</formula1>
    </dataValidation>
    <dataValidation type="list" allowBlank="1" showInputMessage="1" showErrorMessage="1" sqref="F196">
      <formula1>"I, O, M, D, N"</formula1>
    </dataValidation>
    <dataValidation type="list" allowBlank="1" showInputMessage="1" showErrorMessage="1" sqref="G196">
      <formula1>"Y, N"</formula1>
    </dataValidation>
    <dataValidation type="list" allowBlank="1" showInputMessage="1" showErrorMessage="1" sqref="D197">
      <formula1>FDDValList</formula1>
    </dataValidation>
    <dataValidation type="list" allowBlank="1" showInputMessage="1" showErrorMessage="1" sqref="F197">
      <formula1>"I, O, M, D, N"</formula1>
    </dataValidation>
    <dataValidation type="list" allowBlank="1" showInputMessage="1" showErrorMessage="1" sqref="G197">
      <formula1>"Y, N"</formula1>
    </dataValidation>
    <dataValidation type="list" allowBlank="1" showInputMessage="1" showErrorMessage="1" sqref="D198">
      <formula1>FDDValList</formula1>
    </dataValidation>
    <dataValidation type="list" allowBlank="1" showInputMessage="1" showErrorMessage="1" sqref="F198">
      <formula1>"I, O, M, D, N"</formula1>
    </dataValidation>
    <dataValidation type="list" allowBlank="1" showInputMessage="1" showErrorMessage="1" sqref="G198">
      <formula1>"Y, N"</formula1>
    </dataValidation>
    <dataValidation type="list" allowBlank="1" showInputMessage="1" showErrorMessage="1" sqref="D199">
      <formula1>FDDValList</formula1>
    </dataValidation>
    <dataValidation type="list" allowBlank="1" showInputMessage="1" showErrorMessage="1" sqref="F199">
      <formula1>"I, O, M, D, N"</formula1>
    </dataValidation>
    <dataValidation type="list" allowBlank="1" showInputMessage="1" showErrorMessage="1" sqref="G199">
      <formula1>"Y, N"</formula1>
    </dataValidation>
    <dataValidation type="list" allowBlank="1" showInputMessage="1" showErrorMessage="1" sqref="D200">
      <formula1>FDDValList</formula1>
    </dataValidation>
    <dataValidation type="list" allowBlank="1" showInputMessage="1" showErrorMessage="1" sqref="F200">
      <formula1>"I, O, M, D, N"</formula1>
    </dataValidation>
    <dataValidation type="list" allowBlank="1" showInputMessage="1" showErrorMessage="1" sqref="G200">
      <formula1>"Y, N"</formula1>
    </dataValidation>
    <dataValidation type="list" allowBlank="1" showInputMessage="1" showErrorMessage="1" sqref="D201">
      <formula1>FDDValList</formula1>
    </dataValidation>
    <dataValidation type="list" allowBlank="1" showInputMessage="1" showErrorMessage="1" sqref="F201">
      <formula1>"I, O, M, D, N"</formula1>
    </dataValidation>
    <dataValidation type="list" allowBlank="1" showInputMessage="1" showErrorMessage="1" sqref="G201">
      <formula1>"Y, N"</formula1>
    </dataValidation>
    <dataValidation type="list" allowBlank="1" showInputMessage="1" showErrorMessage="1" sqref="D202">
      <formula1>FDDValList</formula1>
    </dataValidation>
    <dataValidation type="list" allowBlank="1" showInputMessage="1" showErrorMessage="1" sqref="F202">
      <formula1>"I, O, M, D, N"</formula1>
    </dataValidation>
    <dataValidation type="list" allowBlank="1" showInputMessage="1" showErrorMessage="1" sqref="G202">
      <formula1>"Y, N"</formula1>
    </dataValidation>
    <dataValidation type="list" allowBlank="1" showInputMessage="1" showErrorMessage="1" sqref="D203">
      <formula1>FDDValList</formula1>
    </dataValidation>
    <dataValidation type="list" allowBlank="1" showInputMessage="1" showErrorMessage="1" sqref="F203">
      <formula1>"I, O, M, D, N"</formula1>
    </dataValidation>
    <dataValidation type="list" allowBlank="1" showInputMessage="1" showErrorMessage="1" sqref="G203">
      <formula1>"Y, N"</formula1>
    </dataValidation>
    <dataValidation type="list" allowBlank="1" showInputMessage="1" showErrorMessage="1" sqref="D204">
      <formula1>FDDValList</formula1>
    </dataValidation>
    <dataValidation type="list" allowBlank="1" showInputMessage="1" showErrorMessage="1" sqref="F204">
      <formula1>"I, O, M, D, N"</formula1>
    </dataValidation>
    <dataValidation type="list" allowBlank="1" showInputMessage="1" showErrorMessage="1" sqref="G204">
      <formula1>"Y, N"</formula1>
    </dataValidation>
    <dataValidation type="list" allowBlank="1" showInputMessage="1" showErrorMessage="1" sqref="D205">
      <formula1>FDDValList</formula1>
    </dataValidation>
    <dataValidation type="list" allowBlank="1" showInputMessage="1" showErrorMessage="1" sqref="F205">
      <formula1>"I, O, M, D, N"</formula1>
    </dataValidation>
    <dataValidation type="list" allowBlank="1" showInputMessage="1" showErrorMessage="1" sqref="G205">
      <formula1>"Y, N"</formula1>
    </dataValidation>
    <dataValidation type="list" allowBlank="1" showInputMessage="1" showErrorMessage="1" sqref="D206">
      <formula1>FDDValList</formula1>
    </dataValidation>
    <dataValidation type="list" allowBlank="1" showInputMessage="1" showErrorMessage="1" sqref="F206">
      <formula1>"I, O, M, D, N"</formula1>
    </dataValidation>
    <dataValidation type="list" allowBlank="1" showInputMessage="1" showErrorMessage="1" sqref="G206">
      <formula1>"Y, N"</formula1>
    </dataValidation>
    <dataValidation type="list" allowBlank="1" showInputMessage="1" showErrorMessage="1" sqref="D207">
      <formula1>FDDValList</formula1>
    </dataValidation>
    <dataValidation type="list" allowBlank="1" showInputMessage="1" showErrorMessage="1" sqref="F207">
      <formula1>"I, O, M, D, N"</formula1>
    </dataValidation>
    <dataValidation type="list" allowBlank="1" showInputMessage="1" showErrorMessage="1" sqref="G207">
      <formula1>"Y, N"</formula1>
    </dataValidation>
    <dataValidation type="list" allowBlank="1" showInputMessage="1" showErrorMessage="1" sqref="D208">
      <formula1>FDDValList</formula1>
    </dataValidation>
    <dataValidation type="list" allowBlank="1" showInputMessage="1" showErrorMessage="1" sqref="F208">
      <formula1>"I, O, M, D, N"</formula1>
    </dataValidation>
    <dataValidation type="list" allowBlank="1" showInputMessage="1" showErrorMessage="1" sqref="G208">
      <formula1>"Y, N"</formula1>
    </dataValidation>
    <dataValidation type="list" allowBlank="1" showInputMessage="1" showErrorMessage="1" sqref="D209">
      <formula1>FDDValList</formula1>
    </dataValidation>
    <dataValidation type="list" allowBlank="1" showInputMessage="1" showErrorMessage="1" sqref="F209">
      <formula1>"I, O, M, D, N"</formula1>
    </dataValidation>
    <dataValidation type="list" allowBlank="1" showInputMessage="1" showErrorMessage="1" sqref="G209">
      <formula1>"Y, N"</formula1>
    </dataValidation>
    <dataValidation type="list" allowBlank="1" showInputMessage="1" showErrorMessage="1" sqref="D210">
      <formula1>FDDValList</formula1>
    </dataValidation>
    <dataValidation type="list" allowBlank="1" showInputMessage="1" showErrorMessage="1" sqref="F210">
      <formula1>"I, O, M, D, N"</formula1>
    </dataValidation>
    <dataValidation type="list" allowBlank="1" showInputMessage="1" showErrorMessage="1" sqref="G210">
      <formula1>"Y, N"</formula1>
    </dataValidation>
    <dataValidation type="list" allowBlank="1" showInputMessage="1" showErrorMessage="1" sqref="D211">
      <formula1>FDDValList</formula1>
    </dataValidation>
    <dataValidation type="list" allowBlank="1" showInputMessage="1" showErrorMessage="1" sqref="F211">
      <formula1>"I, O, M, D, N"</formula1>
    </dataValidation>
    <dataValidation type="list" allowBlank="1" showInputMessage="1" showErrorMessage="1" sqref="G211">
      <formula1>"Y, N"</formula1>
    </dataValidation>
    <dataValidation type="list" allowBlank="1" showInputMessage="1" showErrorMessage="1" sqref="D212">
      <formula1>FDDValList</formula1>
    </dataValidation>
    <dataValidation type="list" allowBlank="1" showInputMessage="1" showErrorMessage="1" sqref="F212">
      <formula1>"I, O, M, D, N"</formula1>
    </dataValidation>
    <dataValidation type="list" allowBlank="1" showInputMessage="1" showErrorMessage="1" sqref="G212">
      <formula1>"Y, N"</formula1>
    </dataValidation>
    <dataValidation type="list" allowBlank="1" showInputMessage="1" showErrorMessage="1" sqref="D213">
      <formula1>FDDValList</formula1>
    </dataValidation>
    <dataValidation type="list" allowBlank="1" showInputMessage="1" showErrorMessage="1" sqref="F213">
      <formula1>"I, O, M, D, N"</formula1>
    </dataValidation>
    <dataValidation type="list" allowBlank="1" showInputMessage="1" showErrorMessage="1" sqref="G213">
      <formula1>"Y, N"</formula1>
    </dataValidation>
    <dataValidation type="list" allowBlank="1" showInputMessage="1" showErrorMessage="1" sqref="D214">
      <formula1>FDDValList</formula1>
    </dataValidation>
    <dataValidation type="list" allowBlank="1" showInputMessage="1" showErrorMessage="1" sqref="F214">
      <formula1>"I, O, M, D, N"</formula1>
    </dataValidation>
    <dataValidation type="list" allowBlank="1" showInputMessage="1" showErrorMessage="1" sqref="G214">
      <formula1>"Y, N"</formula1>
    </dataValidation>
    <dataValidation type="list" allowBlank="1" showInputMessage="1" showErrorMessage="1" sqref="D215">
      <formula1>FDDValList</formula1>
    </dataValidation>
    <dataValidation type="list" allowBlank="1" showInputMessage="1" showErrorMessage="1" sqref="F215">
      <formula1>"I, O, M, D, N"</formula1>
    </dataValidation>
    <dataValidation type="list" allowBlank="1" showInputMessage="1" showErrorMessage="1" sqref="G215">
      <formula1>"Y, N"</formula1>
    </dataValidation>
    <dataValidation type="list" allowBlank="1" showInputMessage="1" showErrorMessage="1" sqref="D216">
      <formula1>FDDValList</formula1>
    </dataValidation>
    <dataValidation type="list" allowBlank="1" showInputMessage="1" showErrorMessage="1" sqref="F216">
      <formula1>"I, O, M, D, N"</formula1>
    </dataValidation>
    <dataValidation type="list" allowBlank="1" showInputMessage="1" showErrorMessage="1" sqref="G216">
      <formula1>"Y, N"</formula1>
    </dataValidation>
    <dataValidation type="list" allowBlank="1" showInputMessage="1" showErrorMessage="1" sqref="D217">
      <formula1>FDDValList</formula1>
    </dataValidation>
    <dataValidation type="list" allowBlank="1" showInputMessage="1" showErrorMessage="1" sqref="F217">
      <formula1>"I, O, M, D, N"</formula1>
    </dataValidation>
    <dataValidation type="list" allowBlank="1" showInputMessage="1" showErrorMessage="1" sqref="G217">
      <formula1>"Y, N"</formula1>
    </dataValidation>
    <dataValidation type="list" allowBlank="1" showInputMessage="1" showErrorMessage="1" sqref="D218">
      <formula1>FDDValList</formula1>
    </dataValidation>
    <dataValidation type="list" allowBlank="1" showInputMessage="1" showErrorMessage="1" sqref="F218">
      <formula1>"I, O, M, D, N"</formula1>
    </dataValidation>
    <dataValidation type="list" allowBlank="1" showInputMessage="1" showErrorMessage="1" sqref="G218">
      <formula1>"Y, N"</formula1>
    </dataValidation>
    <dataValidation type="list" allowBlank="1" showInputMessage="1" showErrorMessage="1" sqref="D219">
      <formula1>FDDValList</formula1>
    </dataValidation>
    <dataValidation type="list" allowBlank="1" showInputMessage="1" showErrorMessage="1" sqref="F219">
      <formula1>"I, O, M, D, N"</formula1>
    </dataValidation>
    <dataValidation type="list" allowBlank="1" showInputMessage="1" showErrorMessage="1" sqref="G219">
      <formula1>"Y, N"</formula1>
    </dataValidation>
    <dataValidation type="list" allowBlank="1" showInputMessage="1" showErrorMessage="1" sqref="D220">
      <formula1>FDDValList</formula1>
    </dataValidation>
    <dataValidation type="list" allowBlank="1" showInputMessage="1" showErrorMessage="1" sqref="F220">
      <formula1>"I, O, M, D, N"</formula1>
    </dataValidation>
    <dataValidation type="list" allowBlank="1" showInputMessage="1" showErrorMessage="1" sqref="G220">
      <formula1>"Y, N"</formula1>
    </dataValidation>
    <dataValidation type="list" allowBlank="1" showInputMessage="1" showErrorMessage="1" sqref="D221">
      <formula1>FDDValList</formula1>
    </dataValidation>
    <dataValidation type="list" allowBlank="1" showInputMessage="1" showErrorMessage="1" sqref="F221">
      <formula1>"I, O, M, D, N"</formula1>
    </dataValidation>
    <dataValidation type="list" allowBlank="1" showInputMessage="1" showErrorMessage="1" sqref="G221">
      <formula1>"Y, N"</formula1>
    </dataValidation>
    <dataValidation type="list" allowBlank="1" showInputMessage="1" showErrorMessage="1" sqref="D222">
      <formula1>FDDValList</formula1>
    </dataValidation>
    <dataValidation type="list" allowBlank="1" showInputMessage="1" showErrorMessage="1" sqref="F222">
      <formula1>"I, O, M, D, N"</formula1>
    </dataValidation>
    <dataValidation type="list" allowBlank="1" showInputMessage="1" showErrorMessage="1" sqref="G222">
      <formula1>"Y, N"</formula1>
    </dataValidation>
    <dataValidation type="list" allowBlank="1" showInputMessage="1" showErrorMessage="1" sqref="D223">
      <formula1>FDDValList</formula1>
    </dataValidation>
    <dataValidation type="list" allowBlank="1" showInputMessage="1" showErrorMessage="1" sqref="F223">
      <formula1>"I, O, M, D, N"</formula1>
    </dataValidation>
    <dataValidation type="list" allowBlank="1" showInputMessage="1" showErrorMessage="1" sqref="G223">
      <formula1>"Y, N"</formula1>
    </dataValidation>
    <dataValidation type="list" allowBlank="1" showInputMessage="1" showErrorMessage="1" sqref="D224">
      <formula1>FDDValList</formula1>
    </dataValidation>
    <dataValidation type="list" allowBlank="1" showInputMessage="1" showErrorMessage="1" sqref="F224">
      <formula1>"I, O, M, D, N"</formula1>
    </dataValidation>
    <dataValidation type="list" allowBlank="1" showInputMessage="1" showErrorMessage="1" sqref="G224">
      <formula1>"Y, N"</formula1>
    </dataValidation>
    <dataValidation type="list" allowBlank="1" showInputMessage="1" showErrorMessage="1" sqref="D225">
      <formula1>FDDValList</formula1>
    </dataValidation>
    <dataValidation type="list" allowBlank="1" showInputMessage="1" showErrorMessage="1" sqref="F225">
      <formula1>"I, O, M, D, N"</formula1>
    </dataValidation>
    <dataValidation type="list" allowBlank="1" showInputMessage="1" showErrorMessage="1" sqref="G225">
      <formula1>"Y, N"</formula1>
    </dataValidation>
    <dataValidation type="list" allowBlank="1" showInputMessage="1" showErrorMessage="1" sqref="D226">
      <formula1>FDDValList</formula1>
    </dataValidation>
    <dataValidation type="list" allowBlank="1" showInputMessage="1" showErrorMessage="1" sqref="F226">
      <formula1>"I, O, M, D, N"</formula1>
    </dataValidation>
    <dataValidation type="list" allowBlank="1" showInputMessage="1" showErrorMessage="1" sqref="G226">
      <formula1>"Y, N"</formula1>
    </dataValidation>
    <dataValidation type="list" allowBlank="1" showInputMessage="1" showErrorMessage="1" sqref="D227">
      <formula1>FDDValList</formula1>
    </dataValidation>
    <dataValidation type="list" allowBlank="1" showInputMessage="1" showErrorMessage="1" sqref="F227">
      <formula1>"I, O, M, D, N"</formula1>
    </dataValidation>
    <dataValidation type="list" allowBlank="1" showInputMessage="1" showErrorMessage="1" sqref="G227">
      <formula1>"Y, N"</formula1>
    </dataValidation>
    <dataValidation type="list" allowBlank="1" showInputMessage="1" showErrorMessage="1" sqref="D228">
      <formula1>FDDValList</formula1>
    </dataValidation>
    <dataValidation type="list" allowBlank="1" showInputMessage="1" showErrorMessage="1" sqref="F228">
      <formula1>"I, O, M, D, N"</formula1>
    </dataValidation>
    <dataValidation type="list" allowBlank="1" showInputMessage="1" showErrorMessage="1" sqref="G228">
      <formula1>"Y, N"</formula1>
    </dataValidation>
    <dataValidation type="list" allowBlank="1" showInputMessage="1" showErrorMessage="1" sqref="D229">
      <formula1>FDDValList</formula1>
    </dataValidation>
    <dataValidation type="list" allowBlank="1" showInputMessage="1" showErrorMessage="1" sqref="F229">
      <formula1>"I, O, M, D, N"</formula1>
    </dataValidation>
    <dataValidation type="list" allowBlank="1" showInputMessage="1" showErrorMessage="1" sqref="G229">
      <formula1>"Y, N"</formula1>
    </dataValidation>
    <dataValidation type="list" allowBlank="1" showInputMessage="1" showErrorMessage="1" sqref="D230">
      <formula1>FDDValList</formula1>
    </dataValidation>
    <dataValidation type="list" allowBlank="1" showInputMessage="1" showErrorMessage="1" sqref="F230">
      <formula1>"I, O, M, D, N"</formula1>
    </dataValidation>
    <dataValidation type="list" allowBlank="1" showInputMessage="1" showErrorMessage="1" sqref="G230">
      <formula1>"Y, N"</formula1>
    </dataValidation>
    <dataValidation type="list" allowBlank="1" showInputMessage="1" showErrorMessage="1" sqref="D231">
      <formula1>FDDValList</formula1>
    </dataValidation>
    <dataValidation type="list" allowBlank="1" showInputMessage="1" showErrorMessage="1" sqref="F231">
      <formula1>"I, O, M, D, N"</formula1>
    </dataValidation>
    <dataValidation type="list" allowBlank="1" showInputMessage="1" showErrorMessage="1" sqref="G231">
      <formula1>"Y, N"</formula1>
    </dataValidation>
    <dataValidation type="list" allowBlank="1" showInputMessage="1" showErrorMessage="1" sqref="D232">
      <formula1>FDDValList</formula1>
    </dataValidation>
    <dataValidation type="list" allowBlank="1" showInputMessage="1" showErrorMessage="1" sqref="F232">
      <formula1>"I, O, M, D, N"</formula1>
    </dataValidation>
    <dataValidation type="list" allowBlank="1" showInputMessage="1" showErrorMessage="1" sqref="G232">
      <formula1>"Y, N"</formula1>
    </dataValidation>
    <dataValidation type="list" allowBlank="1" showInputMessage="1" showErrorMessage="1" sqref="D233">
      <formula1>FDDValList</formula1>
    </dataValidation>
    <dataValidation type="list" allowBlank="1" showInputMessage="1" showErrorMessage="1" sqref="F233">
      <formula1>"I, O, M, D, N"</formula1>
    </dataValidation>
    <dataValidation type="list" allowBlank="1" showInputMessage="1" showErrorMessage="1" sqref="G233">
      <formula1>"Y, N"</formula1>
    </dataValidation>
    <dataValidation type="list" allowBlank="1" showInputMessage="1" showErrorMessage="1" sqref="D234">
      <formula1>FDDValList</formula1>
    </dataValidation>
    <dataValidation type="list" allowBlank="1" showInputMessage="1" showErrorMessage="1" sqref="F234">
      <formula1>"I, O, M, D, N"</formula1>
    </dataValidation>
    <dataValidation type="list" allowBlank="1" showInputMessage="1" showErrorMessage="1" sqref="G234">
      <formula1>"Y, N"</formula1>
    </dataValidation>
    <dataValidation type="list" allowBlank="1" showInputMessage="1" showErrorMessage="1" sqref="D235">
      <formula1>FDDValList</formula1>
    </dataValidation>
    <dataValidation type="list" allowBlank="1" showInputMessage="1" showErrorMessage="1" sqref="F235">
      <formula1>"I, O, M, D, N"</formula1>
    </dataValidation>
    <dataValidation type="list" allowBlank="1" showInputMessage="1" showErrorMessage="1" sqref="G235">
      <formula1>"Y, N"</formula1>
    </dataValidation>
    <dataValidation type="list" allowBlank="1" showInputMessage="1" showErrorMessage="1" sqref="D236">
      <formula1>FDDValList</formula1>
    </dataValidation>
    <dataValidation type="list" allowBlank="1" showInputMessage="1" showErrorMessage="1" sqref="F236">
      <formula1>"I, O, M, D, N"</formula1>
    </dataValidation>
    <dataValidation type="list" allowBlank="1" showInputMessage="1" showErrorMessage="1" sqref="G236">
      <formula1>"Y, N"</formula1>
    </dataValidation>
    <dataValidation type="list" allowBlank="1" showInputMessage="1" showErrorMessage="1" sqref="D237">
      <formula1>FDDValList</formula1>
    </dataValidation>
    <dataValidation type="list" allowBlank="1" showInputMessage="1" showErrorMessage="1" sqref="F237">
      <formula1>"I, O, M, D, N"</formula1>
    </dataValidation>
    <dataValidation type="list" allowBlank="1" showInputMessage="1" showErrorMessage="1" sqref="G237">
      <formula1>"Y, N"</formula1>
    </dataValidation>
    <dataValidation type="list" allowBlank="1" showInputMessage="1" showErrorMessage="1" sqref="D238">
      <formula1>FDDValList</formula1>
    </dataValidation>
    <dataValidation type="list" allowBlank="1" showInputMessage="1" showErrorMessage="1" sqref="F238">
      <formula1>"I, O, M, D, N"</formula1>
    </dataValidation>
    <dataValidation type="list" allowBlank="1" showInputMessage="1" showErrorMessage="1" sqref="G238">
      <formula1>"Y, N"</formula1>
    </dataValidation>
    <dataValidation type="list" allowBlank="1" showInputMessage="1" showErrorMessage="1" sqref="D239">
      <formula1>FDDValList</formula1>
    </dataValidation>
    <dataValidation type="list" allowBlank="1" showInputMessage="1" showErrorMessage="1" sqref="F239">
      <formula1>"I, O, M, D, N"</formula1>
    </dataValidation>
    <dataValidation type="list" allowBlank="1" showInputMessage="1" showErrorMessage="1" sqref="G239">
      <formula1>"Y, N"</formula1>
    </dataValidation>
    <dataValidation type="list" allowBlank="1" showInputMessage="1" showErrorMessage="1" sqref="D240">
      <formula1>FDDValList</formula1>
    </dataValidation>
    <dataValidation type="list" allowBlank="1" showInputMessage="1" showErrorMessage="1" sqref="F240">
      <formula1>"I, O, M, D, N"</formula1>
    </dataValidation>
    <dataValidation type="list" allowBlank="1" showInputMessage="1" showErrorMessage="1" sqref="G240">
      <formula1>"Y, N"</formula1>
    </dataValidation>
    <dataValidation type="list" allowBlank="1" showInputMessage="1" showErrorMessage="1" sqref="D241">
      <formula1>FDDValList</formula1>
    </dataValidation>
    <dataValidation type="list" allowBlank="1" showInputMessage="1" showErrorMessage="1" sqref="F241">
      <formula1>"I, O, M, D, N"</formula1>
    </dataValidation>
    <dataValidation type="list" allowBlank="1" showInputMessage="1" showErrorMessage="1" sqref="G241">
      <formula1>"Y, N"</formula1>
    </dataValidation>
    <dataValidation type="list" allowBlank="1" showInputMessage="1" showErrorMessage="1" sqref="D242">
      <formula1>FDDValList</formula1>
    </dataValidation>
    <dataValidation type="list" allowBlank="1" showInputMessage="1" showErrorMessage="1" sqref="F242">
      <formula1>"I, O, M, D, N"</formula1>
    </dataValidation>
    <dataValidation type="list" allowBlank="1" showInputMessage="1" showErrorMessage="1" sqref="G242">
      <formula1>"Y, N"</formula1>
    </dataValidation>
    <dataValidation type="list" allowBlank="1" showInputMessage="1" showErrorMessage="1" sqref="D243">
      <formula1>FDDValList</formula1>
    </dataValidation>
    <dataValidation type="list" allowBlank="1" showInputMessage="1" showErrorMessage="1" sqref="F243">
      <formula1>"I, O, M, D, N"</formula1>
    </dataValidation>
    <dataValidation type="list" allowBlank="1" showInputMessage="1" showErrorMessage="1" sqref="G243">
      <formula1>"Y, N"</formula1>
    </dataValidation>
    <dataValidation type="list" allowBlank="1" showInputMessage="1" showErrorMessage="1" sqref="D244">
      <formula1>FDDValList</formula1>
    </dataValidation>
    <dataValidation type="list" allowBlank="1" showInputMessage="1" showErrorMessage="1" sqref="F244">
      <formula1>"I, O, M, D, N"</formula1>
    </dataValidation>
    <dataValidation type="list" allowBlank="1" showInputMessage="1" showErrorMessage="1" sqref="G244">
      <formula1>"Y, N"</formula1>
    </dataValidation>
    <dataValidation type="list" allowBlank="1" showInputMessage="1" showErrorMessage="1" sqref="D245">
      <formula1>FDDValList</formula1>
    </dataValidation>
    <dataValidation type="list" allowBlank="1" showInputMessage="1" showErrorMessage="1" sqref="F245">
      <formula1>"I, O, M, D, N"</formula1>
    </dataValidation>
    <dataValidation type="list" allowBlank="1" showInputMessage="1" showErrorMessage="1" sqref="G245">
      <formula1>"Y, N"</formula1>
    </dataValidation>
    <dataValidation type="list" allowBlank="1" showInputMessage="1" showErrorMessage="1" sqref="D246">
      <formula1>FDDValList</formula1>
    </dataValidation>
    <dataValidation type="list" allowBlank="1" showInputMessage="1" showErrorMessage="1" sqref="F246">
      <formula1>"I, O, M, D, N"</formula1>
    </dataValidation>
    <dataValidation type="list" allowBlank="1" showInputMessage="1" showErrorMessage="1" sqref="G246">
      <formula1>"Y, N"</formula1>
    </dataValidation>
    <dataValidation type="list" allowBlank="1" showInputMessage="1" showErrorMessage="1" sqref="D247">
      <formula1>FDDValList</formula1>
    </dataValidation>
    <dataValidation type="list" allowBlank="1" showInputMessage="1" showErrorMessage="1" sqref="F247">
      <formula1>"I, O, M, D, N"</formula1>
    </dataValidation>
    <dataValidation type="list" allowBlank="1" showInputMessage="1" showErrorMessage="1" sqref="G247">
      <formula1>"Y, N"</formula1>
    </dataValidation>
    <dataValidation type="list" allowBlank="1" showInputMessage="1" showErrorMessage="1" sqref="D248">
      <formula1>FDDValList</formula1>
    </dataValidation>
    <dataValidation type="list" allowBlank="1" showInputMessage="1" showErrorMessage="1" sqref="F248">
      <formula1>"I, O, M, D, N"</formula1>
    </dataValidation>
    <dataValidation type="list" allowBlank="1" showInputMessage="1" showErrorMessage="1" sqref="G248">
      <formula1>"Y, N"</formula1>
    </dataValidation>
    <dataValidation type="list" allowBlank="1" showInputMessage="1" showErrorMessage="1" sqref="D249">
      <formula1>FDDValList</formula1>
    </dataValidation>
    <dataValidation type="list" allowBlank="1" showInputMessage="1" showErrorMessage="1" sqref="F249">
      <formula1>"I, O, M, D, N"</formula1>
    </dataValidation>
    <dataValidation type="list" allowBlank="1" showInputMessage="1" showErrorMessage="1" sqref="G249">
      <formula1>"Y, N"</formula1>
    </dataValidation>
    <dataValidation type="list" allowBlank="1" showInputMessage="1" showErrorMessage="1" sqref="D250">
      <formula1>FDDValList</formula1>
    </dataValidation>
    <dataValidation type="list" allowBlank="1" showInputMessage="1" showErrorMessage="1" sqref="F250">
      <formula1>"I, O, M, D, N"</formula1>
    </dataValidation>
    <dataValidation type="list" allowBlank="1" showInputMessage="1" showErrorMessage="1" sqref="G250">
      <formula1>"Y, N"</formula1>
    </dataValidation>
    <dataValidation type="list" allowBlank="1" showInputMessage="1" showErrorMessage="1" sqref="D251">
      <formula1>FDDValList</formula1>
    </dataValidation>
    <dataValidation type="list" allowBlank="1" showInputMessage="1" showErrorMessage="1" sqref="F251">
      <formula1>"I, O, M, D, N"</formula1>
    </dataValidation>
    <dataValidation type="list" allowBlank="1" showInputMessage="1" showErrorMessage="1" sqref="G251">
      <formula1>"Y, N"</formula1>
    </dataValidation>
    <dataValidation type="list" allowBlank="1" showInputMessage="1" showErrorMessage="1" sqref="D252">
      <formula1>FDDValList</formula1>
    </dataValidation>
    <dataValidation type="list" allowBlank="1" showInputMessage="1" showErrorMessage="1" sqref="F252">
      <formula1>"I, O, M, D, N"</formula1>
    </dataValidation>
    <dataValidation type="list" allowBlank="1" showInputMessage="1" showErrorMessage="1" sqref="G252">
      <formula1>"Y, N"</formula1>
    </dataValidation>
    <dataValidation type="list" allowBlank="1" showInputMessage="1" showErrorMessage="1" sqref="D253">
      <formula1>FDDValList</formula1>
    </dataValidation>
    <dataValidation type="list" allowBlank="1" showInputMessage="1" showErrorMessage="1" sqref="F253">
      <formula1>"I, O, M, D, N"</formula1>
    </dataValidation>
    <dataValidation type="list" allowBlank="1" showInputMessage="1" showErrorMessage="1" sqref="G253">
      <formula1>"Y, N"</formula1>
    </dataValidation>
    <dataValidation type="list" allowBlank="1" showInputMessage="1" showErrorMessage="1" sqref="D254">
      <formula1>FDDValList</formula1>
    </dataValidation>
    <dataValidation type="list" allowBlank="1" showInputMessage="1" showErrorMessage="1" sqref="F254">
      <formula1>"I, O, M, D, N"</formula1>
    </dataValidation>
    <dataValidation type="list" allowBlank="1" showInputMessage="1" showErrorMessage="1" sqref="G254">
      <formula1>"Y, N"</formula1>
    </dataValidation>
    <dataValidation type="list" allowBlank="1" showInputMessage="1" showErrorMessage="1" sqref="D255">
      <formula1>FDDValList</formula1>
    </dataValidation>
    <dataValidation type="list" allowBlank="1" showInputMessage="1" showErrorMessage="1" sqref="F255">
      <formula1>"I, O, M, D, N"</formula1>
    </dataValidation>
    <dataValidation type="list" allowBlank="1" showInputMessage="1" showErrorMessage="1" sqref="G255">
      <formula1>"Y, N"</formula1>
    </dataValidation>
    <dataValidation type="list" allowBlank="1" showInputMessage="1" showErrorMessage="1" sqref="D256">
      <formula1>FDDValList</formula1>
    </dataValidation>
    <dataValidation type="list" allowBlank="1" showInputMessage="1" showErrorMessage="1" sqref="F256">
      <formula1>"I, O, M, D, N"</formula1>
    </dataValidation>
    <dataValidation type="list" allowBlank="1" showInputMessage="1" showErrorMessage="1" sqref="G256">
      <formula1>"Y, N"</formula1>
    </dataValidation>
    <dataValidation type="list" allowBlank="1" showInputMessage="1" showErrorMessage="1" sqref="D257">
      <formula1>FDDValList</formula1>
    </dataValidation>
    <dataValidation type="list" allowBlank="1" showInputMessage="1" showErrorMessage="1" sqref="F257">
      <formula1>"I, O, M, D, N"</formula1>
    </dataValidation>
    <dataValidation type="list" allowBlank="1" showInputMessage="1" showErrorMessage="1" sqref="G257">
      <formula1>"Y, N"</formula1>
    </dataValidation>
    <dataValidation type="list" allowBlank="1" showInputMessage="1" showErrorMessage="1" sqref="D258">
      <formula1>FDDValList</formula1>
    </dataValidation>
    <dataValidation type="list" allowBlank="1" showInputMessage="1" showErrorMessage="1" sqref="F258">
      <formula1>"I, O, M, D, N"</formula1>
    </dataValidation>
    <dataValidation type="list" allowBlank="1" showInputMessage="1" showErrorMessage="1" sqref="G258">
      <formula1>"Y, N"</formula1>
    </dataValidation>
    <dataValidation type="list" allowBlank="1" showInputMessage="1" showErrorMessage="1" sqref="D259">
      <formula1>FDDValList</formula1>
    </dataValidation>
    <dataValidation type="list" allowBlank="1" showInputMessage="1" showErrorMessage="1" sqref="F259">
      <formula1>"I, O, M, D, N"</formula1>
    </dataValidation>
    <dataValidation type="list" allowBlank="1" showInputMessage="1" showErrorMessage="1" sqref="G259">
      <formula1>"Y, N"</formula1>
    </dataValidation>
    <dataValidation type="list" allowBlank="1" showInputMessage="1" showErrorMessage="1" sqref="D260">
      <formula1>FDDValList</formula1>
    </dataValidation>
    <dataValidation type="list" allowBlank="1" showInputMessage="1" showErrorMessage="1" sqref="F260">
      <formula1>"I, O, M, D, N"</formula1>
    </dataValidation>
    <dataValidation type="list" allowBlank="1" showInputMessage="1" showErrorMessage="1" sqref="G260">
      <formula1>"Y, N"</formula1>
    </dataValidation>
    <dataValidation type="list" allowBlank="1" showInputMessage="1" showErrorMessage="1" sqref="D261">
      <formula1>FDDValList</formula1>
    </dataValidation>
    <dataValidation type="list" allowBlank="1" showInputMessage="1" showErrorMessage="1" sqref="F261">
      <formula1>"I, O, M, D, N"</formula1>
    </dataValidation>
    <dataValidation type="list" allowBlank="1" showInputMessage="1" showErrorMessage="1" sqref="G261">
      <formula1>"Y, N"</formula1>
    </dataValidation>
    <dataValidation type="list" allowBlank="1" showInputMessage="1" showErrorMessage="1" sqref="D262">
      <formula1>FDDValList</formula1>
    </dataValidation>
    <dataValidation type="list" allowBlank="1" showInputMessage="1" showErrorMessage="1" sqref="F262">
      <formula1>"I, O, M, D, N"</formula1>
    </dataValidation>
    <dataValidation type="list" allowBlank="1" showInputMessage="1" showErrorMessage="1" sqref="G262">
      <formula1>"Y, N"</formula1>
    </dataValidation>
    <dataValidation type="list" allowBlank="1" showInputMessage="1" showErrorMessage="1" sqref="D263">
      <formula1>FDDValList</formula1>
    </dataValidation>
    <dataValidation type="list" allowBlank="1" showInputMessage="1" showErrorMessage="1" sqref="F263">
      <formula1>"I, O, M, D, N"</formula1>
    </dataValidation>
    <dataValidation type="list" allowBlank="1" showInputMessage="1" showErrorMessage="1" sqref="G263">
      <formula1>"Y, N"</formula1>
    </dataValidation>
    <dataValidation type="list" allowBlank="1" showInputMessage="1" showErrorMessage="1" sqref="D264">
      <formula1>FDDValList</formula1>
    </dataValidation>
    <dataValidation type="list" allowBlank="1" showInputMessage="1" showErrorMessage="1" sqref="F264">
      <formula1>"I, O, M, D, N"</formula1>
    </dataValidation>
    <dataValidation type="list" allowBlank="1" showInputMessage="1" showErrorMessage="1" sqref="G264">
      <formula1>"Y, N"</formula1>
    </dataValidation>
    <dataValidation type="list" allowBlank="1" showInputMessage="1" showErrorMessage="1" sqref="D265">
      <formula1>FDDValList</formula1>
    </dataValidation>
    <dataValidation type="list" allowBlank="1" showInputMessage="1" showErrorMessage="1" sqref="F265">
      <formula1>"I, O, M, D, N"</formula1>
    </dataValidation>
    <dataValidation type="list" allowBlank="1" showInputMessage="1" showErrorMessage="1" sqref="G265">
      <formula1>"Y, N"</formula1>
    </dataValidation>
    <dataValidation type="list" allowBlank="1" showInputMessage="1" showErrorMessage="1" sqref="D266">
      <formula1>FDDValList</formula1>
    </dataValidation>
    <dataValidation type="list" allowBlank="1" showInputMessage="1" showErrorMessage="1" sqref="F266">
      <formula1>"I, O, M, D, N"</formula1>
    </dataValidation>
    <dataValidation type="list" allowBlank="1" showInputMessage="1" showErrorMessage="1" sqref="G266">
      <formula1>"Y, N"</formula1>
    </dataValidation>
    <dataValidation type="list" allowBlank="1" showInputMessage="1" showErrorMessage="1" sqref="D267">
      <formula1>FDDValList</formula1>
    </dataValidation>
    <dataValidation type="list" allowBlank="1" showInputMessage="1" showErrorMessage="1" sqref="F267">
      <formula1>"I, O, M, D, N"</formula1>
    </dataValidation>
    <dataValidation type="list" allowBlank="1" showInputMessage="1" showErrorMessage="1" sqref="G267">
      <formula1>"Y, N"</formula1>
    </dataValidation>
    <dataValidation type="list" allowBlank="1" showInputMessage="1" showErrorMessage="1" sqref="D268">
      <formula1>FDDValList</formula1>
    </dataValidation>
    <dataValidation type="list" allowBlank="1" showInputMessage="1" showErrorMessage="1" sqref="F268">
      <formula1>"I, O, M, D, N"</formula1>
    </dataValidation>
    <dataValidation type="list" allowBlank="1" showInputMessage="1" showErrorMessage="1" sqref="G268">
      <formula1>"Y, N"</formula1>
    </dataValidation>
    <dataValidation type="list" allowBlank="1" showInputMessage="1" showErrorMessage="1" sqref="D269">
      <formula1>FDDValList</formula1>
    </dataValidation>
    <dataValidation type="list" allowBlank="1" showInputMessage="1" showErrorMessage="1" sqref="F269">
      <formula1>"I, O, M, D, N"</formula1>
    </dataValidation>
    <dataValidation type="list" allowBlank="1" showInputMessage="1" showErrorMessage="1" sqref="G269">
      <formula1>"Y, N"</formula1>
    </dataValidation>
    <dataValidation type="list" allowBlank="1" showInputMessage="1" showErrorMessage="1" sqref="D270">
      <formula1>FDDValList</formula1>
    </dataValidation>
    <dataValidation type="list" allowBlank="1" showInputMessage="1" showErrorMessage="1" sqref="F270">
      <formula1>"I, O, M, D, N"</formula1>
    </dataValidation>
    <dataValidation type="list" allowBlank="1" showInputMessage="1" showErrorMessage="1" sqref="G270">
      <formula1>"Y, N"</formula1>
    </dataValidation>
    <dataValidation type="list" allowBlank="1" showInputMessage="1" showErrorMessage="1" sqref="D271">
      <formula1>FDDValList</formula1>
    </dataValidation>
    <dataValidation type="list" allowBlank="1" showInputMessage="1" showErrorMessage="1" sqref="F271">
      <formula1>"I, O, M, D, N"</formula1>
    </dataValidation>
    <dataValidation type="list" allowBlank="1" showInputMessage="1" showErrorMessage="1" sqref="G271">
      <formula1>"Y, N"</formula1>
    </dataValidation>
    <dataValidation type="list" allowBlank="1" showInputMessage="1" showErrorMessage="1" sqref="D272">
      <formula1>FDDValList</formula1>
    </dataValidation>
    <dataValidation type="list" allowBlank="1" showInputMessage="1" showErrorMessage="1" sqref="F272">
      <formula1>"I, O, M, D, N"</formula1>
    </dataValidation>
    <dataValidation type="list" allowBlank="1" showInputMessage="1" showErrorMessage="1" sqref="G272">
      <formula1>"Y, N"</formula1>
    </dataValidation>
    <dataValidation type="list" allowBlank="1" showInputMessage="1" showErrorMessage="1" sqref="D273">
      <formula1>FDDValList</formula1>
    </dataValidation>
    <dataValidation type="list" allowBlank="1" showInputMessage="1" showErrorMessage="1" sqref="F273">
      <formula1>"I, O, M, D, N"</formula1>
    </dataValidation>
    <dataValidation type="list" allowBlank="1" showInputMessage="1" showErrorMessage="1" sqref="G273">
      <formula1>"Y, N"</formula1>
    </dataValidation>
    <dataValidation type="list" allowBlank="1" showInputMessage="1" showErrorMessage="1" sqref="D274">
      <formula1>FDDValList</formula1>
    </dataValidation>
    <dataValidation type="list" allowBlank="1" showInputMessage="1" showErrorMessage="1" sqref="F274">
      <formula1>"I, O, M, D, N"</formula1>
    </dataValidation>
    <dataValidation type="list" allowBlank="1" showInputMessage="1" showErrorMessage="1" sqref="G274">
      <formula1>"Y, N"</formula1>
    </dataValidation>
    <dataValidation type="list" allowBlank="1" showInputMessage="1" showErrorMessage="1" sqref="D275">
      <formula1>FDDValList</formula1>
    </dataValidation>
    <dataValidation type="list" allowBlank="1" showInputMessage="1" showErrorMessage="1" sqref="F275">
      <formula1>"I, O, M, D, N"</formula1>
    </dataValidation>
    <dataValidation type="list" allowBlank="1" showInputMessage="1" showErrorMessage="1" sqref="G275">
      <formula1>"Y, N"</formula1>
    </dataValidation>
    <dataValidation type="list" allowBlank="1" showInputMessage="1" showErrorMessage="1" sqref="D276">
      <formula1>FDDValList</formula1>
    </dataValidation>
    <dataValidation type="list" allowBlank="1" showInputMessage="1" showErrorMessage="1" sqref="F276">
      <formula1>"I, O, M, D, N"</formula1>
    </dataValidation>
    <dataValidation type="list" allowBlank="1" showInputMessage="1" showErrorMessage="1" sqref="G276">
      <formula1>"Y, N"</formula1>
    </dataValidation>
    <dataValidation type="list" allowBlank="1" showInputMessage="1" showErrorMessage="1" sqref="D277">
      <formula1>FDDValList</formula1>
    </dataValidation>
    <dataValidation type="list" allowBlank="1" showInputMessage="1" showErrorMessage="1" sqref="F277">
      <formula1>"I, O, M, D, N"</formula1>
    </dataValidation>
    <dataValidation type="list" allowBlank="1" showInputMessage="1" showErrorMessage="1" sqref="G277">
      <formula1>"Y, N"</formula1>
    </dataValidation>
    <dataValidation type="list" allowBlank="1" showInputMessage="1" showErrorMessage="1" sqref="D278">
      <formula1>FDDValList</formula1>
    </dataValidation>
    <dataValidation type="list" allowBlank="1" showInputMessage="1" showErrorMessage="1" sqref="F278">
      <formula1>"I, O, M, D, N"</formula1>
    </dataValidation>
    <dataValidation type="list" allowBlank="1" showInputMessage="1" showErrorMessage="1" sqref="G278">
      <formula1>"Y, N"</formula1>
    </dataValidation>
    <dataValidation type="list" allowBlank="1" showInputMessage="1" showErrorMessage="1" sqref="D279">
      <formula1>FDDValList</formula1>
    </dataValidation>
    <dataValidation type="list" allowBlank="1" showInputMessage="1" showErrorMessage="1" sqref="F279">
      <formula1>"I, O, M, D, N"</formula1>
    </dataValidation>
    <dataValidation type="list" allowBlank="1" showInputMessage="1" showErrorMessage="1" sqref="G279">
      <formula1>"Y, N"</formula1>
    </dataValidation>
    <dataValidation type="list" allowBlank="1" showInputMessage="1" showErrorMessage="1" sqref="D280">
      <formula1>FDDValList</formula1>
    </dataValidation>
    <dataValidation type="list" allowBlank="1" showInputMessage="1" showErrorMessage="1" sqref="F280">
      <formula1>"I, O, M, D, N"</formula1>
    </dataValidation>
    <dataValidation type="list" allowBlank="1" showInputMessage="1" showErrorMessage="1" sqref="G280">
      <formula1>"Y, N"</formula1>
    </dataValidation>
    <dataValidation type="list" allowBlank="1" showInputMessage="1" showErrorMessage="1" sqref="D281">
      <formula1>FDDValList</formula1>
    </dataValidation>
    <dataValidation type="list" allowBlank="1" showInputMessage="1" showErrorMessage="1" sqref="F281">
      <formula1>"I, O, M, D, N"</formula1>
    </dataValidation>
    <dataValidation type="list" allowBlank="1" showInputMessage="1" showErrorMessage="1" sqref="G281">
      <formula1>"Y, N"</formula1>
    </dataValidation>
    <dataValidation type="list" allowBlank="1" showInputMessage="1" showErrorMessage="1" sqref="D282">
      <formula1>FDDValList</formula1>
    </dataValidation>
    <dataValidation type="list" allowBlank="1" showInputMessage="1" showErrorMessage="1" sqref="F282">
      <formula1>"I, O, M, D, N"</formula1>
    </dataValidation>
    <dataValidation type="list" allowBlank="1" showInputMessage="1" showErrorMessage="1" sqref="G282">
      <formula1>"Y, N"</formula1>
    </dataValidation>
    <dataValidation type="list" allowBlank="1" showInputMessage="1" showErrorMessage="1" sqref="D283">
      <formula1>FDDValList</formula1>
    </dataValidation>
    <dataValidation type="list" allowBlank="1" showInputMessage="1" showErrorMessage="1" sqref="F283">
      <formula1>"I, O, M, D, N"</formula1>
    </dataValidation>
    <dataValidation type="list" allowBlank="1" showInputMessage="1" showErrorMessage="1" sqref="G283">
      <formula1>"Y, N"</formula1>
    </dataValidation>
    <dataValidation type="list" allowBlank="1" showInputMessage="1" showErrorMessage="1" sqref="D284">
      <formula1>FDDValList</formula1>
    </dataValidation>
    <dataValidation type="list" allowBlank="1" showInputMessage="1" showErrorMessage="1" sqref="F284">
      <formula1>"I, O, M, D, N"</formula1>
    </dataValidation>
    <dataValidation type="list" allowBlank="1" showInputMessage="1" showErrorMessage="1" sqref="G284">
      <formula1>"Y, N"</formula1>
    </dataValidation>
    <dataValidation type="list" allowBlank="1" showInputMessage="1" showErrorMessage="1" sqref="D285">
      <formula1>FDDValList</formula1>
    </dataValidation>
    <dataValidation type="list" allowBlank="1" showInputMessage="1" showErrorMessage="1" sqref="F285">
      <formula1>"I, O, M, D, N"</formula1>
    </dataValidation>
    <dataValidation type="list" allowBlank="1" showInputMessage="1" showErrorMessage="1" sqref="G285">
      <formula1>"Y, N"</formula1>
    </dataValidation>
    <dataValidation type="list" allowBlank="1" showInputMessage="1" showErrorMessage="1" sqref="D286">
      <formula1>FDDValList</formula1>
    </dataValidation>
    <dataValidation type="list" allowBlank="1" showInputMessage="1" showErrorMessage="1" sqref="F286">
      <formula1>"I, O, M, D, N"</formula1>
    </dataValidation>
    <dataValidation type="list" allowBlank="1" showInputMessage="1" showErrorMessage="1" sqref="G286">
      <formula1>"Y, N"</formula1>
    </dataValidation>
    <dataValidation type="list" allowBlank="1" showInputMessage="1" showErrorMessage="1" sqref="D287">
      <formula1>FDDValList</formula1>
    </dataValidation>
    <dataValidation type="list" allowBlank="1" showInputMessage="1" showErrorMessage="1" sqref="F287">
      <formula1>"I, O, M, D, N"</formula1>
    </dataValidation>
    <dataValidation type="list" allowBlank="1" showInputMessage="1" showErrorMessage="1" sqref="G287">
      <formula1>"Y, N"</formula1>
    </dataValidation>
    <dataValidation type="list" allowBlank="1" showInputMessage="1" showErrorMessage="1" sqref="D288">
      <formula1>FDDValList</formula1>
    </dataValidation>
    <dataValidation type="list" allowBlank="1" showInputMessage="1" showErrorMessage="1" sqref="F288">
      <formula1>"I, O, M, D, N"</formula1>
    </dataValidation>
    <dataValidation type="list" allowBlank="1" showInputMessage="1" showErrorMessage="1" sqref="G288">
      <formula1>"Y, N"</formula1>
    </dataValidation>
    <dataValidation type="list" allowBlank="1" showInputMessage="1" showErrorMessage="1" sqref="D289">
      <formula1>FDDValList</formula1>
    </dataValidation>
    <dataValidation type="list" allowBlank="1" showInputMessage="1" showErrorMessage="1" sqref="F289">
      <formula1>"I, O, M, D, N"</formula1>
    </dataValidation>
    <dataValidation type="list" allowBlank="1" showInputMessage="1" showErrorMessage="1" sqref="G289">
      <formula1>"Y, N"</formula1>
    </dataValidation>
    <dataValidation type="list" allowBlank="1" showInputMessage="1" showErrorMessage="1" sqref="D290">
      <formula1>FDDValList</formula1>
    </dataValidation>
    <dataValidation type="list" allowBlank="1" showInputMessage="1" showErrorMessage="1" sqref="F290">
      <formula1>"I, O, M, D, N"</formula1>
    </dataValidation>
    <dataValidation type="list" allowBlank="1" showInputMessage="1" showErrorMessage="1" sqref="G290">
      <formula1>"Y, N"</formula1>
    </dataValidation>
    <dataValidation type="list" allowBlank="1" showInputMessage="1" showErrorMessage="1" sqref="D291">
      <formula1>FDDValList</formula1>
    </dataValidation>
    <dataValidation type="list" allowBlank="1" showInputMessage="1" showErrorMessage="1" sqref="F291">
      <formula1>"I, O, M, D, N"</formula1>
    </dataValidation>
    <dataValidation type="list" allowBlank="1" showInputMessage="1" showErrorMessage="1" sqref="G291">
      <formula1>"Y, N"</formula1>
    </dataValidation>
    <dataValidation type="list" allowBlank="1" showInputMessage="1" showErrorMessage="1" sqref="D292">
      <formula1>FDDValList</formula1>
    </dataValidation>
    <dataValidation type="list" allowBlank="1" showInputMessage="1" showErrorMessage="1" sqref="F292">
      <formula1>"I, O, M, D, N"</formula1>
    </dataValidation>
    <dataValidation type="list" allowBlank="1" showInputMessage="1" showErrorMessage="1" sqref="G292">
      <formula1>"Y, N"</formula1>
    </dataValidation>
    <dataValidation type="list" allowBlank="1" showInputMessage="1" showErrorMessage="1" sqref="D293">
      <formula1>FDDValList</formula1>
    </dataValidation>
    <dataValidation type="list" allowBlank="1" showInputMessage="1" showErrorMessage="1" sqref="F293">
      <formula1>"I, O, M, D, N"</formula1>
    </dataValidation>
    <dataValidation type="list" allowBlank="1" showInputMessage="1" showErrorMessage="1" sqref="G293">
      <formula1>"Y, N"</formula1>
    </dataValidation>
    <dataValidation type="list" allowBlank="1" showInputMessage="1" showErrorMessage="1" sqref="D294">
      <formula1>FDDValList</formula1>
    </dataValidation>
    <dataValidation type="list" allowBlank="1" showInputMessage="1" showErrorMessage="1" sqref="F294">
      <formula1>"I, O, M, D, N"</formula1>
    </dataValidation>
    <dataValidation type="list" allowBlank="1" showInputMessage="1" showErrorMessage="1" sqref="G294">
      <formula1>"Y, N"</formula1>
    </dataValidation>
    <dataValidation type="list" allowBlank="1" showInputMessage="1" showErrorMessage="1" sqref="D295">
      <formula1>FDDValList</formula1>
    </dataValidation>
    <dataValidation type="list" allowBlank="1" showInputMessage="1" showErrorMessage="1" sqref="F295">
      <formula1>"I, O, M, D, N"</formula1>
    </dataValidation>
    <dataValidation type="list" allowBlank="1" showInputMessage="1" showErrorMessage="1" sqref="G295">
      <formula1>"Y, N"</formula1>
    </dataValidation>
    <dataValidation type="list" allowBlank="1" showInputMessage="1" showErrorMessage="1" sqref="D296">
      <formula1>FDDValList</formula1>
    </dataValidation>
    <dataValidation type="list" allowBlank="1" showInputMessage="1" showErrorMessage="1" sqref="F296">
      <formula1>"I, O, M, D, N"</formula1>
    </dataValidation>
    <dataValidation type="list" allowBlank="1" showInputMessage="1" showErrorMessage="1" sqref="G296">
      <formula1>"Y, N"</formula1>
    </dataValidation>
    <dataValidation type="list" allowBlank="1" showInputMessage="1" showErrorMessage="1" sqref="D297">
      <formula1>FDDValList</formula1>
    </dataValidation>
    <dataValidation type="list" allowBlank="1" showInputMessage="1" showErrorMessage="1" sqref="F297">
      <formula1>"I, O, M, D, N"</formula1>
    </dataValidation>
    <dataValidation type="list" allowBlank="1" showInputMessage="1" showErrorMessage="1" sqref="G297">
      <formula1>"Y, N"</formula1>
    </dataValidation>
    <dataValidation type="list" allowBlank="1" showInputMessage="1" showErrorMessage="1" sqref="D298">
      <formula1>FDDValList</formula1>
    </dataValidation>
    <dataValidation type="list" allowBlank="1" showInputMessage="1" showErrorMessage="1" sqref="F298">
      <formula1>"I, O, M, D, N"</formula1>
    </dataValidation>
    <dataValidation type="list" allowBlank="1" showInputMessage="1" showErrorMessage="1" sqref="G298">
      <formula1>"Y, N"</formula1>
    </dataValidation>
    <dataValidation type="list" allowBlank="1" showInputMessage="1" showErrorMessage="1" sqref="D299">
      <formula1>FDDValList</formula1>
    </dataValidation>
    <dataValidation type="list" allowBlank="1" showInputMessage="1" showErrorMessage="1" sqref="F299">
      <formula1>"I, O, M, D, N"</formula1>
    </dataValidation>
    <dataValidation type="list" allowBlank="1" showInputMessage="1" showErrorMessage="1" sqref="G299">
      <formula1>"Y, N"</formula1>
    </dataValidation>
    <dataValidation type="list" allowBlank="1" showInputMessage="1" showErrorMessage="1" sqref="D300">
      <formula1>FDDValList</formula1>
    </dataValidation>
    <dataValidation type="list" allowBlank="1" showInputMessage="1" showErrorMessage="1" sqref="F300">
      <formula1>"I, O, M, D, N"</formula1>
    </dataValidation>
    <dataValidation type="list" allowBlank="1" showInputMessage="1" showErrorMessage="1" sqref="G300">
      <formula1>"Y, N"</formula1>
    </dataValidation>
    <dataValidation type="list" allowBlank="1" showInputMessage="1" showErrorMessage="1" sqref="D301">
      <formula1>FDDValList</formula1>
    </dataValidation>
    <dataValidation type="list" allowBlank="1" showInputMessage="1" showErrorMessage="1" sqref="F301">
      <formula1>"I, O, M, D, N"</formula1>
    </dataValidation>
    <dataValidation type="list" allowBlank="1" showInputMessage="1" showErrorMessage="1" sqref="G301">
      <formula1>"Y, N"</formula1>
    </dataValidation>
    <dataValidation type="list" allowBlank="1" showInputMessage="1" showErrorMessage="1" sqref="D302">
      <formula1>FDDValList</formula1>
    </dataValidation>
    <dataValidation type="list" allowBlank="1" showInputMessage="1" showErrorMessage="1" sqref="F302">
      <formula1>"I, O, M, D, N"</formula1>
    </dataValidation>
    <dataValidation type="list" allowBlank="1" showInputMessage="1" showErrorMessage="1" sqref="G302">
      <formula1>"Y, N"</formula1>
    </dataValidation>
    <dataValidation type="list" allowBlank="1" showInputMessage="1" showErrorMessage="1" sqref="D303">
      <formula1>FDDValList</formula1>
    </dataValidation>
    <dataValidation type="list" allowBlank="1" showInputMessage="1" showErrorMessage="1" sqref="F303">
      <formula1>"I, O, M, D, N"</formula1>
    </dataValidation>
    <dataValidation type="list" allowBlank="1" showInputMessage="1" showErrorMessage="1" sqref="G303">
      <formula1>"Y, N"</formula1>
    </dataValidation>
    <dataValidation type="list" allowBlank="1" showInputMessage="1" showErrorMessage="1" sqref="D304">
      <formula1>FDDValList</formula1>
    </dataValidation>
    <dataValidation type="list" allowBlank="1" showInputMessage="1" showErrorMessage="1" sqref="F304">
      <formula1>"I, O, M, D, N"</formula1>
    </dataValidation>
    <dataValidation type="list" allowBlank="1" showInputMessage="1" showErrorMessage="1" sqref="G304">
      <formula1>"Y, N"</formula1>
    </dataValidation>
    <dataValidation type="list" allowBlank="1" showInputMessage="1" showErrorMessage="1" sqref="D305">
      <formula1>FDDValList</formula1>
    </dataValidation>
    <dataValidation type="list" allowBlank="1" showInputMessage="1" showErrorMessage="1" sqref="F305">
      <formula1>"I, O, M, D, N"</formula1>
    </dataValidation>
    <dataValidation type="list" allowBlank="1" showInputMessage="1" showErrorMessage="1" sqref="G305">
      <formula1>"Y, N"</formula1>
    </dataValidation>
    <dataValidation type="list" allowBlank="1" showInputMessage="1" showErrorMessage="1" sqref="D306">
      <formula1>FDDValList</formula1>
    </dataValidation>
    <dataValidation type="list" allowBlank="1" showInputMessage="1" showErrorMessage="1" sqref="F306">
      <formula1>"I, O, M, D, N"</formula1>
    </dataValidation>
    <dataValidation type="list" allowBlank="1" showInputMessage="1" showErrorMessage="1" sqref="G306">
      <formula1>"Y, N"</formula1>
    </dataValidation>
    <dataValidation type="list" allowBlank="1" showInputMessage="1" showErrorMessage="1" sqref="D307">
      <formula1>FDDValList</formula1>
    </dataValidation>
    <dataValidation type="list" allowBlank="1" showInputMessage="1" showErrorMessage="1" sqref="F307">
      <formula1>"I, O, M, D, N"</formula1>
    </dataValidation>
    <dataValidation type="list" allowBlank="1" showInputMessage="1" showErrorMessage="1" sqref="G307">
      <formula1>"Y, N"</formula1>
    </dataValidation>
    <dataValidation type="list" allowBlank="1" showInputMessage="1" showErrorMessage="1" sqref="D308">
      <formula1>FDDValList</formula1>
    </dataValidation>
    <dataValidation type="list" allowBlank="1" showInputMessage="1" showErrorMessage="1" sqref="F308">
      <formula1>"I, O, M, D, N"</formula1>
    </dataValidation>
    <dataValidation type="list" allowBlank="1" showInputMessage="1" showErrorMessage="1" sqref="G308">
      <formula1>"Y, N"</formula1>
    </dataValidation>
    <dataValidation type="list" allowBlank="1" showInputMessage="1" showErrorMessage="1" sqref="D309">
      <formula1>FDDValList</formula1>
    </dataValidation>
    <dataValidation type="list" allowBlank="1" showInputMessage="1" showErrorMessage="1" sqref="F309">
      <formula1>"I, O, M, D, N"</formula1>
    </dataValidation>
    <dataValidation type="list" allowBlank="1" showInputMessage="1" showErrorMessage="1" sqref="G309">
      <formula1>"Y, N"</formula1>
    </dataValidation>
    <dataValidation type="list" allowBlank="1" showInputMessage="1" showErrorMessage="1" sqref="D310">
      <formula1>FDDValList</formula1>
    </dataValidation>
    <dataValidation type="list" allowBlank="1" showInputMessage="1" showErrorMessage="1" sqref="F310">
      <formula1>"I, O, M, D, N"</formula1>
    </dataValidation>
    <dataValidation type="list" allowBlank="1" showInputMessage="1" showErrorMessage="1" sqref="G310">
      <formula1>"Y, N"</formula1>
    </dataValidation>
    <dataValidation type="list" allowBlank="1" showInputMessage="1" showErrorMessage="1" sqref="D311">
      <formula1>FDDValList</formula1>
    </dataValidation>
    <dataValidation type="list" allowBlank="1" showInputMessage="1" showErrorMessage="1" sqref="F311">
      <formula1>"I, O, M, D, N"</formula1>
    </dataValidation>
    <dataValidation type="list" allowBlank="1" showInputMessage="1" showErrorMessage="1" sqref="G311">
      <formula1>"Y, N"</formula1>
    </dataValidation>
    <dataValidation type="list" allowBlank="1" showInputMessage="1" showErrorMessage="1" sqref="D312">
      <formula1>FDDValList</formula1>
    </dataValidation>
    <dataValidation type="list" allowBlank="1" showInputMessage="1" showErrorMessage="1" sqref="F312">
      <formula1>"I, O, M, D, N"</formula1>
    </dataValidation>
    <dataValidation type="list" allowBlank="1" showInputMessage="1" showErrorMessage="1" sqref="G312">
      <formula1>"Y, N"</formula1>
    </dataValidation>
    <dataValidation type="list" allowBlank="1" showInputMessage="1" showErrorMessage="1" sqref="D313">
      <formula1>FDDValList</formula1>
    </dataValidation>
    <dataValidation type="list" allowBlank="1" showInputMessage="1" showErrorMessage="1" sqref="F313">
      <formula1>"I, O, M, D, N"</formula1>
    </dataValidation>
    <dataValidation type="list" allowBlank="1" showInputMessage="1" showErrorMessage="1" sqref="G313">
      <formula1>"Y, N"</formula1>
    </dataValidation>
    <dataValidation type="list" allowBlank="1" showInputMessage="1" showErrorMessage="1" sqref="D314">
      <formula1>FDDValList</formula1>
    </dataValidation>
    <dataValidation type="list" allowBlank="1" showInputMessage="1" showErrorMessage="1" sqref="F314">
      <formula1>"I, O, M, D, N"</formula1>
    </dataValidation>
    <dataValidation type="list" allowBlank="1" showInputMessage="1" showErrorMessage="1" sqref="G314">
      <formula1>"Y, N"</formula1>
    </dataValidation>
    <dataValidation type="list" allowBlank="1" showInputMessage="1" showErrorMessage="1" sqref="D315">
      <formula1>FDDValList</formula1>
    </dataValidation>
    <dataValidation type="list" allowBlank="1" showInputMessage="1" showErrorMessage="1" sqref="F315">
      <formula1>"I, O, M, D, N"</formula1>
    </dataValidation>
    <dataValidation type="list" allowBlank="1" showInputMessage="1" showErrorMessage="1" sqref="G315">
      <formula1>"Y, N"</formula1>
    </dataValidation>
    <dataValidation type="list" allowBlank="1" showInputMessage="1" showErrorMessage="1" sqref="D316">
      <formula1>FDDValList</formula1>
    </dataValidation>
    <dataValidation type="list" allowBlank="1" showInputMessage="1" showErrorMessage="1" sqref="F316">
      <formula1>"I, O, M, D, N"</formula1>
    </dataValidation>
    <dataValidation type="list" allowBlank="1" showInputMessage="1" showErrorMessage="1" sqref="G316">
      <formula1>"Y, N"</formula1>
    </dataValidation>
    <dataValidation type="list" allowBlank="1" showInputMessage="1" showErrorMessage="1" sqref="D317">
      <formula1>FDDValList</formula1>
    </dataValidation>
    <dataValidation type="list" allowBlank="1" showInputMessage="1" showErrorMessage="1" sqref="F317">
      <formula1>"I, O, M, D, N"</formula1>
    </dataValidation>
    <dataValidation type="list" allowBlank="1" showInputMessage="1" showErrorMessage="1" sqref="G317">
      <formula1>"Y, N"</formula1>
    </dataValidation>
    <dataValidation type="list" allowBlank="1" showInputMessage="1" showErrorMessage="1" sqref="D318">
      <formula1>FDDValList</formula1>
    </dataValidation>
    <dataValidation type="list" allowBlank="1" showInputMessage="1" showErrorMessage="1" sqref="F318">
      <formula1>"I, O, M, D, N"</formula1>
    </dataValidation>
    <dataValidation type="list" allowBlank="1" showInputMessage="1" showErrorMessage="1" sqref="G318">
      <formula1>"Y, N"</formula1>
    </dataValidation>
    <dataValidation type="list" allowBlank="1" showInputMessage="1" showErrorMessage="1" sqref="D319">
      <formula1>FDDValList</formula1>
    </dataValidation>
    <dataValidation type="list" allowBlank="1" showInputMessage="1" showErrorMessage="1" sqref="F319">
      <formula1>"I, O, M, D, N"</formula1>
    </dataValidation>
    <dataValidation type="list" allowBlank="1" showInputMessage="1" showErrorMessage="1" sqref="G319">
      <formula1>"Y, N"</formula1>
    </dataValidation>
    <dataValidation type="list" allowBlank="1" showInputMessage="1" showErrorMessage="1" sqref="D320">
      <formula1>FDDValList</formula1>
    </dataValidation>
    <dataValidation type="list" allowBlank="1" showInputMessage="1" showErrorMessage="1" sqref="F320">
      <formula1>"I, O, M, D, N"</formula1>
    </dataValidation>
    <dataValidation type="list" allowBlank="1" showInputMessage="1" showErrorMessage="1" sqref="G320">
      <formula1>"Y, N"</formula1>
    </dataValidation>
    <dataValidation type="list" allowBlank="1" showInputMessage="1" showErrorMessage="1" sqref="D321">
      <formula1>FDDValList</formula1>
    </dataValidation>
    <dataValidation type="list" allowBlank="1" showInputMessage="1" showErrorMessage="1" sqref="F321">
      <formula1>"I, O, M, D, N"</formula1>
    </dataValidation>
    <dataValidation type="list" allowBlank="1" showInputMessage="1" showErrorMessage="1" sqref="G321">
      <formula1>"Y, N"</formula1>
    </dataValidation>
    <dataValidation type="list" allowBlank="1" showInputMessage="1" showErrorMessage="1" sqref="D322">
      <formula1>FDDValList</formula1>
    </dataValidation>
    <dataValidation type="list" allowBlank="1" showInputMessage="1" showErrorMessage="1" sqref="F322">
      <formula1>"I, O, M, D, N"</formula1>
    </dataValidation>
    <dataValidation type="list" allowBlank="1" showInputMessage="1" showErrorMessage="1" sqref="G322">
      <formula1>"Y, N"</formula1>
    </dataValidation>
    <dataValidation type="list" allowBlank="1" showInputMessage="1" showErrorMessage="1" sqref="D323">
      <formula1>FDDValList</formula1>
    </dataValidation>
    <dataValidation type="list" allowBlank="1" showInputMessage="1" showErrorMessage="1" sqref="F323">
      <formula1>"I, O, M, D, N"</formula1>
    </dataValidation>
    <dataValidation type="list" allowBlank="1" showInputMessage="1" showErrorMessage="1" sqref="G323">
      <formula1>"Y, N"</formula1>
    </dataValidation>
    <dataValidation type="list" allowBlank="1" showInputMessage="1" showErrorMessage="1" sqref="D324">
      <formula1>FDDValList</formula1>
    </dataValidation>
    <dataValidation type="list" allowBlank="1" showInputMessage="1" showErrorMessage="1" sqref="F324">
      <formula1>"I, O, M, D, N"</formula1>
    </dataValidation>
    <dataValidation type="list" allowBlank="1" showInputMessage="1" showErrorMessage="1" sqref="G324">
      <formula1>"Y, N"</formula1>
    </dataValidation>
    <dataValidation type="list" allowBlank="1" showInputMessage="1" showErrorMessage="1" sqref="D325">
      <formula1>FDDValList</formula1>
    </dataValidation>
    <dataValidation type="list" allowBlank="1" showInputMessage="1" showErrorMessage="1" sqref="F325">
      <formula1>"I, O, M, D, N"</formula1>
    </dataValidation>
    <dataValidation type="list" allowBlank="1" showInputMessage="1" showErrorMessage="1" sqref="G325">
      <formula1>"Y, N"</formula1>
    </dataValidation>
    <dataValidation type="list" allowBlank="1" showInputMessage="1" showErrorMessage="1" sqref="D326">
      <formula1>FDDValList</formula1>
    </dataValidation>
    <dataValidation type="list" allowBlank="1" showInputMessage="1" showErrorMessage="1" sqref="F326">
      <formula1>"I, O, M, D, N"</formula1>
    </dataValidation>
    <dataValidation type="list" allowBlank="1" showInputMessage="1" showErrorMessage="1" sqref="G326">
      <formula1>"Y, N"</formula1>
    </dataValidation>
    <dataValidation type="list" allowBlank="1" showInputMessage="1" showErrorMessage="1" sqref="D327">
      <formula1>FDDValList</formula1>
    </dataValidation>
    <dataValidation type="list" allowBlank="1" showInputMessage="1" showErrorMessage="1" sqref="F327">
      <formula1>"I, O, M, D, N"</formula1>
    </dataValidation>
    <dataValidation type="list" allowBlank="1" showInputMessage="1" showErrorMessage="1" sqref="G327">
      <formula1>"Y, N"</formula1>
    </dataValidation>
    <dataValidation type="list" allowBlank="1" showInputMessage="1" showErrorMessage="1" sqref="D328">
      <formula1>FDDValList</formula1>
    </dataValidation>
    <dataValidation type="list" allowBlank="1" showInputMessage="1" showErrorMessage="1" sqref="F328">
      <formula1>"I, O, M, D, N"</formula1>
    </dataValidation>
    <dataValidation type="list" allowBlank="1" showInputMessage="1" showErrorMessage="1" sqref="G328">
      <formula1>"Y, N"</formula1>
    </dataValidation>
    <dataValidation type="list" allowBlank="1" showInputMessage="1" showErrorMessage="1" sqref="D329">
      <formula1>FDDValList</formula1>
    </dataValidation>
    <dataValidation type="list" allowBlank="1" showInputMessage="1" showErrorMessage="1" sqref="F329">
      <formula1>"I, O, M, D, N"</formula1>
    </dataValidation>
    <dataValidation type="list" allowBlank="1" showInputMessage="1" showErrorMessage="1" sqref="G329">
      <formula1>"Y, N"</formula1>
    </dataValidation>
    <dataValidation type="list" allowBlank="1" showInputMessage="1" showErrorMessage="1" sqref="D330">
      <formula1>FDDValList</formula1>
    </dataValidation>
    <dataValidation type="list" allowBlank="1" showInputMessage="1" showErrorMessage="1" sqref="F330">
      <formula1>"I, O, M, D, N"</formula1>
    </dataValidation>
    <dataValidation type="list" allowBlank="1" showInputMessage="1" showErrorMessage="1" sqref="G330">
      <formula1>"Y, N"</formula1>
    </dataValidation>
    <dataValidation type="list" allowBlank="1" showInputMessage="1" showErrorMessage="1" sqref="D331">
      <formula1>FDDValList</formula1>
    </dataValidation>
    <dataValidation type="list" allowBlank="1" showInputMessage="1" showErrorMessage="1" sqref="F331">
      <formula1>"I, O, M, D, N"</formula1>
    </dataValidation>
    <dataValidation type="list" allowBlank="1" showInputMessage="1" showErrorMessage="1" sqref="G331">
      <formula1>"Y, N"</formula1>
    </dataValidation>
    <dataValidation type="list" allowBlank="1" showInputMessage="1" showErrorMessage="1" sqref="D332">
      <formula1>FDDValList</formula1>
    </dataValidation>
    <dataValidation type="list" allowBlank="1" showInputMessage="1" showErrorMessage="1" sqref="F332">
      <formula1>"I, O, M, D, N"</formula1>
    </dataValidation>
    <dataValidation type="list" allowBlank="1" showInputMessage="1" showErrorMessage="1" sqref="G332">
      <formula1>"Y, N"</formula1>
    </dataValidation>
    <dataValidation type="list" allowBlank="1" showInputMessage="1" showErrorMessage="1" sqref="D333">
      <formula1>FDDValList</formula1>
    </dataValidation>
    <dataValidation type="list" allowBlank="1" showInputMessage="1" showErrorMessage="1" sqref="F333">
      <formula1>"I, O, M, D, N"</formula1>
    </dataValidation>
    <dataValidation type="list" allowBlank="1" showInputMessage="1" showErrorMessage="1" sqref="G333">
      <formula1>"Y, N"</formula1>
    </dataValidation>
    <dataValidation type="list" allowBlank="1" showInputMessage="1" showErrorMessage="1" sqref="D334">
      <formula1>FDDValList</formula1>
    </dataValidation>
    <dataValidation type="list" allowBlank="1" showInputMessage="1" showErrorMessage="1" sqref="F334">
      <formula1>"I, O, M, D, N"</formula1>
    </dataValidation>
    <dataValidation type="list" allowBlank="1" showInputMessage="1" showErrorMessage="1" sqref="G334">
      <formula1>"Y, N"</formula1>
    </dataValidation>
    <dataValidation type="list" allowBlank="1" showInputMessage="1" showErrorMessage="1" sqref="D335">
      <formula1>FDDValList</formula1>
    </dataValidation>
    <dataValidation type="list" allowBlank="1" showInputMessage="1" showErrorMessage="1" sqref="F335">
      <formula1>"I, O, M, D, N"</formula1>
    </dataValidation>
    <dataValidation type="list" allowBlank="1" showInputMessage="1" showErrorMessage="1" sqref="G335">
      <formula1>"Y, N"</formula1>
    </dataValidation>
    <dataValidation type="list" allowBlank="1" showInputMessage="1" showErrorMessage="1" sqref="D336">
      <formula1>FDDValList</formula1>
    </dataValidation>
    <dataValidation type="list" allowBlank="1" showInputMessage="1" showErrorMessage="1" sqref="F336">
      <formula1>"I, O, M, D, N"</formula1>
    </dataValidation>
    <dataValidation type="list" allowBlank="1" showInputMessage="1" showErrorMessage="1" sqref="G336">
      <formula1>"Y, N"</formula1>
    </dataValidation>
    <dataValidation type="list" allowBlank="1" showInputMessage="1" showErrorMessage="1" sqref="D337">
      <formula1>FDDValList</formula1>
    </dataValidation>
    <dataValidation type="list" allowBlank="1" showInputMessage="1" showErrorMessage="1" sqref="F337">
      <formula1>"I, O, M, D, N"</formula1>
    </dataValidation>
    <dataValidation type="list" allowBlank="1" showInputMessage="1" showErrorMessage="1" sqref="G337">
      <formula1>"Y, N"</formula1>
    </dataValidation>
    <dataValidation type="list" allowBlank="1" showInputMessage="1" showErrorMessage="1" sqref="D338">
      <formula1>FDDValList</formula1>
    </dataValidation>
    <dataValidation type="list" allowBlank="1" showInputMessage="1" showErrorMessage="1" sqref="F338">
      <formula1>"I, O, M, D, N"</formula1>
    </dataValidation>
    <dataValidation type="list" allowBlank="1" showInputMessage="1" showErrorMessage="1" sqref="G338">
      <formula1>"Y, N"</formula1>
    </dataValidation>
    <dataValidation type="list" allowBlank="1" showInputMessage="1" showErrorMessage="1" sqref="D339">
      <formula1>FDDValList</formula1>
    </dataValidation>
    <dataValidation type="list" allowBlank="1" showInputMessage="1" showErrorMessage="1" sqref="F339">
      <formula1>"I, O, M, D, N"</formula1>
    </dataValidation>
    <dataValidation type="list" allowBlank="1" showInputMessage="1" showErrorMessage="1" sqref="G339">
      <formula1>"Y, N"</formula1>
    </dataValidation>
    <dataValidation type="list" allowBlank="1" showInputMessage="1" showErrorMessage="1" sqref="D340">
      <formula1>FDDValList</formula1>
    </dataValidation>
    <dataValidation type="list" allowBlank="1" showInputMessage="1" showErrorMessage="1" sqref="F340">
      <formula1>"I, O, M, D, N"</formula1>
    </dataValidation>
    <dataValidation type="list" allowBlank="1" showInputMessage="1" showErrorMessage="1" sqref="G340">
      <formula1>"Y, N"</formula1>
    </dataValidation>
    <dataValidation type="list" allowBlank="1" showInputMessage="1" showErrorMessage="1" sqref="D341">
      <formula1>FDDValList</formula1>
    </dataValidation>
    <dataValidation type="list" allowBlank="1" showInputMessage="1" showErrorMessage="1" sqref="F341">
      <formula1>"I, O, M, D, N"</formula1>
    </dataValidation>
    <dataValidation type="list" allowBlank="1" showInputMessage="1" showErrorMessage="1" sqref="G341">
      <formula1>"Y, N"</formula1>
    </dataValidation>
    <dataValidation type="list" allowBlank="1" showInputMessage="1" showErrorMessage="1" sqref="D342">
      <formula1>FDDValList</formula1>
    </dataValidation>
    <dataValidation type="list" allowBlank="1" showInputMessage="1" showErrorMessage="1" sqref="F342">
      <formula1>"I, O, M, D, N"</formula1>
    </dataValidation>
    <dataValidation type="list" allowBlank="1" showInputMessage="1" showErrorMessage="1" sqref="G342">
      <formula1>"Y, N"</formula1>
    </dataValidation>
    <dataValidation type="list" allowBlank="1" showInputMessage="1" showErrorMessage="1" sqref="D343">
      <formula1>FDDValList</formula1>
    </dataValidation>
    <dataValidation type="list" allowBlank="1" showInputMessage="1" showErrorMessage="1" sqref="F343">
      <formula1>"I, O, M, D, N"</formula1>
    </dataValidation>
    <dataValidation type="list" allowBlank="1" showInputMessage="1" showErrorMessage="1" sqref="G343">
      <formula1>"Y, N"</formula1>
    </dataValidation>
    <dataValidation type="list" allowBlank="1" showInputMessage="1" showErrorMessage="1" sqref="D344">
      <formula1>FDDValList</formula1>
    </dataValidation>
    <dataValidation type="list" allowBlank="1" showInputMessage="1" showErrorMessage="1" sqref="F344">
      <formula1>"I, O, M, D, N"</formula1>
    </dataValidation>
    <dataValidation type="list" allowBlank="1" showInputMessage="1" showErrorMessage="1" sqref="G344">
      <formula1>"Y, N"</formula1>
    </dataValidation>
    <dataValidation type="list" allowBlank="1" showInputMessage="1" showErrorMessage="1" sqref="D345">
      <formula1>FDDValList</formula1>
    </dataValidation>
    <dataValidation type="list" allowBlank="1" showInputMessage="1" showErrorMessage="1" sqref="F345">
      <formula1>"I, O, M, D, N"</formula1>
    </dataValidation>
    <dataValidation type="list" allowBlank="1" showInputMessage="1" showErrorMessage="1" sqref="G345">
      <formula1>"Y, N"</formula1>
    </dataValidation>
    <dataValidation type="list" allowBlank="1" showInputMessage="1" showErrorMessage="1" sqref="D346">
      <formula1>FDDValList</formula1>
    </dataValidation>
    <dataValidation type="list" allowBlank="1" showInputMessage="1" showErrorMessage="1" sqref="F346">
      <formula1>"I, O, M, D, N"</formula1>
    </dataValidation>
    <dataValidation type="list" allowBlank="1" showInputMessage="1" showErrorMessage="1" sqref="G346">
      <formula1>"Y, N"</formula1>
    </dataValidation>
    <dataValidation type="list" allowBlank="1" showInputMessage="1" showErrorMessage="1" sqref="D347">
      <formula1>FDDValList</formula1>
    </dataValidation>
    <dataValidation type="list" allowBlank="1" showInputMessage="1" showErrorMessage="1" sqref="F347">
      <formula1>"I, O, M, D, N"</formula1>
    </dataValidation>
    <dataValidation type="list" allowBlank="1" showInputMessage="1" showErrorMessage="1" sqref="G347">
      <formula1>"Y, N"</formula1>
    </dataValidation>
    <dataValidation type="list" allowBlank="1" showInputMessage="1" showErrorMessage="1" sqref="D348">
      <formula1>FDDValList</formula1>
    </dataValidation>
    <dataValidation type="list" allowBlank="1" showInputMessage="1" showErrorMessage="1" sqref="F348">
      <formula1>"I, O, M, D, N"</formula1>
    </dataValidation>
    <dataValidation type="list" allowBlank="1" showInputMessage="1" showErrorMessage="1" sqref="G348">
      <formula1>"Y, N"</formula1>
    </dataValidation>
    <dataValidation type="list" allowBlank="1" showInputMessage="1" showErrorMessage="1" sqref="D349">
      <formula1>FDDValList</formula1>
    </dataValidation>
    <dataValidation type="list" allowBlank="1" showInputMessage="1" showErrorMessage="1" sqref="F349">
      <formula1>"I, O, M, D, N"</formula1>
    </dataValidation>
    <dataValidation type="list" allowBlank="1" showInputMessage="1" showErrorMessage="1" sqref="G349">
      <formula1>"Y, N"</formula1>
    </dataValidation>
    <dataValidation type="list" allowBlank="1" showInputMessage="1" showErrorMessage="1" sqref="D350">
      <formula1>FDDValList</formula1>
    </dataValidation>
    <dataValidation type="list" allowBlank="1" showInputMessage="1" showErrorMessage="1" sqref="F350">
      <formula1>"I, O, M, D, N"</formula1>
    </dataValidation>
    <dataValidation type="list" allowBlank="1" showInputMessage="1" showErrorMessage="1" sqref="G350">
      <formula1>"Y, N"</formula1>
    </dataValidation>
    <dataValidation type="list" allowBlank="1" showInputMessage="1" showErrorMessage="1" sqref="D351">
      <formula1>FDDValList</formula1>
    </dataValidation>
    <dataValidation type="list" allowBlank="1" showInputMessage="1" showErrorMessage="1" sqref="F351">
      <formula1>"I, O, M, D, N"</formula1>
    </dataValidation>
    <dataValidation type="list" allowBlank="1" showInputMessage="1" showErrorMessage="1" sqref="G351">
      <formula1>"Y, N"</formula1>
    </dataValidation>
    <dataValidation type="list" allowBlank="1" showInputMessage="1" showErrorMessage="1" sqref="D352">
      <formula1>FDDValList</formula1>
    </dataValidation>
    <dataValidation type="list" allowBlank="1" showInputMessage="1" showErrorMessage="1" sqref="F352">
      <formula1>"I, O, M, D, N"</formula1>
    </dataValidation>
    <dataValidation type="list" allowBlank="1" showInputMessage="1" showErrorMessage="1" sqref="G352">
      <formula1>"Y, N"</formula1>
    </dataValidation>
    <dataValidation type="list" allowBlank="1" showInputMessage="1" showErrorMessage="1" sqref="D353">
      <formula1>FDDValList</formula1>
    </dataValidation>
    <dataValidation type="list" allowBlank="1" showInputMessage="1" showErrorMessage="1" sqref="F353">
      <formula1>"I, O, M, D, N"</formula1>
    </dataValidation>
    <dataValidation type="list" allowBlank="1" showInputMessage="1" showErrorMessage="1" sqref="G353">
      <formula1>"Y, N"</formula1>
    </dataValidation>
    <dataValidation type="list" allowBlank="1" showInputMessage="1" showErrorMessage="1" sqref="D354">
      <formula1>FDDValList</formula1>
    </dataValidation>
    <dataValidation type="list" allowBlank="1" showInputMessage="1" showErrorMessage="1" sqref="F354">
      <formula1>"I, O, M, D, N"</formula1>
    </dataValidation>
    <dataValidation type="list" allowBlank="1" showInputMessage="1" showErrorMessage="1" sqref="G354">
      <formula1>"Y, N"</formula1>
    </dataValidation>
    <dataValidation type="list" allowBlank="1" showInputMessage="1" showErrorMessage="1" sqref="D355">
      <formula1>FDDValList</formula1>
    </dataValidation>
    <dataValidation type="list" allowBlank="1" showInputMessage="1" showErrorMessage="1" sqref="F355">
      <formula1>"I, O, M, D, N"</formula1>
    </dataValidation>
    <dataValidation type="list" allowBlank="1" showInputMessage="1" showErrorMessage="1" sqref="G355">
      <formula1>"Y, N"</formula1>
    </dataValidation>
    <dataValidation type="list" allowBlank="1" showInputMessage="1" showErrorMessage="1" sqref="D356">
      <formula1>FDDValList</formula1>
    </dataValidation>
    <dataValidation type="list" allowBlank="1" showInputMessage="1" showErrorMessage="1" sqref="F356">
      <formula1>"I, O, M, D, N"</formula1>
    </dataValidation>
    <dataValidation type="list" allowBlank="1" showInputMessage="1" showErrorMessage="1" sqref="G356">
      <formula1>"Y, N"</formula1>
    </dataValidation>
    <dataValidation type="list" allowBlank="1" showInputMessage="1" showErrorMessage="1" sqref="D357">
      <formula1>FDDValList</formula1>
    </dataValidation>
    <dataValidation type="list" allowBlank="1" showInputMessage="1" showErrorMessage="1" sqref="F357">
      <formula1>"I, O, M, D, N"</formula1>
    </dataValidation>
    <dataValidation type="list" allowBlank="1" showInputMessage="1" showErrorMessage="1" sqref="G357">
      <formula1>"Y, N"</formula1>
    </dataValidation>
    <dataValidation type="list" allowBlank="1" showInputMessage="1" showErrorMessage="1" sqref="D358">
      <formula1>FDDValList</formula1>
    </dataValidation>
    <dataValidation type="list" allowBlank="1" showInputMessage="1" showErrorMessage="1" sqref="F358">
      <formula1>"I, O, M, D, N"</formula1>
    </dataValidation>
    <dataValidation type="list" allowBlank="1" showInputMessage="1" showErrorMessage="1" sqref="G358">
      <formula1>"Y, N"</formula1>
    </dataValidation>
    <dataValidation type="list" allowBlank="1" showInputMessage="1" showErrorMessage="1" sqref="D359">
      <formula1>FDDValList</formula1>
    </dataValidation>
    <dataValidation type="list" allowBlank="1" showInputMessage="1" showErrorMessage="1" sqref="F359">
      <formula1>"I, O, M, D, N"</formula1>
    </dataValidation>
    <dataValidation type="list" allowBlank="1" showInputMessage="1" showErrorMessage="1" sqref="G359">
      <formula1>"Y, N"</formula1>
    </dataValidation>
    <dataValidation type="list" allowBlank="1" showInputMessage="1" showErrorMessage="1" sqref="D360">
      <formula1>FDDValList</formula1>
    </dataValidation>
    <dataValidation type="list" allowBlank="1" showInputMessage="1" showErrorMessage="1" sqref="F360">
      <formula1>"I, O, M, D, N"</formula1>
    </dataValidation>
    <dataValidation type="list" allowBlank="1" showInputMessage="1" showErrorMessage="1" sqref="G360">
      <formula1>"Y, N"</formula1>
    </dataValidation>
    <dataValidation type="list" allowBlank="1" showInputMessage="1" showErrorMessage="1" sqref="D361">
      <formula1>FDDValList</formula1>
    </dataValidation>
    <dataValidation type="list" allowBlank="1" showInputMessage="1" showErrorMessage="1" sqref="F361">
      <formula1>"I, O, M, D, N"</formula1>
    </dataValidation>
    <dataValidation type="list" allowBlank="1" showInputMessage="1" showErrorMessage="1" sqref="G361">
      <formula1>"Y, N"</formula1>
    </dataValidation>
    <dataValidation type="list" allowBlank="1" showInputMessage="1" showErrorMessage="1" sqref="D362">
      <formula1>FDDValList</formula1>
    </dataValidation>
    <dataValidation type="list" allowBlank="1" showInputMessage="1" showErrorMessage="1" sqref="F362">
      <formula1>"I, O, M, D, N"</formula1>
    </dataValidation>
    <dataValidation type="list" allowBlank="1" showInputMessage="1" showErrorMessage="1" sqref="G362">
      <formula1>"Y, N"</formula1>
    </dataValidation>
    <dataValidation type="list" allowBlank="1" showInputMessage="1" showErrorMessage="1" sqref="D363">
      <formula1>FDDValList</formula1>
    </dataValidation>
    <dataValidation type="list" allowBlank="1" showInputMessage="1" showErrorMessage="1" sqref="F363">
      <formula1>"I, O, M, D, N"</formula1>
    </dataValidation>
    <dataValidation type="list" allowBlank="1" showInputMessage="1" showErrorMessage="1" sqref="G363">
      <formula1>"Y, N"</formula1>
    </dataValidation>
    <dataValidation type="list" allowBlank="1" showInputMessage="1" showErrorMessage="1" sqref="D364">
      <formula1>FDDValList</formula1>
    </dataValidation>
    <dataValidation type="list" allowBlank="1" showInputMessage="1" showErrorMessage="1" sqref="F364">
      <formula1>"I, O, M, D, N"</formula1>
    </dataValidation>
    <dataValidation type="list" allowBlank="1" showInputMessage="1" showErrorMessage="1" sqref="G364">
      <formula1>"Y, N"</formula1>
    </dataValidation>
    <dataValidation type="list" allowBlank="1" showInputMessage="1" showErrorMessage="1" sqref="D365">
      <formula1>FDDValList</formula1>
    </dataValidation>
    <dataValidation type="list" allowBlank="1" showInputMessage="1" showErrorMessage="1" sqref="F365">
      <formula1>"I, O, M, D, N"</formula1>
    </dataValidation>
    <dataValidation type="list" allowBlank="1" showInputMessage="1" showErrorMessage="1" sqref="G365">
      <formula1>"Y, N"</formula1>
    </dataValidation>
    <dataValidation type="list" allowBlank="1" showInputMessage="1" showErrorMessage="1" sqref="D366">
      <formula1>FDDValList</formula1>
    </dataValidation>
    <dataValidation type="list" allowBlank="1" showInputMessage="1" showErrorMessage="1" sqref="F366">
      <formula1>"I, O, M, D, N"</formula1>
    </dataValidation>
    <dataValidation type="list" allowBlank="1" showInputMessage="1" showErrorMessage="1" sqref="G366">
      <formula1>"Y, N"</formula1>
    </dataValidation>
    <dataValidation type="list" allowBlank="1" showInputMessage="1" showErrorMessage="1" sqref="D367">
      <formula1>FDDValList</formula1>
    </dataValidation>
    <dataValidation type="list" allowBlank="1" showInputMessage="1" showErrorMessage="1" sqref="F367">
      <formula1>"I, O, M, D, N"</formula1>
    </dataValidation>
    <dataValidation type="list" allowBlank="1" showInputMessage="1" showErrorMessage="1" sqref="G367">
      <formula1>"Y, N"</formula1>
    </dataValidation>
    <dataValidation type="list" allowBlank="1" showInputMessage="1" showErrorMessage="1" sqref="D368">
      <formula1>FDDValList</formula1>
    </dataValidation>
    <dataValidation type="list" allowBlank="1" showInputMessage="1" showErrorMessage="1" sqref="F368">
      <formula1>"I, O, M, D, N"</formula1>
    </dataValidation>
    <dataValidation type="list" allowBlank="1" showInputMessage="1" showErrorMessage="1" sqref="G368">
      <formula1>"Y, N"</formula1>
    </dataValidation>
    <dataValidation type="list" allowBlank="1" showInputMessage="1" showErrorMessage="1" sqref="D369">
      <formula1>FDDValList</formula1>
    </dataValidation>
    <dataValidation type="list" allowBlank="1" showInputMessage="1" showErrorMessage="1" sqref="F369">
      <formula1>"I, O, M, D, N"</formula1>
    </dataValidation>
    <dataValidation type="list" allowBlank="1" showInputMessage="1" showErrorMessage="1" sqref="G369">
      <formula1>"Y, N"</formula1>
    </dataValidation>
    <dataValidation type="list" allowBlank="1" showInputMessage="1" showErrorMessage="1" sqref="D370">
      <formula1>FDDValList</formula1>
    </dataValidation>
    <dataValidation type="list" allowBlank="1" showInputMessage="1" showErrorMessage="1" sqref="F370">
      <formula1>"I, O, M, D, N"</formula1>
    </dataValidation>
    <dataValidation type="list" allowBlank="1" showInputMessage="1" showErrorMessage="1" sqref="G370">
      <formula1>"Y, N"</formula1>
    </dataValidation>
    <dataValidation type="list" allowBlank="1" showInputMessage="1" showErrorMessage="1" sqref="D371">
      <formula1>FDDValList</formula1>
    </dataValidation>
    <dataValidation type="list" allowBlank="1" showInputMessage="1" showErrorMessage="1" sqref="F371">
      <formula1>"I, O, M, D, N"</formula1>
    </dataValidation>
    <dataValidation type="list" allowBlank="1" showInputMessage="1" showErrorMessage="1" sqref="G371">
      <formula1>"Y, N"</formula1>
    </dataValidation>
    <dataValidation type="list" allowBlank="1" showInputMessage="1" showErrorMessage="1" sqref="D372">
      <formula1>FDDValList</formula1>
    </dataValidation>
    <dataValidation type="list" allowBlank="1" showInputMessage="1" showErrorMessage="1" sqref="F372">
      <formula1>"I, O, M, D, N"</formula1>
    </dataValidation>
    <dataValidation type="list" allowBlank="1" showInputMessage="1" showErrorMessage="1" sqref="G372">
      <formula1>"Y, N"</formula1>
    </dataValidation>
    <dataValidation type="list" allowBlank="1" showInputMessage="1" showErrorMessage="1" sqref="D373">
      <formula1>FDDValList</formula1>
    </dataValidation>
    <dataValidation type="list" allowBlank="1" showInputMessage="1" showErrorMessage="1" sqref="F373">
      <formula1>"I, O, M, D, N"</formula1>
    </dataValidation>
    <dataValidation type="list" allowBlank="1" showInputMessage="1" showErrorMessage="1" sqref="G373">
      <formula1>"Y, N"</formula1>
    </dataValidation>
    <dataValidation type="list" allowBlank="1" showInputMessage="1" showErrorMessage="1" sqref="D374">
      <formula1>FDDValList</formula1>
    </dataValidation>
    <dataValidation type="list" allowBlank="1" showInputMessage="1" showErrorMessage="1" sqref="F374">
      <formula1>"I, O, M, D, N"</formula1>
    </dataValidation>
    <dataValidation type="list" allowBlank="1" showInputMessage="1" showErrorMessage="1" sqref="G374">
      <formula1>"Y, N"</formula1>
    </dataValidation>
    <dataValidation type="list" allowBlank="1" showInputMessage="1" showErrorMessage="1" sqref="D375">
      <formula1>FDDValList</formula1>
    </dataValidation>
    <dataValidation type="list" allowBlank="1" showInputMessage="1" showErrorMessage="1" sqref="F375">
      <formula1>"I, O, M, D, N"</formula1>
    </dataValidation>
    <dataValidation type="list" allowBlank="1" showInputMessage="1" showErrorMessage="1" sqref="G375">
      <formula1>"Y, N"</formula1>
    </dataValidation>
    <dataValidation type="list" allowBlank="1" showInputMessage="1" showErrorMessage="1" sqref="D376">
      <formula1>FDDValList</formula1>
    </dataValidation>
    <dataValidation type="list" allowBlank="1" showInputMessage="1" showErrorMessage="1" sqref="F376">
      <formula1>"I, O, M, D, N"</formula1>
    </dataValidation>
    <dataValidation type="list" allowBlank="1" showInputMessage="1" showErrorMessage="1" sqref="G376">
      <formula1>"Y, N"</formula1>
    </dataValidation>
    <dataValidation type="list" allowBlank="1" showInputMessage="1" showErrorMessage="1" sqref="D377">
      <formula1>FDDValList</formula1>
    </dataValidation>
    <dataValidation type="list" allowBlank="1" showInputMessage="1" showErrorMessage="1" sqref="F377">
      <formula1>"I, O, M, D, N"</formula1>
    </dataValidation>
    <dataValidation type="list" allowBlank="1" showInputMessage="1" showErrorMessage="1" sqref="G377">
      <formula1>"Y, N"</formula1>
    </dataValidation>
    <dataValidation type="list" allowBlank="1" showInputMessage="1" showErrorMessage="1" sqref="D378">
      <formula1>FDDValList</formula1>
    </dataValidation>
    <dataValidation type="list" allowBlank="1" showInputMessage="1" showErrorMessage="1" sqref="F378">
      <formula1>"I, O, M, D, N"</formula1>
    </dataValidation>
    <dataValidation type="list" allowBlank="1" showInputMessage="1" showErrorMessage="1" sqref="G378">
      <formula1>"Y, N"</formula1>
    </dataValidation>
    <dataValidation type="list" allowBlank="1" showInputMessage="1" showErrorMessage="1" sqref="D379">
      <formula1>FDDValList</formula1>
    </dataValidation>
    <dataValidation type="list" allowBlank="1" showInputMessage="1" showErrorMessage="1" sqref="F379">
      <formula1>"I, O, M, D, N"</formula1>
    </dataValidation>
    <dataValidation type="list" allowBlank="1" showInputMessage="1" showErrorMessage="1" sqref="G379">
      <formula1>"Y, N"</formula1>
    </dataValidation>
    <dataValidation type="list" allowBlank="1" showInputMessage="1" showErrorMessage="1" sqref="D380">
      <formula1>FDDValList</formula1>
    </dataValidation>
    <dataValidation type="list" allowBlank="1" showInputMessage="1" showErrorMessage="1" sqref="F380">
      <formula1>"I, O, M, D, N"</formula1>
    </dataValidation>
    <dataValidation type="list" allowBlank="1" showInputMessage="1" showErrorMessage="1" sqref="G380">
      <formula1>"Y, N"</formula1>
    </dataValidation>
    <dataValidation type="list" allowBlank="1" showInputMessage="1" showErrorMessage="1" sqref="D381">
      <formula1>FDDValList</formula1>
    </dataValidation>
    <dataValidation type="list" allowBlank="1" showInputMessage="1" showErrorMessage="1" sqref="F381">
      <formula1>"I, O, M, D, N"</formula1>
    </dataValidation>
    <dataValidation type="list" allowBlank="1" showInputMessage="1" showErrorMessage="1" sqref="G381">
      <formula1>"Y, N"</formula1>
    </dataValidation>
    <dataValidation type="list" allowBlank="1" showInputMessage="1" showErrorMessage="1" sqref="D382">
      <formula1>FDDValList</formula1>
    </dataValidation>
    <dataValidation type="list" allowBlank="1" showInputMessage="1" showErrorMessage="1" sqref="F382">
      <formula1>"I, O, M, D, N"</formula1>
    </dataValidation>
    <dataValidation type="list" allowBlank="1" showInputMessage="1" showErrorMessage="1" sqref="G382">
      <formula1>"Y, N"</formula1>
    </dataValidation>
    <dataValidation type="list" allowBlank="1" showInputMessage="1" showErrorMessage="1" sqref="D383">
      <formula1>FDDValList</formula1>
    </dataValidation>
    <dataValidation type="list" allowBlank="1" showInputMessage="1" showErrorMessage="1" sqref="F383">
      <formula1>"I, O, M, D, N"</formula1>
    </dataValidation>
    <dataValidation type="list" allowBlank="1" showInputMessage="1" showErrorMessage="1" sqref="G383">
      <formula1>"Y, N"</formula1>
    </dataValidation>
    <dataValidation type="list" allowBlank="1" showInputMessage="1" showErrorMessage="1" sqref="D384">
      <formula1>FDDValList</formula1>
    </dataValidation>
    <dataValidation type="list" allowBlank="1" showInputMessage="1" showErrorMessage="1" sqref="F384">
      <formula1>"I, O, M, D, N"</formula1>
    </dataValidation>
    <dataValidation type="list" allowBlank="1" showInputMessage="1" showErrorMessage="1" sqref="G384">
      <formula1>"Y, N"</formula1>
    </dataValidation>
    <dataValidation type="list" allowBlank="1" showInputMessage="1" showErrorMessage="1" sqref="D385">
      <formula1>FDDValList</formula1>
    </dataValidation>
    <dataValidation type="list" allowBlank="1" showInputMessage="1" showErrorMessage="1" sqref="F385">
      <formula1>"I, O, M, D, N"</formula1>
    </dataValidation>
    <dataValidation type="list" allowBlank="1" showInputMessage="1" showErrorMessage="1" sqref="G385">
      <formula1>"Y, N"</formula1>
    </dataValidation>
    <dataValidation type="list" allowBlank="1" showInputMessage="1" showErrorMessage="1" sqref="D386">
      <formula1>FDDValList</formula1>
    </dataValidation>
    <dataValidation type="list" allowBlank="1" showInputMessage="1" showErrorMessage="1" sqref="F386">
      <formula1>"I, O, M, D, N"</formula1>
    </dataValidation>
    <dataValidation type="list" allowBlank="1" showInputMessage="1" showErrorMessage="1" sqref="G386">
      <formula1>"Y, N"</formula1>
    </dataValidation>
    <dataValidation type="list" allowBlank="1" showInputMessage="1" showErrorMessage="1" sqref="D387">
      <formula1>FDDValList</formula1>
    </dataValidation>
    <dataValidation type="list" allowBlank="1" showInputMessage="1" showErrorMessage="1" sqref="F387">
      <formula1>"I, O, M, D, N"</formula1>
    </dataValidation>
    <dataValidation type="list" allowBlank="1" showInputMessage="1" showErrorMessage="1" sqref="G387">
      <formula1>"Y, N"</formula1>
    </dataValidation>
    <dataValidation type="list" allowBlank="1" showInputMessage="1" showErrorMessage="1" sqref="D388">
      <formula1>FDDValList</formula1>
    </dataValidation>
    <dataValidation type="list" allowBlank="1" showInputMessage="1" showErrorMessage="1" sqref="F388">
      <formula1>"I, O, M, D, N"</formula1>
    </dataValidation>
    <dataValidation type="list" allowBlank="1" showInputMessage="1" showErrorMessage="1" sqref="G388">
      <formula1>"Y, N"</formula1>
    </dataValidation>
    <dataValidation type="list" allowBlank="1" showInputMessage="1" showErrorMessage="1" sqref="D389">
      <formula1>FDDValList</formula1>
    </dataValidation>
    <dataValidation type="list" allowBlank="1" showInputMessage="1" showErrorMessage="1" sqref="F389">
      <formula1>"I, O, M, D, N"</formula1>
    </dataValidation>
    <dataValidation type="list" allowBlank="1" showInputMessage="1" showErrorMessage="1" sqref="G389">
      <formula1>"Y, N"</formula1>
    </dataValidation>
    <dataValidation type="list" allowBlank="1" showInputMessage="1" showErrorMessage="1" sqref="D390">
      <formula1>FDDValList</formula1>
    </dataValidation>
    <dataValidation type="list" allowBlank="1" showInputMessage="1" showErrorMessage="1" sqref="F390">
      <formula1>"I, O, M, D, N"</formula1>
    </dataValidation>
    <dataValidation type="list" allowBlank="1" showInputMessage="1" showErrorMessage="1" sqref="G390">
      <formula1>"Y, N"</formula1>
    </dataValidation>
    <dataValidation type="list" allowBlank="1" showInputMessage="1" showErrorMessage="1" sqref="D391">
      <formula1>FDDValList</formula1>
    </dataValidation>
    <dataValidation type="list" allowBlank="1" showInputMessage="1" showErrorMessage="1" sqref="F391">
      <formula1>"I, O, M, D, N"</formula1>
    </dataValidation>
    <dataValidation type="list" allowBlank="1" showInputMessage="1" showErrorMessage="1" sqref="G391">
      <formula1>"Y, N"</formula1>
    </dataValidation>
    <dataValidation type="list" allowBlank="1" showInputMessage="1" showErrorMessage="1" sqref="D392">
      <formula1>FDDValList</formula1>
    </dataValidation>
    <dataValidation type="list" allowBlank="1" showInputMessage="1" showErrorMessage="1" sqref="F392">
      <formula1>"I, O, M, D, N"</formula1>
    </dataValidation>
    <dataValidation type="list" allowBlank="1" showInputMessage="1" showErrorMessage="1" sqref="G392">
      <formula1>"Y, N"</formula1>
    </dataValidation>
    <dataValidation type="list" allowBlank="1" showInputMessage="1" showErrorMessage="1" sqref="D393">
      <formula1>FDDValList</formula1>
    </dataValidation>
    <dataValidation type="list" allowBlank="1" showInputMessage="1" showErrorMessage="1" sqref="F393">
      <formula1>"I, O, M, D, N"</formula1>
    </dataValidation>
    <dataValidation type="list" allowBlank="1" showInputMessage="1" showErrorMessage="1" sqref="G393">
      <formula1>"Y, N"</formula1>
    </dataValidation>
    <dataValidation type="list" allowBlank="1" showInputMessage="1" showErrorMessage="1" sqref="D394">
      <formula1>FDDValList</formula1>
    </dataValidation>
    <dataValidation type="list" allowBlank="1" showInputMessage="1" showErrorMessage="1" sqref="F394">
      <formula1>"I, O, M, D, N"</formula1>
    </dataValidation>
    <dataValidation type="list" allowBlank="1" showInputMessage="1" showErrorMessage="1" sqref="G394">
      <formula1>"Y, N"</formula1>
    </dataValidation>
    <dataValidation type="list" allowBlank="1" showInputMessage="1" showErrorMessage="1" sqref="D395">
      <formula1>FDDValList</formula1>
    </dataValidation>
    <dataValidation type="list" allowBlank="1" showInputMessage="1" showErrorMessage="1" sqref="F395">
      <formula1>"I, O, M, D, N"</formula1>
    </dataValidation>
    <dataValidation type="list" allowBlank="1" showInputMessage="1" showErrorMessage="1" sqref="G395">
      <formula1>"Y, N"</formula1>
    </dataValidation>
    <dataValidation type="list" allowBlank="1" showInputMessage="1" showErrorMessage="1" sqref="D396">
      <formula1>FDDValList</formula1>
    </dataValidation>
    <dataValidation type="list" allowBlank="1" showInputMessage="1" showErrorMessage="1" sqref="F396">
      <formula1>"I, O, M, D, N"</formula1>
    </dataValidation>
    <dataValidation type="list" allowBlank="1" showInputMessage="1" showErrorMessage="1" sqref="G396">
      <formula1>"Y, N"</formula1>
    </dataValidation>
    <dataValidation type="list" allowBlank="1" showInputMessage="1" showErrorMessage="1" sqref="D397">
      <formula1>FDDValList</formula1>
    </dataValidation>
    <dataValidation type="list" allowBlank="1" showInputMessage="1" showErrorMessage="1" sqref="F397">
      <formula1>"I, O, M, D, N"</formula1>
    </dataValidation>
    <dataValidation type="list" allowBlank="1" showInputMessage="1" showErrorMessage="1" sqref="G397">
      <formula1>"Y, N"</formula1>
    </dataValidation>
    <dataValidation type="list" allowBlank="1" showInputMessage="1" showErrorMessage="1" sqref="D398">
      <formula1>FDDValList</formula1>
    </dataValidation>
    <dataValidation type="list" allowBlank="1" showInputMessage="1" showErrorMessage="1" sqref="F398">
      <formula1>"I, O, M, D, N"</formula1>
    </dataValidation>
    <dataValidation type="list" allowBlank="1" showInputMessage="1" showErrorMessage="1" sqref="G398">
      <formula1>"Y, N"</formula1>
    </dataValidation>
    <dataValidation type="list" allowBlank="1" showInputMessage="1" showErrorMessage="1" sqref="D399">
      <formula1>FDDValList</formula1>
    </dataValidation>
    <dataValidation type="list" allowBlank="1" showInputMessage="1" showErrorMessage="1" sqref="F399">
      <formula1>"I, O, M, D, N"</formula1>
    </dataValidation>
    <dataValidation type="list" allowBlank="1" showInputMessage="1" showErrorMessage="1" sqref="G399">
      <formula1>"Y, N"</formula1>
    </dataValidation>
    <dataValidation type="list" allowBlank="1" showInputMessage="1" showErrorMessage="1" sqref="D400">
      <formula1>FDDValList</formula1>
    </dataValidation>
    <dataValidation type="list" allowBlank="1" showInputMessage="1" showErrorMessage="1" sqref="F400">
      <formula1>"I, O, M, D, N"</formula1>
    </dataValidation>
    <dataValidation type="list" allowBlank="1" showInputMessage="1" showErrorMessage="1" sqref="G400">
      <formula1>"Y, N"</formula1>
    </dataValidation>
    <dataValidation type="list" allowBlank="1" showInputMessage="1" showErrorMessage="1" sqref="D401">
      <formula1>FDDValList</formula1>
    </dataValidation>
    <dataValidation type="list" allowBlank="1" showInputMessage="1" showErrorMessage="1" sqref="F401">
      <formula1>"I, O, M, D, N"</formula1>
    </dataValidation>
    <dataValidation type="list" allowBlank="1" showInputMessage="1" showErrorMessage="1" sqref="G401">
      <formula1>"Y, N"</formula1>
    </dataValidation>
    <dataValidation type="list" allowBlank="1" showInputMessage="1" showErrorMessage="1" sqref="D402">
      <formula1>FDDValList</formula1>
    </dataValidation>
    <dataValidation type="list" allowBlank="1" showInputMessage="1" showErrorMessage="1" sqref="F402">
      <formula1>"I, O, M, D, N"</formula1>
    </dataValidation>
    <dataValidation type="list" allowBlank="1" showInputMessage="1" showErrorMessage="1" sqref="G402">
      <formula1>"Y, N"</formula1>
    </dataValidation>
    <dataValidation type="list" allowBlank="1" showInputMessage="1" showErrorMessage="1" sqref="D403">
      <formula1>FDDValList</formula1>
    </dataValidation>
    <dataValidation type="list" allowBlank="1" showInputMessage="1" showErrorMessage="1" sqref="F403">
      <formula1>"I, O, M, D, N"</formula1>
    </dataValidation>
    <dataValidation type="list" allowBlank="1" showInputMessage="1" showErrorMessage="1" sqref="G403">
      <formula1>"Y, N"</formula1>
    </dataValidation>
    <dataValidation type="list" allowBlank="1" showInputMessage="1" showErrorMessage="1" sqref="D404">
      <formula1>FDDValList</formula1>
    </dataValidation>
    <dataValidation type="list" allowBlank="1" showInputMessage="1" showErrorMessage="1" sqref="F404">
      <formula1>"I, O, M, D, N"</formula1>
    </dataValidation>
    <dataValidation type="list" allowBlank="1" showInputMessage="1" showErrorMessage="1" sqref="G404">
      <formula1>"Y, N"</formula1>
    </dataValidation>
    <dataValidation type="list" allowBlank="1" showInputMessage="1" showErrorMessage="1" sqref="D405">
      <formula1>FDDValList</formula1>
    </dataValidation>
    <dataValidation type="list" allowBlank="1" showInputMessage="1" showErrorMessage="1" sqref="F405">
      <formula1>"I, O, M, D, N"</formula1>
    </dataValidation>
    <dataValidation type="list" allowBlank="1" showInputMessage="1" showErrorMessage="1" sqref="G405">
      <formula1>"Y, N"</formula1>
    </dataValidation>
    <dataValidation type="list" allowBlank="1" showInputMessage="1" showErrorMessage="1" sqref="D406">
      <formula1>FDDValList</formula1>
    </dataValidation>
    <dataValidation type="list" allowBlank="1" showInputMessage="1" showErrorMessage="1" sqref="F406">
      <formula1>"I, O, M, D, N"</formula1>
    </dataValidation>
    <dataValidation type="list" allowBlank="1" showInputMessage="1" showErrorMessage="1" sqref="G406">
      <formula1>"Y, N"</formula1>
    </dataValidation>
    <dataValidation type="list" allowBlank="1" showInputMessage="1" showErrorMessage="1" sqref="D407">
      <formula1>FDDValList</formula1>
    </dataValidation>
    <dataValidation type="list" allowBlank="1" showInputMessage="1" showErrorMessage="1" sqref="F407">
      <formula1>"I, O, M, D, N"</formula1>
    </dataValidation>
    <dataValidation type="list" allowBlank="1" showInputMessage="1" showErrorMessage="1" sqref="G407">
      <formula1>"Y, N"</formula1>
    </dataValidation>
    <dataValidation type="list" allowBlank="1" showInputMessage="1" showErrorMessage="1" sqref="D408">
      <formula1>FDDValList</formula1>
    </dataValidation>
    <dataValidation type="list" allowBlank="1" showInputMessage="1" showErrorMessage="1" sqref="F408">
      <formula1>"I, O, M, D, N"</formula1>
    </dataValidation>
    <dataValidation type="list" allowBlank="1" showInputMessage="1" showErrorMessage="1" sqref="G408">
      <formula1>"Y, N"</formula1>
    </dataValidation>
    <dataValidation type="list" allowBlank="1" showInputMessage="1" showErrorMessage="1" sqref="D409">
      <formula1>FDDValList</formula1>
    </dataValidation>
    <dataValidation type="list" allowBlank="1" showInputMessage="1" showErrorMessage="1" sqref="F409">
      <formula1>"I, O, M, D, N"</formula1>
    </dataValidation>
    <dataValidation type="list" allowBlank="1" showInputMessage="1" showErrorMessage="1" sqref="G409">
      <formula1>"Y, N"</formula1>
    </dataValidation>
    <dataValidation type="list" allowBlank="1" showInputMessage="1" showErrorMessage="1" sqref="D410">
      <formula1>FDDValList</formula1>
    </dataValidation>
    <dataValidation type="list" allowBlank="1" showInputMessage="1" showErrorMessage="1" sqref="F410">
      <formula1>"I, O, M, D, N"</formula1>
    </dataValidation>
    <dataValidation type="list" allowBlank="1" showInputMessage="1" showErrorMessage="1" sqref="G410">
      <formula1>"Y, N"</formula1>
    </dataValidation>
    <dataValidation type="list" allowBlank="1" showInputMessage="1" showErrorMessage="1" sqref="D411">
      <formula1>FDDValList</formula1>
    </dataValidation>
    <dataValidation type="list" allowBlank="1" showInputMessage="1" showErrorMessage="1" sqref="F411">
      <formula1>"I, O, M, D, N"</formula1>
    </dataValidation>
    <dataValidation type="list" allowBlank="1" showInputMessage="1" showErrorMessage="1" sqref="G411">
      <formula1>"Y, N"</formula1>
    </dataValidation>
    <dataValidation type="list" allowBlank="1" showInputMessage="1" showErrorMessage="1" sqref="D412">
      <formula1>FDDValList</formula1>
    </dataValidation>
    <dataValidation type="list" allowBlank="1" showInputMessage="1" showErrorMessage="1" sqref="F412">
      <formula1>"I, O, M, D, N"</formula1>
    </dataValidation>
    <dataValidation type="list" allowBlank="1" showInputMessage="1" showErrorMessage="1" sqref="G412">
      <formula1>"Y, N"</formula1>
    </dataValidation>
    <dataValidation type="list" allowBlank="1" showInputMessage="1" showErrorMessage="1" sqref="D413">
      <formula1>FDDValList</formula1>
    </dataValidation>
    <dataValidation type="list" allowBlank="1" showInputMessage="1" showErrorMessage="1" sqref="F413">
      <formula1>"I, O, M, D, N"</formula1>
    </dataValidation>
    <dataValidation type="list" allowBlank="1" showInputMessage="1" showErrorMessage="1" sqref="G413">
      <formula1>"Y, N"</formula1>
    </dataValidation>
    <dataValidation type="list" allowBlank="1" showInputMessage="1" showErrorMessage="1" sqref="D414">
      <formula1>FDDValList</formula1>
    </dataValidation>
    <dataValidation type="list" allowBlank="1" showInputMessage="1" showErrorMessage="1" sqref="F414">
      <formula1>"I, O, M, D, N"</formula1>
    </dataValidation>
    <dataValidation type="list" allowBlank="1" showInputMessage="1" showErrorMessage="1" sqref="G414">
      <formula1>"Y, N"</formula1>
    </dataValidation>
    <dataValidation type="list" allowBlank="1" showInputMessage="1" showErrorMessage="1" sqref="D415">
      <formula1>FDDValList</formula1>
    </dataValidation>
    <dataValidation type="list" allowBlank="1" showInputMessage="1" showErrorMessage="1" sqref="F415">
      <formula1>"I, O, M, D, N"</formula1>
    </dataValidation>
    <dataValidation type="list" allowBlank="1" showInputMessage="1" showErrorMessage="1" sqref="G415">
      <formula1>"Y, N"</formula1>
    </dataValidation>
    <dataValidation type="list" allowBlank="1" showInputMessage="1" showErrorMessage="1" sqref="D416">
      <formula1>FDDValList</formula1>
    </dataValidation>
    <dataValidation type="list" allowBlank="1" showInputMessage="1" showErrorMessage="1" sqref="F416">
      <formula1>"I, O, M, D, N"</formula1>
    </dataValidation>
    <dataValidation type="list" allowBlank="1" showInputMessage="1" showErrorMessage="1" sqref="G416">
      <formula1>"Y, N"</formula1>
    </dataValidation>
    <dataValidation type="list" allowBlank="1" showInputMessage="1" showErrorMessage="1" sqref="D417">
      <formula1>FDDValList</formula1>
    </dataValidation>
    <dataValidation type="list" allowBlank="1" showInputMessage="1" showErrorMessage="1" sqref="F417">
      <formula1>"I, O, M, D, N"</formula1>
    </dataValidation>
    <dataValidation type="list" allowBlank="1" showInputMessage="1" showErrorMessage="1" sqref="G417">
      <formula1>"Y, N"</formula1>
    </dataValidation>
    <dataValidation type="list" allowBlank="1" showInputMessage="1" showErrorMessage="1" sqref="D418">
      <formula1>FDDValList</formula1>
    </dataValidation>
    <dataValidation type="list" allowBlank="1" showInputMessage="1" showErrorMessage="1" sqref="F418">
      <formula1>"I, O, M, D, N"</formula1>
    </dataValidation>
    <dataValidation type="list" allowBlank="1" showInputMessage="1" showErrorMessage="1" sqref="G418">
      <formula1>"Y, N"</formula1>
    </dataValidation>
    <dataValidation type="list" allowBlank="1" showInputMessage="1" showErrorMessage="1" sqref="D419">
      <formula1>FDDValList</formula1>
    </dataValidation>
    <dataValidation type="list" allowBlank="1" showInputMessage="1" showErrorMessage="1" sqref="F419">
      <formula1>"I, O, M, D, N"</formula1>
    </dataValidation>
    <dataValidation type="list" allowBlank="1" showInputMessage="1" showErrorMessage="1" sqref="G419">
      <formula1>"Y, N"</formula1>
    </dataValidation>
    <dataValidation type="list" allowBlank="1" showInputMessage="1" showErrorMessage="1" sqref="D420">
      <formula1>FDDValList</formula1>
    </dataValidation>
    <dataValidation type="list" allowBlank="1" showInputMessage="1" showErrorMessage="1" sqref="F420">
      <formula1>"I, O, M, D, N"</formula1>
    </dataValidation>
    <dataValidation type="list" allowBlank="1" showInputMessage="1" showErrorMessage="1" sqref="G420">
      <formula1>"Y, N"</formula1>
    </dataValidation>
    <dataValidation type="list" allowBlank="1" showInputMessage="1" showErrorMessage="1" sqref="D421">
      <formula1>FDDValList</formula1>
    </dataValidation>
    <dataValidation type="list" allowBlank="1" showInputMessage="1" showErrorMessage="1" sqref="F421">
      <formula1>"I, O, M, D, N"</formula1>
    </dataValidation>
    <dataValidation type="list" allowBlank="1" showInputMessage="1" showErrorMessage="1" sqref="G421">
      <formula1>"Y, N"</formula1>
    </dataValidation>
    <dataValidation type="list" allowBlank="1" showInputMessage="1" showErrorMessage="1" sqref="D422">
      <formula1>FDDValList</formula1>
    </dataValidation>
    <dataValidation type="list" allowBlank="1" showInputMessage="1" showErrorMessage="1" sqref="F422">
      <formula1>"I, O, M, D, N"</formula1>
    </dataValidation>
    <dataValidation type="list" allowBlank="1" showInputMessage="1" showErrorMessage="1" sqref="G422">
      <formula1>"Y, N"</formula1>
    </dataValidation>
    <dataValidation type="list" allowBlank="1" showInputMessage="1" showErrorMessage="1" sqref="D423">
      <formula1>FDDValList</formula1>
    </dataValidation>
    <dataValidation type="list" allowBlank="1" showInputMessage="1" showErrorMessage="1" sqref="F423">
      <formula1>"I, O, M, D, N"</formula1>
    </dataValidation>
    <dataValidation type="list" allowBlank="1" showInputMessage="1" showErrorMessage="1" sqref="G423">
      <formula1>"Y, N"</formula1>
    </dataValidation>
    <dataValidation type="list" allowBlank="1" showInputMessage="1" showErrorMessage="1" sqref="D424">
      <formula1>FDDValList</formula1>
    </dataValidation>
    <dataValidation type="list" allowBlank="1" showInputMessage="1" showErrorMessage="1" sqref="F424">
      <formula1>"I, O, M, D, N"</formula1>
    </dataValidation>
    <dataValidation type="list" allowBlank="1" showInputMessage="1" showErrorMessage="1" sqref="G424">
      <formula1>"Y, N"</formula1>
    </dataValidation>
    <dataValidation type="list" allowBlank="1" showInputMessage="1" showErrorMessage="1" sqref="D425">
      <formula1>FDDValList</formula1>
    </dataValidation>
    <dataValidation type="list" allowBlank="1" showInputMessage="1" showErrorMessage="1" sqref="F425">
      <formula1>"I, O, M, D, N"</formula1>
    </dataValidation>
    <dataValidation type="list" allowBlank="1" showInputMessage="1" showErrorMessage="1" sqref="G425">
      <formula1>"Y, N"</formula1>
    </dataValidation>
    <dataValidation type="list" allowBlank="1" showInputMessage="1" showErrorMessage="1" sqref="D426">
      <formula1>FDDValList</formula1>
    </dataValidation>
    <dataValidation type="list" allowBlank="1" showInputMessage="1" showErrorMessage="1" sqref="F426">
      <formula1>"I, O, M, D, N"</formula1>
    </dataValidation>
    <dataValidation type="list" allowBlank="1" showInputMessage="1" showErrorMessage="1" sqref="G426">
      <formula1>"Y, N"</formula1>
    </dataValidation>
    <dataValidation type="list" allowBlank="1" showInputMessage="1" showErrorMessage="1" sqref="D427">
      <formula1>FDDValList</formula1>
    </dataValidation>
    <dataValidation type="list" allowBlank="1" showInputMessage="1" showErrorMessage="1" sqref="F427">
      <formula1>"I, O, M, D, N"</formula1>
    </dataValidation>
    <dataValidation type="list" allowBlank="1" showInputMessage="1" showErrorMessage="1" sqref="G427">
      <formula1>"Y, N"</formula1>
    </dataValidation>
    <dataValidation type="list" allowBlank="1" showInputMessage="1" showErrorMessage="1" sqref="D428">
      <formula1>FDDValList</formula1>
    </dataValidation>
    <dataValidation type="list" allowBlank="1" showInputMessage="1" showErrorMessage="1" sqref="F428">
      <formula1>"I, O, M, D, N"</formula1>
    </dataValidation>
    <dataValidation type="list" allowBlank="1" showInputMessage="1" showErrorMessage="1" sqref="G428">
      <formula1>"Y, N"</formula1>
    </dataValidation>
    <dataValidation type="list" allowBlank="1" showInputMessage="1" showErrorMessage="1" sqref="D429">
      <formula1>FDDValList</formula1>
    </dataValidation>
    <dataValidation type="list" allowBlank="1" showInputMessage="1" showErrorMessage="1" sqref="F429">
      <formula1>"I, O, M, D, N"</formula1>
    </dataValidation>
    <dataValidation type="list" allowBlank="1" showInputMessage="1" showErrorMessage="1" sqref="G429">
      <formula1>"Y, N"</formula1>
    </dataValidation>
    <dataValidation type="list" allowBlank="1" showInputMessage="1" showErrorMessage="1" sqref="D430">
      <formula1>FDDValList</formula1>
    </dataValidation>
    <dataValidation type="list" allowBlank="1" showInputMessage="1" showErrorMessage="1" sqref="F430">
      <formula1>"I, O, M, D, N"</formula1>
    </dataValidation>
    <dataValidation type="list" allowBlank="1" showInputMessage="1" showErrorMessage="1" sqref="G430">
      <formula1>"Y, N"</formula1>
    </dataValidation>
    <dataValidation type="list" allowBlank="1" showInputMessage="1" showErrorMessage="1" sqref="D431">
      <formula1>FDDValList</formula1>
    </dataValidation>
    <dataValidation type="list" allowBlank="1" showInputMessage="1" showErrorMessage="1" sqref="F431">
      <formula1>"I, O, M, D, N"</formula1>
    </dataValidation>
    <dataValidation type="list" allowBlank="1" showInputMessage="1" showErrorMessage="1" sqref="G431">
      <formula1>"Y, N"</formula1>
    </dataValidation>
    <dataValidation type="list" allowBlank="1" showInputMessage="1" showErrorMessage="1" sqref="D432">
      <formula1>FDDValList</formula1>
    </dataValidation>
    <dataValidation type="list" allowBlank="1" showInputMessage="1" showErrorMessage="1" sqref="F432">
      <formula1>"I, O, M, D, N"</formula1>
    </dataValidation>
    <dataValidation type="list" allowBlank="1" showInputMessage="1" showErrorMessage="1" sqref="G432">
      <formula1>"Y, N"</formula1>
    </dataValidation>
    <dataValidation type="list" allowBlank="1" showInputMessage="1" showErrorMessage="1" sqref="D433">
      <formula1>FDDValList</formula1>
    </dataValidation>
    <dataValidation type="list" allowBlank="1" showInputMessage="1" showErrorMessage="1" sqref="F433">
      <formula1>"I, O, M, D, N"</formula1>
    </dataValidation>
    <dataValidation type="list" allowBlank="1" showInputMessage="1" showErrorMessage="1" sqref="G433">
      <formula1>"Y, N"</formula1>
    </dataValidation>
    <dataValidation type="list" allowBlank="1" showInputMessage="1" showErrorMessage="1" sqref="D434">
      <formula1>FDDValList</formula1>
    </dataValidation>
    <dataValidation type="list" allowBlank="1" showInputMessage="1" showErrorMessage="1" sqref="F434">
      <formula1>"I, O, M, D, N"</formula1>
    </dataValidation>
    <dataValidation type="list" allowBlank="1" showInputMessage="1" showErrorMessage="1" sqref="G434">
      <formula1>"Y, N"</formula1>
    </dataValidation>
    <dataValidation type="list" allowBlank="1" showInputMessage="1" showErrorMessage="1" sqref="D435">
      <formula1>FDDValList</formula1>
    </dataValidation>
    <dataValidation type="list" allowBlank="1" showInputMessage="1" showErrorMessage="1" sqref="F435">
      <formula1>"I, O, M, D, N"</formula1>
    </dataValidation>
    <dataValidation type="list" allowBlank="1" showInputMessage="1" showErrorMessage="1" sqref="G435">
      <formula1>"Y, N"</formula1>
    </dataValidation>
    <dataValidation type="list" allowBlank="1" showInputMessage="1" showErrorMessage="1" sqref="D436">
      <formula1>FDDValList</formula1>
    </dataValidation>
    <dataValidation type="list" allowBlank="1" showInputMessage="1" showErrorMessage="1" sqref="F436">
      <formula1>"I, O, M, D, N"</formula1>
    </dataValidation>
    <dataValidation type="list" allowBlank="1" showInputMessage="1" showErrorMessage="1" sqref="G436">
      <formula1>"Y, N"</formula1>
    </dataValidation>
    <dataValidation type="list" allowBlank="1" showInputMessage="1" showErrorMessage="1" sqref="D437">
      <formula1>FDDValList</formula1>
    </dataValidation>
    <dataValidation type="list" allowBlank="1" showInputMessage="1" showErrorMessage="1" sqref="F437">
      <formula1>"I, O, M, D, N"</formula1>
    </dataValidation>
    <dataValidation type="list" allowBlank="1" showInputMessage="1" showErrorMessage="1" sqref="G437">
      <formula1>"Y, N"</formula1>
    </dataValidation>
    <dataValidation type="list" allowBlank="1" showInputMessage="1" showErrorMessage="1" sqref="D438">
      <formula1>FDDValList</formula1>
    </dataValidation>
    <dataValidation type="list" allowBlank="1" showInputMessage="1" showErrorMessage="1" sqref="F438">
      <formula1>"I, O, M, D, N"</formula1>
    </dataValidation>
    <dataValidation type="list" allowBlank="1" showInputMessage="1" showErrorMessage="1" sqref="G438">
      <formula1>"Y, N"</formula1>
    </dataValidation>
    <dataValidation type="list" allowBlank="1" showInputMessage="1" showErrorMessage="1" sqref="D439">
      <formula1>FDDValList</formula1>
    </dataValidation>
    <dataValidation type="list" allowBlank="1" showInputMessage="1" showErrorMessage="1" sqref="F439">
      <formula1>"I, O, M, D, N"</formula1>
    </dataValidation>
    <dataValidation type="list" allowBlank="1" showInputMessage="1" showErrorMessage="1" sqref="G439">
      <formula1>"Y, N"</formula1>
    </dataValidation>
    <dataValidation type="list" allowBlank="1" showInputMessage="1" showErrorMessage="1" sqref="D440">
      <formula1>FDDValList</formula1>
    </dataValidation>
    <dataValidation type="list" allowBlank="1" showInputMessage="1" showErrorMessage="1" sqref="F440">
      <formula1>"I, O, M, D, N"</formula1>
    </dataValidation>
    <dataValidation type="list" allowBlank="1" showInputMessage="1" showErrorMessage="1" sqref="G440">
      <formula1>"Y, N"</formula1>
    </dataValidation>
    <dataValidation type="list" allowBlank="1" showInputMessage="1" showErrorMessage="1" sqref="D441">
      <formula1>FDDValList</formula1>
    </dataValidation>
    <dataValidation type="list" allowBlank="1" showInputMessage="1" showErrorMessage="1" sqref="F441">
      <formula1>"I, O, M, D, N"</formula1>
    </dataValidation>
    <dataValidation type="list" allowBlank="1" showInputMessage="1" showErrorMessage="1" sqref="G441">
      <formula1>"Y, N"</formula1>
    </dataValidation>
    <dataValidation type="list" allowBlank="1" showInputMessage="1" showErrorMessage="1" sqref="D442">
      <formula1>FDDValList</formula1>
    </dataValidation>
    <dataValidation type="list" allowBlank="1" showInputMessage="1" showErrorMessage="1" sqref="F442">
      <formula1>"I, O, M, D, N"</formula1>
    </dataValidation>
    <dataValidation type="list" allowBlank="1" showInputMessage="1" showErrorMessage="1" sqref="G442">
      <formula1>"Y, N"</formula1>
    </dataValidation>
    <dataValidation type="list" allowBlank="1" showInputMessage="1" showErrorMessage="1" sqref="D443">
      <formula1>FDDValList</formula1>
    </dataValidation>
    <dataValidation type="list" allowBlank="1" showInputMessage="1" showErrorMessage="1" sqref="F443">
      <formula1>"I, O, M, D, N"</formula1>
    </dataValidation>
    <dataValidation type="list" allowBlank="1" showInputMessage="1" showErrorMessage="1" sqref="G443">
      <formula1>"Y, N"</formula1>
    </dataValidation>
    <dataValidation type="list" allowBlank="1" showInputMessage="1" showErrorMessage="1" sqref="D444">
      <formula1>FDDValList</formula1>
    </dataValidation>
    <dataValidation type="list" allowBlank="1" showInputMessage="1" showErrorMessage="1" sqref="F444">
      <formula1>"I, O, M, D, N"</formula1>
    </dataValidation>
    <dataValidation type="list" allowBlank="1" showInputMessage="1" showErrorMessage="1" sqref="G444">
      <formula1>"Y, N"</formula1>
    </dataValidation>
    <dataValidation type="list" allowBlank="1" showInputMessage="1" showErrorMessage="1" sqref="D445">
      <formula1>FDDValList</formula1>
    </dataValidation>
    <dataValidation type="list" allowBlank="1" showInputMessage="1" showErrorMessage="1" sqref="F445">
      <formula1>"I, O, M, D, N"</formula1>
    </dataValidation>
    <dataValidation type="list" allowBlank="1" showInputMessage="1" showErrorMessage="1" sqref="G445">
      <formula1>"Y, N"</formula1>
    </dataValidation>
    <dataValidation type="list" allowBlank="1" showInputMessage="1" showErrorMessage="1" sqref="D446">
      <formula1>FDDValList</formula1>
    </dataValidation>
    <dataValidation type="list" allowBlank="1" showInputMessage="1" showErrorMessage="1" sqref="F446">
      <formula1>"I, O, M, D, N"</formula1>
    </dataValidation>
    <dataValidation type="list" allowBlank="1" showInputMessage="1" showErrorMessage="1" sqref="G446">
      <formula1>"Y, N"</formula1>
    </dataValidation>
    <dataValidation type="list" allowBlank="1" showInputMessage="1" showErrorMessage="1" sqref="D447">
      <formula1>FDDValList</formula1>
    </dataValidation>
    <dataValidation type="list" allowBlank="1" showInputMessage="1" showErrorMessage="1" sqref="F447">
      <formula1>"I, O, M, D, N"</formula1>
    </dataValidation>
    <dataValidation type="list" allowBlank="1" showInputMessage="1" showErrorMessage="1" sqref="G447">
      <formula1>"Y, N"</formula1>
    </dataValidation>
    <dataValidation type="list" allowBlank="1" showInputMessage="1" showErrorMessage="1" sqref="D448">
      <formula1>FDDValList</formula1>
    </dataValidation>
    <dataValidation type="list" allowBlank="1" showInputMessage="1" showErrorMessage="1" sqref="F448">
      <formula1>"I, O, M, D, N"</formula1>
    </dataValidation>
    <dataValidation type="list" allowBlank="1" showInputMessage="1" showErrorMessage="1" sqref="G448">
      <formula1>"Y, N"</formula1>
    </dataValidation>
    <dataValidation type="list" allowBlank="1" showInputMessage="1" showErrorMessage="1" sqref="D449">
      <formula1>FDDValList</formula1>
    </dataValidation>
    <dataValidation type="list" allowBlank="1" showInputMessage="1" showErrorMessage="1" sqref="F449">
      <formula1>"I, O, M, D, N"</formula1>
    </dataValidation>
    <dataValidation type="list" allowBlank="1" showInputMessage="1" showErrorMessage="1" sqref="G449">
      <formula1>"Y, N"</formula1>
    </dataValidation>
    <dataValidation type="list" allowBlank="1" showInputMessage="1" showErrorMessage="1" sqref="D450">
      <formula1>FDDValList</formula1>
    </dataValidation>
    <dataValidation type="list" allowBlank="1" showInputMessage="1" showErrorMessage="1" sqref="F450">
      <formula1>"I, O, M, D, N"</formula1>
    </dataValidation>
    <dataValidation type="list" allowBlank="1" showInputMessage="1" showErrorMessage="1" sqref="G450">
      <formula1>"Y, N"</formula1>
    </dataValidation>
    <dataValidation type="list" allowBlank="1" showInputMessage="1" showErrorMessage="1" sqref="D451">
      <formula1>FDDValList</formula1>
    </dataValidation>
    <dataValidation type="list" allowBlank="1" showInputMessage="1" showErrorMessage="1" sqref="F451">
      <formula1>"I, O, M, D, N"</formula1>
    </dataValidation>
    <dataValidation type="list" allowBlank="1" showInputMessage="1" showErrorMessage="1" sqref="G451">
      <formula1>"Y, N"</formula1>
    </dataValidation>
    <dataValidation type="list" allowBlank="1" showInputMessage="1" showErrorMessage="1" sqref="D452">
      <formula1>FDDValList</formula1>
    </dataValidation>
    <dataValidation type="list" allowBlank="1" showInputMessage="1" showErrorMessage="1" sqref="F452">
      <formula1>"I, O, M, D, N"</formula1>
    </dataValidation>
    <dataValidation type="list" allowBlank="1" showInputMessage="1" showErrorMessage="1" sqref="G452">
      <formula1>"Y, N"</formula1>
    </dataValidation>
    <dataValidation type="list" allowBlank="1" showInputMessage="1" showErrorMessage="1" sqref="D453">
      <formula1>FDDValList</formula1>
    </dataValidation>
    <dataValidation type="list" allowBlank="1" showInputMessage="1" showErrorMessage="1" sqref="F453">
      <formula1>"I, O, M, D, N"</formula1>
    </dataValidation>
    <dataValidation type="list" allowBlank="1" showInputMessage="1" showErrorMessage="1" sqref="G453">
      <formula1>"Y, N"</formula1>
    </dataValidation>
    <dataValidation type="list" allowBlank="1" showInputMessage="1" showErrorMessage="1" sqref="D454">
      <formula1>FDDValList</formula1>
    </dataValidation>
    <dataValidation type="list" allowBlank="1" showInputMessage="1" showErrorMessage="1" sqref="F454">
      <formula1>"I, O, M, D, N"</formula1>
    </dataValidation>
    <dataValidation type="list" allowBlank="1" showInputMessage="1" showErrorMessage="1" sqref="G454">
      <formula1>"Y, N"</formula1>
    </dataValidation>
    <dataValidation type="list" allowBlank="1" showInputMessage="1" showErrorMessage="1" sqref="D455">
      <formula1>FDDValList</formula1>
    </dataValidation>
    <dataValidation type="list" allowBlank="1" showInputMessage="1" showErrorMessage="1" sqref="F455">
      <formula1>"I, O, M, D, N"</formula1>
    </dataValidation>
    <dataValidation type="list" allowBlank="1" showInputMessage="1" showErrorMessage="1" sqref="G455">
      <formula1>"Y, N"</formula1>
    </dataValidation>
    <dataValidation type="list" allowBlank="1" showInputMessage="1" showErrorMessage="1" sqref="D456">
      <formula1>FDDValList</formula1>
    </dataValidation>
    <dataValidation type="list" allowBlank="1" showInputMessage="1" showErrorMessage="1" sqref="F456">
      <formula1>"I, O, M, D, N"</formula1>
    </dataValidation>
    <dataValidation type="list" allowBlank="1" showInputMessage="1" showErrorMessage="1" sqref="G456">
      <formula1>"Y, N"</formula1>
    </dataValidation>
    <dataValidation type="list" allowBlank="1" showInputMessage="1" showErrorMessage="1" sqref="D457">
      <formula1>FDDValList</formula1>
    </dataValidation>
    <dataValidation type="list" allowBlank="1" showInputMessage="1" showErrorMessage="1" sqref="F457">
      <formula1>"I, O, M, D, N"</formula1>
    </dataValidation>
    <dataValidation type="list" allowBlank="1" showInputMessage="1" showErrorMessage="1" sqref="G457">
      <formula1>"Y, N"</formula1>
    </dataValidation>
    <dataValidation type="list" allowBlank="1" showInputMessage="1" showErrorMessage="1" sqref="D458">
      <formula1>FDDValList</formula1>
    </dataValidation>
    <dataValidation type="list" allowBlank="1" showInputMessage="1" showErrorMessage="1" sqref="F458">
      <formula1>"I, O, M, D, N"</formula1>
    </dataValidation>
    <dataValidation type="list" allowBlank="1" showInputMessage="1" showErrorMessage="1" sqref="G458">
      <formula1>"Y, N"</formula1>
    </dataValidation>
    <dataValidation type="list" allowBlank="1" showInputMessage="1" showErrorMessage="1" sqref="D459">
      <formula1>FDDValList</formula1>
    </dataValidation>
    <dataValidation type="list" allowBlank="1" showInputMessage="1" showErrorMessage="1" sqref="F459">
      <formula1>"I, O, M, D, N"</formula1>
    </dataValidation>
    <dataValidation type="list" allowBlank="1" showInputMessage="1" showErrorMessage="1" sqref="G459">
      <formula1>"Y, N"</formula1>
    </dataValidation>
    <dataValidation type="list" allowBlank="1" showInputMessage="1" showErrorMessage="1" sqref="D460">
      <formula1>FDDValList</formula1>
    </dataValidation>
    <dataValidation type="list" allowBlank="1" showInputMessage="1" showErrorMessage="1" sqref="F460">
      <formula1>"I, O, M, D, N"</formula1>
    </dataValidation>
    <dataValidation type="list" allowBlank="1" showInputMessage="1" showErrorMessage="1" sqref="G460">
      <formula1>"Y, N"</formula1>
    </dataValidation>
    <dataValidation type="list" allowBlank="1" showInputMessage="1" showErrorMessage="1" sqref="D461">
      <formula1>FDDValList</formula1>
    </dataValidation>
    <dataValidation type="list" allowBlank="1" showInputMessage="1" showErrorMessage="1" sqref="F461">
      <formula1>"I, O, M, D, N"</formula1>
    </dataValidation>
    <dataValidation type="list" allowBlank="1" showInputMessage="1" showErrorMessage="1" sqref="G461">
      <formula1>"Y, N"</formula1>
    </dataValidation>
    <dataValidation type="list" allowBlank="1" showInputMessage="1" showErrorMessage="1" sqref="D462">
      <formula1>FDDValList</formula1>
    </dataValidation>
    <dataValidation type="list" allowBlank="1" showInputMessage="1" showErrorMessage="1" sqref="F462">
      <formula1>"I, O, M, D, N"</formula1>
    </dataValidation>
    <dataValidation type="list" allowBlank="1" showInputMessage="1" showErrorMessage="1" sqref="G462">
      <formula1>"Y, N"</formula1>
    </dataValidation>
    <dataValidation type="list" allowBlank="1" showInputMessage="1" showErrorMessage="1" sqref="D463">
      <formula1>FDDValList</formula1>
    </dataValidation>
    <dataValidation type="list" allowBlank="1" showInputMessage="1" showErrorMessage="1" sqref="F463">
      <formula1>"I, O, M, D, N"</formula1>
    </dataValidation>
    <dataValidation type="list" allowBlank="1" showInputMessage="1" showErrorMessage="1" sqref="G463">
      <formula1>"Y, N"</formula1>
    </dataValidation>
    <dataValidation type="list" allowBlank="1" showInputMessage="1" showErrorMessage="1" sqref="D464">
      <formula1>FDDValList</formula1>
    </dataValidation>
    <dataValidation type="list" allowBlank="1" showInputMessage="1" showErrorMessage="1" sqref="F464">
      <formula1>"I, O, M, D, N"</formula1>
    </dataValidation>
    <dataValidation type="list" allowBlank="1" showInputMessage="1" showErrorMessage="1" sqref="G464">
      <formula1>"Y, N"</formula1>
    </dataValidation>
    <dataValidation type="list" allowBlank="1" showInputMessage="1" showErrorMessage="1" sqref="D465">
      <formula1>FDDValList</formula1>
    </dataValidation>
    <dataValidation type="list" allowBlank="1" showInputMessage="1" showErrorMessage="1" sqref="F465">
      <formula1>"I, O, M, D, N"</formula1>
    </dataValidation>
    <dataValidation type="list" allowBlank="1" showInputMessage="1" showErrorMessage="1" sqref="G465">
      <formula1>"Y, N"</formula1>
    </dataValidation>
    <dataValidation type="list" allowBlank="1" showInputMessage="1" showErrorMessage="1" sqref="D466">
      <formula1>FDDValList</formula1>
    </dataValidation>
    <dataValidation type="list" allowBlank="1" showInputMessage="1" showErrorMessage="1" sqref="F466">
      <formula1>"I, O, M, D, N"</formula1>
    </dataValidation>
    <dataValidation type="list" allowBlank="1" showInputMessage="1" showErrorMessage="1" sqref="G466">
      <formula1>"Y, N"</formula1>
    </dataValidation>
    <dataValidation type="list" allowBlank="1" showInputMessage="1" showErrorMessage="1" sqref="D467">
      <formula1>FDDValList</formula1>
    </dataValidation>
    <dataValidation type="list" allowBlank="1" showInputMessage="1" showErrorMessage="1" sqref="F467">
      <formula1>"I, O, M, D, N"</formula1>
    </dataValidation>
    <dataValidation type="list" allowBlank="1" showInputMessage="1" showErrorMessage="1" sqref="G467">
      <formula1>"Y, N"</formula1>
    </dataValidation>
    <dataValidation type="list" allowBlank="1" showInputMessage="1" showErrorMessage="1" sqref="D468">
      <formula1>FDDValList</formula1>
    </dataValidation>
    <dataValidation type="list" allowBlank="1" showInputMessage="1" showErrorMessage="1" sqref="F468">
      <formula1>"I, O, M, D, N"</formula1>
    </dataValidation>
    <dataValidation type="list" allowBlank="1" showInputMessage="1" showErrorMessage="1" sqref="G468">
      <formula1>"Y, N"</formula1>
    </dataValidation>
    <dataValidation type="list" allowBlank="1" showInputMessage="1" showErrorMessage="1" sqref="D469">
      <formula1>FDDValList</formula1>
    </dataValidation>
    <dataValidation type="list" allowBlank="1" showInputMessage="1" showErrorMessage="1" sqref="F469">
      <formula1>"I, O, M, D, N"</formula1>
    </dataValidation>
    <dataValidation type="list" allowBlank="1" showInputMessage="1" showErrorMessage="1" sqref="G469">
      <formula1>"Y, N"</formula1>
    </dataValidation>
    <dataValidation type="list" allowBlank="1" showInputMessage="1" showErrorMessage="1" sqref="D470">
      <formula1>FDDValList</formula1>
    </dataValidation>
    <dataValidation type="list" allowBlank="1" showInputMessage="1" showErrorMessage="1" sqref="F470">
      <formula1>"I, O, M, D, N"</formula1>
    </dataValidation>
    <dataValidation type="list" allowBlank="1" showInputMessage="1" showErrorMessage="1" sqref="G470">
      <formula1>"Y, N"</formula1>
    </dataValidation>
    <dataValidation type="list" allowBlank="1" showInputMessage="1" showErrorMessage="1" sqref="D471">
      <formula1>FDDValList</formula1>
    </dataValidation>
    <dataValidation type="list" allowBlank="1" showInputMessage="1" showErrorMessage="1" sqref="F471">
      <formula1>"I, O, M, D, N"</formula1>
    </dataValidation>
    <dataValidation type="list" allowBlank="1" showInputMessage="1" showErrorMessage="1" sqref="G471">
      <formula1>"Y, N"</formula1>
    </dataValidation>
    <dataValidation type="list" allowBlank="1" showInputMessage="1" showErrorMessage="1" sqref="D472">
      <formula1>FDDValList</formula1>
    </dataValidation>
    <dataValidation type="list" allowBlank="1" showInputMessage="1" showErrorMessage="1" sqref="F472">
      <formula1>"I, O, M, D, N"</formula1>
    </dataValidation>
    <dataValidation type="list" allowBlank="1" showInputMessage="1" showErrorMessage="1" sqref="G472">
      <formula1>"Y, N"</formula1>
    </dataValidation>
    <dataValidation type="list" allowBlank="1" showInputMessage="1" showErrorMessage="1" sqref="D473">
      <formula1>FDDValList</formula1>
    </dataValidation>
    <dataValidation type="list" allowBlank="1" showInputMessage="1" showErrorMessage="1" sqref="F473">
      <formula1>"I, O, M, D, N"</formula1>
    </dataValidation>
    <dataValidation type="list" allowBlank="1" showInputMessage="1" showErrorMessage="1" sqref="G473">
      <formula1>"Y, N"</formula1>
    </dataValidation>
    <dataValidation type="list" allowBlank="1" showInputMessage="1" showErrorMessage="1" sqref="D474">
      <formula1>FDDValList</formula1>
    </dataValidation>
    <dataValidation type="list" allowBlank="1" showInputMessage="1" showErrorMessage="1" sqref="F474">
      <formula1>"I, O, M, D, N"</formula1>
    </dataValidation>
    <dataValidation type="list" allowBlank="1" showInputMessage="1" showErrorMessage="1" sqref="G474">
      <formula1>"Y, N"</formula1>
    </dataValidation>
    <dataValidation type="list" allowBlank="1" showInputMessage="1" showErrorMessage="1" sqref="D475">
      <formula1>FDDValList</formula1>
    </dataValidation>
    <dataValidation type="list" allowBlank="1" showInputMessage="1" showErrorMessage="1" sqref="F475">
      <formula1>"I, O, M, D, N"</formula1>
    </dataValidation>
    <dataValidation type="list" allowBlank="1" showInputMessage="1" showErrorMessage="1" sqref="G475">
      <formula1>"Y, N"</formula1>
    </dataValidation>
    <dataValidation type="list" allowBlank="1" showInputMessage="1" showErrorMessage="1" sqref="D476">
      <formula1>FDDValList</formula1>
    </dataValidation>
    <dataValidation type="list" allowBlank="1" showInputMessage="1" showErrorMessage="1" sqref="F476">
      <formula1>"I, O, M, D, N"</formula1>
    </dataValidation>
    <dataValidation type="list" allowBlank="1" showInputMessage="1" showErrorMessage="1" sqref="G476">
      <formula1>"Y, N"</formula1>
    </dataValidation>
    <dataValidation type="list" allowBlank="1" showInputMessage="1" showErrorMessage="1" sqref="D477">
      <formula1>FDDValList</formula1>
    </dataValidation>
    <dataValidation type="list" allowBlank="1" showInputMessage="1" showErrorMessage="1" sqref="F477">
      <formula1>"I, O, M, D, N"</formula1>
    </dataValidation>
    <dataValidation type="list" allowBlank="1" showInputMessage="1" showErrorMessage="1" sqref="G477">
      <formula1>"Y, N"</formula1>
    </dataValidation>
    <dataValidation type="list" allowBlank="1" showInputMessage="1" showErrorMessage="1" sqref="D478">
      <formula1>FDDValList</formula1>
    </dataValidation>
    <dataValidation type="list" allowBlank="1" showInputMessage="1" showErrorMessage="1" sqref="F478">
      <formula1>"I, O, M, D, N"</formula1>
    </dataValidation>
    <dataValidation type="list" allowBlank="1" showInputMessage="1" showErrorMessage="1" sqref="G478">
      <formula1>"Y, N"</formula1>
    </dataValidation>
    <dataValidation type="list" allowBlank="1" showInputMessage="1" showErrorMessage="1" sqref="D479">
      <formula1>FDDValList</formula1>
    </dataValidation>
    <dataValidation type="list" allowBlank="1" showInputMessage="1" showErrorMessage="1" sqref="F479">
      <formula1>"I, O, M, D, N"</formula1>
    </dataValidation>
    <dataValidation type="list" allowBlank="1" showInputMessage="1" showErrorMessage="1" sqref="G479">
      <formula1>"Y, N"</formula1>
    </dataValidation>
    <dataValidation type="list" allowBlank="1" showInputMessage="1" showErrorMessage="1" sqref="D480">
      <formula1>FDDValList</formula1>
    </dataValidation>
    <dataValidation type="list" allowBlank="1" showInputMessage="1" showErrorMessage="1" sqref="F480">
      <formula1>"I, O, M, D, N"</formula1>
    </dataValidation>
    <dataValidation type="list" allowBlank="1" showInputMessage="1" showErrorMessage="1" sqref="G480">
      <formula1>"Y, N"</formula1>
    </dataValidation>
    <dataValidation type="list" allowBlank="1" showInputMessage="1" showErrorMessage="1" sqref="D481">
      <formula1>FDDValList</formula1>
    </dataValidation>
    <dataValidation type="list" allowBlank="1" showInputMessage="1" showErrorMessage="1" sqref="F481">
      <formula1>"I, O, M, D, N"</formula1>
    </dataValidation>
    <dataValidation type="list" allowBlank="1" showInputMessage="1" showErrorMessage="1" sqref="G481">
      <formula1>"Y, N"</formula1>
    </dataValidation>
    <dataValidation type="list" allowBlank="1" showInputMessage="1" showErrorMessage="1" sqref="D482">
      <formula1>FDDValList</formula1>
    </dataValidation>
    <dataValidation type="list" allowBlank="1" showInputMessage="1" showErrorMessage="1" sqref="F482">
      <formula1>"I, O, M, D, N"</formula1>
    </dataValidation>
    <dataValidation type="list" allowBlank="1" showInputMessage="1" showErrorMessage="1" sqref="G482">
      <formula1>"Y, N"</formula1>
    </dataValidation>
    <dataValidation type="list" allowBlank="1" showInputMessage="1" showErrorMessage="1" sqref="D483">
      <formula1>FDDValList</formula1>
    </dataValidation>
    <dataValidation type="list" allowBlank="1" showInputMessage="1" showErrorMessage="1" sqref="F483">
      <formula1>"I, O, M, D, N"</formula1>
    </dataValidation>
    <dataValidation type="list" allowBlank="1" showInputMessage="1" showErrorMessage="1" sqref="G483">
      <formula1>"Y, N"</formula1>
    </dataValidation>
    <dataValidation type="list" allowBlank="1" showInputMessage="1" showErrorMessage="1" sqref="D484">
      <formula1>FDDValList</formula1>
    </dataValidation>
    <dataValidation type="list" allowBlank="1" showInputMessage="1" showErrorMessage="1" sqref="F484">
      <formula1>"I, O, M, D, N"</formula1>
    </dataValidation>
    <dataValidation type="list" allowBlank="1" showInputMessage="1" showErrorMessage="1" sqref="G484">
      <formula1>"Y, N"</formula1>
    </dataValidation>
    <dataValidation type="list" allowBlank="1" showInputMessage="1" showErrorMessage="1" sqref="D485">
      <formula1>FDDValList</formula1>
    </dataValidation>
    <dataValidation type="list" allowBlank="1" showInputMessage="1" showErrorMessage="1" sqref="F485">
      <formula1>"I, O, M, D, N"</formula1>
    </dataValidation>
    <dataValidation type="list" allowBlank="1" showInputMessage="1" showErrorMessage="1" sqref="G485">
      <formula1>"Y, N"</formula1>
    </dataValidation>
    <dataValidation type="list" allowBlank="1" showInputMessage="1" showErrorMessage="1" sqref="D486">
      <formula1>FDDValList</formula1>
    </dataValidation>
    <dataValidation type="list" allowBlank="1" showInputMessage="1" showErrorMessage="1" sqref="F486">
      <formula1>"I, O, M, D, N"</formula1>
    </dataValidation>
    <dataValidation type="list" allowBlank="1" showInputMessage="1" showErrorMessage="1" sqref="G486">
      <formula1>"Y, N"</formula1>
    </dataValidation>
    <dataValidation type="list" allowBlank="1" showInputMessage="1" showErrorMessage="1" sqref="D487">
      <formula1>FDDValList</formula1>
    </dataValidation>
    <dataValidation type="list" allowBlank="1" showInputMessage="1" showErrorMessage="1" sqref="F487">
      <formula1>"I, O, M, D, N"</formula1>
    </dataValidation>
    <dataValidation type="list" allowBlank="1" showInputMessage="1" showErrorMessage="1" sqref="G487">
      <formula1>"Y, N"</formula1>
    </dataValidation>
    <dataValidation type="list" allowBlank="1" showInputMessage="1" showErrorMessage="1" sqref="D488">
      <formula1>FDDValList</formula1>
    </dataValidation>
    <dataValidation type="list" allowBlank="1" showInputMessage="1" showErrorMessage="1" sqref="F488">
      <formula1>"I, O, M, D, N"</formula1>
    </dataValidation>
    <dataValidation type="list" allowBlank="1" showInputMessage="1" showErrorMessage="1" sqref="G488">
      <formula1>"Y, N"</formula1>
    </dataValidation>
    <dataValidation type="list" allowBlank="1" showInputMessage="1" showErrorMessage="1" sqref="D489">
      <formula1>FDDValList</formula1>
    </dataValidation>
    <dataValidation type="list" allowBlank="1" showInputMessage="1" showErrorMessage="1" sqref="F489">
      <formula1>"I, O, M, D, N"</formula1>
    </dataValidation>
    <dataValidation type="list" allowBlank="1" showInputMessage="1" showErrorMessage="1" sqref="G489">
      <formula1>"Y, N"</formula1>
    </dataValidation>
    <dataValidation type="list" allowBlank="1" showInputMessage="1" showErrorMessage="1" sqref="D490">
      <formula1>FDDValList</formula1>
    </dataValidation>
    <dataValidation type="list" allowBlank="1" showInputMessage="1" showErrorMessage="1" sqref="F490">
      <formula1>"I, O, M, D, N"</formula1>
    </dataValidation>
    <dataValidation type="list" allowBlank="1" showInputMessage="1" showErrorMessage="1" sqref="G490">
      <formula1>"Y, N"</formula1>
    </dataValidation>
    <dataValidation type="list" allowBlank="1" showInputMessage="1" showErrorMessage="1" sqref="D491">
      <formula1>FDDValList</formula1>
    </dataValidation>
    <dataValidation type="list" allowBlank="1" showInputMessage="1" showErrorMessage="1" sqref="F491">
      <formula1>"I, O, M, D, N"</formula1>
    </dataValidation>
    <dataValidation type="list" allowBlank="1" showInputMessage="1" showErrorMessage="1" sqref="G491">
      <formula1>"Y, N"</formula1>
    </dataValidation>
    <dataValidation type="list" allowBlank="1" showInputMessage="1" showErrorMessage="1" sqref="D492">
      <formula1>FDDValList</formula1>
    </dataValidation>
    <dataValidation type="list" allowBlank="1" showInputMessage="1" showErrorMessage="1" sqref="F492">
      <formula1>"I, O, M, D, N"</formula1>
    </dataValidation>
    <dataValidation type="list" allowBlank="1" showInputMessage="1" showErrorMessage="1" sqref="G492">
      <formula1>"Y, N"</formula1>
    </dataValidation>
    <dataValidation type="list" allowBlank="1" showInputMessage="1" showErrorMessage="1" sqref="D493">
      <formula1>FDDValList</formula1>
    </dataValidation>
    <dataValidation type="list" allowBlank="1" showInputMessage="1" showErrorMessage="1" sqref="F493">
      <formula1>"I, O, M, D, N"</formula1>
    </dataValidation>
    <dataValidation type="list" allowBlank="1" showInputMessage="1" showErrorMessage="1" sqref="G493">
      <formula1>"Y, N"</formula1>
    </dataValidation>
    <dataValidation type="list" allowBlank="1" showInputMessage="1" showErrorMessage="1" sqref="D494">
      <formula1>FDDValList</formula1>
    </dataValidation>
    <dataValidation type="list" allowBlank="1" showInputMessage="1" showErrorMessage="1" sqref="F494">
      <formula1>"I, O, M, D, N"</formula1>
    </dataValidation>
    <dataValidation type="list" allowBlank="1" showInputMessage="1" showErrorMessage="1" sqref="G494">
      <formula1>"Y, N"</formula1>
    </dataValidation>
    <dataValidation type="list" allowBlank="1" showInputMessage="1" showErrorMessage="1" sqref="D495">
      <formula1>FDDValList</formula1>
    </dataValidation>
    <dataValidation type="list" allowBlank="1" showInputMessage="1" showErrorMessage="1" sqref="F495">
      <formula1>"I, O, M, D, N"</formula1>
    </dataValidation>
    <dataValidation type="list" allowBlank="1" showInputMessage="1" showErrorMessage="1" sqref="G495">
      <formula1>"Y, N"</formula1>
    </dataValidation>
    <dataValidation type="list" allowBlank="1" showInputMessage="1" showErrorMessage="1" sqref="D496">
      <formula1>FDDValList</formula1>
    </dataValidation>
    <dataValidation type="list" allowBlank="1" showInputMessage="1" showErrorMessage="1" sqref="F496">
      <formula1>"I, O, M, D, N"</formula1>
    </dataValidation>
    <dataValidation type="list" allowBlank="1" showInputMessage="1" showErrorMessage="1" sqref="G496">
      <formula1>"Y, N"</formula1>
    </dataValidation>
    <dataValidation type="list" allowBlank="1" showInputMessage="1" showErrorMessage="1" sqref="D497">
      <formula1>FDDValList</formula1>
    </dataValidation>
    <dataValidation type="list" allowBlank="1" showInputMessage="1" showErrorMessage="1" sqref="F497">
      <formula1>"I, O, M, D, N"</formula1>
    </dataValidation>
    <dataValidation type="list" allowBlank="1" showInputMessage="1" showErrorMessage="1" sqref="G497">
      <formula1>"Y, N"</formula1>
    </dataValidation>
    <dataValidation type="list" allowBlank="1" showInputMessage="1" showErrorMessage="1" sqref="D498">
      <formula1>FDDValList</formula1>
    </dataValidation>
    <dataValidation type="list" allowBlank="1" showInputMessage="1" showErrorMessage="1" sqref="F498">
      <formula1>"I, O, M, D, N"</formula1>
    </dataValidation>
    <dataValidation type="list" allowBlank="1" showInputMessage="1" showErrorMessage="1" sqref="G498">
      <formula1>"Y, N"</formula1>
    </dataValidation>
    <dataValidation type="list" allowBlank="1" showInputMessage="1" showErrorMessage="1" sqref="D499">
      <formula1>FDDValList</formula1>
    </dataValidation>
    <dataValidation type="list" allowBlank="1" showInputMessage="1" showErrorMessage="1" sqref="F499">
      <formula1>"I, O, M, D, N"</formula1>
    </dataValidation>
    <dataValidation type="list" allowBlank="1" showInputMessage="1" showErrorMessage="1" sqref="G499">
      <formula1>"Y, N"</formula1>
    </dataValidation>
    <dataValidation type="list" allowBlank="1" showInputMessage="1" showErrorMessage="1" sqref="D500">
      <formula1>FDDValList</formula1>
    </dataValidation>
    <dataValidation type="list" allowBlank="1" showInputMessage="1" showErrorMessage="1" sqref="F500">
      <formula1>"I, O, M, D, N"</formula1>
    </dataValidation>
    <dataValidation type="list" allowBlank="1" showInputMessage="1" showErrorMessage="1" sqref="G500">
      <formula1>"Y, N"</formula1>
    </dataValidation>
    <dataValidation type="list" allowBlank="1" showInputMessage="1" showErrorMessage="1" sqref="D501">
      <formula1>FDDValList</formula1>
    </dataValidation>
    <dataValidation type="list" allowBlank="1" showInputMessage="1" showErrorMessage="1" sqref="F501">
      <formula1>"I, O, M, D, N"</formula1>
    </dataValidation>
    <dataValidation type="list" allowBlank="1" showInputMessage="1" showErrorMessage="1" sqref="G501">
      <formula1>"Y, N"</formula1>
    </dataValidation>
    <dataValidation type="list" allowBlank="1" showInputMessage="1" showErrorMessage="1" sqref="D502">
      <formula1>FDDValList</formula1>
    </dataValidation>
    <dataValidation type="list" allowBlank="1" showInputMessage="1" showErrorMessage="1" sqref="F502">
      <formula1>"I, O, M, D, N"</formula1>
    </dataValidation>
    <dataValidation type="list" allowBlank="1" showInputMessage="1" showErrorMessage="1" sqref="G502">
      <formula1>"Y, N"</formula1>
    </dataValidation>
    <dataValidation type="list" allowBlank="1" showInputMessage="1" showErrorMessage="1" sqref="D503">
      <formula1>FDDValList</formula1>
    </dataValidation>
    <dataValidation type="list" allowBlank="1" showInputMessage="1" showErrorMessage="1" sqref="F503">
      <formula1>"I, O, M, D, N"</formula1>
    </dataValidation>
    <dataValidation type="list" allowBlank="1" showInputMessage="1" showErrorMessage="1" sqref="G503">
      <formula1>"Y, N"</formula1>
    </dataValidation>
    <dataValidation type="list" allowBlank="1" showInputMessage="1" showErrorMessage="1" sqref="D504">
      <formula1>FDDValList</formula1>
    </dataValidation>
    <dataValidation type="list" allowBlank="1" showInputMessage="1" showErrorMessage="1" sqref="F504">
      <formula1>"I, O, M, D, N"</formula1>
    </dataValidation>
    <dataValidation type="list" allowBlank="1" showInputMessage="1" showErrorMessage="1" sqref="G504">
      <formula1>"Y, N"</formula1>
    </dataValidation>
    <dataValidation type="list" allowBlank="1" showInputMessage="1" showErrorMessage="1" sqref="D505">
      <formula1>FDDValList</formula1>
    </dataValidation>
    <dataValidation type="list" allowBlank="1" showInputMessage="1" showErrorMessage="1" sqref="F505">
      <formula1>"I, O, M, D, N"</formula1>
    </dataValidation>
    <dataValidation type="list" allowBlank="1" showInputMessage="1" showErrorMessage="1" sqref="G505">
      <formula1>"Y, N"</formula1>
    </dataValidation>
    <dataValidation type="list" allowBlank="1" showInputMessage="1" showErrorMessage="1" sqref="D506">
      <formula1>FDDValList</formula1>
    </dataValidation>
    <dataValidation type="list" allowBlank="1" showInputMessage="1" showErrorMessage="1" sqref="F506">
      <formula1>"I, O, M, D, N"</formula1>
    </dataValidation>
    <dataValidation type="list" allowBlank="1" showInputMessage="1" showErrorMessage="1" sqref="G506">
      <formula1>"Y, N"</formula1>
    </dataValidation>
    <dataValidation type="list" allowBlank="1" showInputMessage="1" showErrorMessage="1" sqref="D507">
      <formula1>FDDValList</formula1>
    </dataValidation>
    <dataValidation type="list" allowBlank="1" showInputMessage="1" showErrorMessage="1" sqref="F507">
      <formula1>"I, O, M, D, N"</formula1>
    </dataValidation>
    <dataValidation type="list" allowBlank="1" showInputMessage="1" showErrorMessage="1" sqref="G507">
      <formula1>"Y, N"</formula1>
    </dataValidation>
    <dataValidation type="list" allowBlank="1" showInputMessage="1" showErrorMessage="1" sqref="D508">
      <formula1>FDDValList</formula1>
    </dataValidation>
    <dataValidation type="list" allowBlank="1" showInputMessage="1" showErrorMessage="1" sqref="F508">
      <formula1>"I, O, M, D, N"</formula1>
    </dataValidation>
    <dataValidation type="list" allowBlank="1" showInputMessage="1" showErrorMessage="1" sqref="G508">
      <formula1>"Y, N"</formula1>
    </dataValidation>
    <dataValidation type="list" allowBlank="1" showInputMessage="1" showErrorMessage="1" sqref="D509">
      <formula1>FDDValList</formula1>
    </dataValidation>
    <dataValidation type="list" allowBlank="1" showInputMessage="1" showErrorMessage="1" sqref="F509">
      <formula1>"I, O, M, D, N"</formula1>
    </dataValidation>
    <dataValidation type="list" allowBlank="1" showInputMessage="1" showErrorMessage="1" sqref="G509">
      <formula1>"Y, N"</formula1>
    </dataValidation>
    <dataValidation type="list" allowBlank="1" showInputMessage="1" showErrorMessage="1" sqref="D510">
      <formula1>FDDValList</formula1>
    </dataValidation>
    <dataValidation type="list" allowBlank="1" showInputMessage="1" showErrorMessage="1" sqref="F510">
      <formula1>"I, O, M, D, N"</formula1>
    </dataValidation>
    <dataValidation type="list" allowBlank="1" showInputMessage="1" showErrorMessage="1" sqref="G510">
      <formula1>"Y, N"</formula1>
    </dataValidation>
    <dataValidation type="list" allowBlank="1" showInputMessage="1" showErrorMessage="1" sqref="D511">
      <formula1>FDDValList</formula1>
    </dataValidation>
    <dataValidation type="list" allowBlank="1" showInputMessage="1" showErrorMessage="1" sqref="F511">
      <formula1>"I, O, M, D, N"</formula1>
    </dataValidation>
    <dataValidation type="list" allowBlank="1" showInputMessage="1" showErrorMessage="1" sqref="G511">
      <formula1>"Y, N"</formula1>
    </dataValidation>
    <dataValidation type="list" allowBlank="1" showInputMessage="1" showErrorMessage="1" sqref="D512">
      <formula1>FDDValList</formula1>
    </dataValidation>
    <dataValidation type="list" allowBlank="1" showInputMessage="1" showErrorMessage="1" sqref="F512">
      <formula1>"I, O, M, D, N"</formula1>
    </dataValidation>
    <dataValidation type="list" allowBlank="1" showInputMessage="1" showErrorMessage="1" sqref="G512">
      <formula1>"Y, N"</formula1>
    </dataValidation>
    <dataValidation type="list" allowBlank="1" showInputMessage="1" showErrorMessage="1" sqref="D513">
      <formula1>FDDValList</formula1>
    </dataValidation>
    <dataValidation type="list" allowBlank="1" showInputMessage="1" showErrorMessage="1" sqref="F513">
      <formula1>"I, O, M, D, N"</formula1>
    </dataValidation>
    <dataValidation type="list" allowBlank="1" showInputMessage="1" showErrorMessage="1" sqref="G513">
      <formula1>"Y, N"</formula1>
    </dataValidation>
    <dataValidation type="list" allowBlank="1" showInputMessage="1" showErrorMessage="1" sqref="D514">
      <formula1>FDDValList</formula1>
    </dataValidation>
    <dataValidation type="list" allowBlank="1" showInputMessage="1" showErrorMessage="1" sqref="F514">
      <formula1>"I, O, M, D, N"</formula1>
    </dataValidation>
    <dataValidation type="list" allowBlank="1" showInputMessage="1" showErrorMessage="1" sqref="G514">
      <formula1>"Y, N"</formula1>
    </dataValidation>
    <dataValidation type="list" allowBlank="1" showInputMessage="1" showErrorMessage="1" sqref="D515">
      <formula1>FDDValList</formula1>
    </dataValidation>
    <dataValidation type="list" allowBlank="1" showInputMessage="1" showErrorMessage="1" sqref="F515">
      <formula1>"I, O, M, D, N"</formula1>
    </dataValidation>
    <dataValidation type="list" allowBlank="1" showInputMessage="1" showErrorMessage="1" sqref="G515">
      <formula1>"Y, N"</formula1>
    </dataValidation>
    <dataValidation type="list" allowBlank="1" showInputMessage="1" showErrorMessage="1" sqref="D516">
      <formula1>FDDValList</formula1>
    </dataValidation>
    <dataValidation type="list" allowBlank="1" showInputMessage="1" showErrorMessage="1" sqref="F516">
      <formula1>"I, O, M, D, N"</formula1>
    </dataValidation>
    <dataValidation type="list" allowBlank="1" showInputMessage="1" showErrorMessage="1" sqref="G516">
      <formula1>"Y, N"</formula1>
    </dataValidation>
    <dataValidation type="list" allowBlank="1" showInputMessage="1" showErrorMessage="1" sqref="D517">
      <formula1>FDDValList</formula1>
    </dataValidation>
    <dataValidation type="list" allowBlank="1" showInputMessage="1" showErrorMessage="1" sqref="F517">
      <formula1>"I, O, M, D, N"</formula1>
    </dataValidation>
    <dataValidation type="list" allowBlank="1" showInputMessage="1" showErrorMessage="1" sqref="G517">
      <formula1>"Y, N"</formula1>
    </dataValidation>
    <dataValidation type="list" allowBlank="1" showInputMessage="1" showErrorMessage="1" sqref="D518">
      <formula1>FDDValList</formula1>
    </dataValidation>
    <dataValidation type="list" allowBlank="1" showInputMessage="1" showErrorMessage="1" sqref="F518">
      <formula1>"I, O, M, D, N"</formula1>
    </dataValidation>
    <dataValidation type="list" allowBlank="1" showInputMessage="1" showErrorMessage="1" sqref="G518">
      <formula1>"Y, N"</formula1>
    </dataValidation>
    <dataValidation type="list" allowBlank="1" showInputMessage="1" showErrorMessage="1" sqref="D519">
      <formula1>FDDValList</formula1>
    </dataValidation>
    <dataValidation type="list" allowBlank="1" showInputMessage="1" showErrorMessage="1" sqref="F519">
      <formula1>"I, O, M, D, N"</formula1>
    </dataValidation>
    <dataValidation type="list" allowBlank="1" showInputMessage="1" showErrorMessage="1" sqref="G519">
      <formula1>"Y, N"</formula1>
    </dataValidation>
    <dataValidation type="list" allowBlank="1" showInputMessage="1" showErrorMessage="1" sqref="D520">
      <formula1>FDDValList</formula1>
    </dataValidation>
    <dataValidation type="list" allowBlank="1" showInputMessage="1" showErrorMessage="1" sqref="F520">
      <formula1>"I, O, M, D, N"</formula1>
    </dataValidation>
    <dataValidation type="list" allowBlank="1" showInputMessage="1" showErrorMessage="1" sqref="G520">
      <formula1>"Y, N"</formula1>
    </dataValidation>
    <dataValidation type="list" allowBlank="1" showInputMessage="1" showErrorMessage="1" sqref="D521">
      <formula1>FDDValList</formula1>
    </dataValidation>
    <dataValidation type="list" allowBlank="1" showInputMessage="1" showErrorMessage="1" sqref="F521">
      <formula1>"I, O, M, D, N"</formula1>
    </dataValidation>
    <dataValidation type="list" allowBlank="1" showInputMessage="1" showErrorMessage="1" sqref="G521">
      <formula1>"Y, N"</formula1>
    </dataValidation>
    <dataValidation type="list" allowBlank="1" showInputMessage="1" showErrorMessage="1" sqref="D522">
      <formula1>FDDValList</formula1>
    </dataValidation>
    <dataValidation type="list" allowBlank="1" showInputMessage="1" showErrorMessage="1" sqref="F522">
      <formula1>"I, O, M, D, N"</formula1>
    </dataValidation>
    <dataValidation type="list" allowBlank="1" showInputMessage="1" showErrorMessage="1" sqref="G522">
      <formula1>"Y, N"</formula1>
    </dataValidation>
    <dataValidation type="list" allowBlank="1" showInputMessage="1" showErrorMessage="1" sqref="D523">
      <formula1>FDDValList</formula1>
    </dataValidation>
    <dataValidation type="list" allowBlank="1" showInputMessage="1" showErrorMessage="1" sqref="F523">
      <formula1>"I, O, M, D, N"</formula1>
    </dataValidation>
    <dataValidation type="list" allowBlank="1" showInputMessage="1" showErrorMessage="1" sqref="G523">
      <formula1>"Y, N"</formula1>
    </dataValidation>
    <dataValidation type="list" allowBlank="1" showInputMessage="1" showErrorMessage="1" sqref="D524">
      <formula1>FDDValList</formula1>
    </dataValidation>
    <dataValidation type="list" allowBlank="1" showInputMessage="1" showErrorMessage="1" sqref="F524">
      <formula1>"I, O, M, D, N"</formula1>
    </dataValidation>
    <dataValidation type="list" allowBlank="1" showInputMessage="1" showErrorMessage="1" sqref="G524">
      <formula1>"Y, N"</formula1>
    </dataValidation>
    <dataValidation type="list" allowBlank="1" showInputMessage="1" showErrorMessage="1" sqref="D525">
      <formula1>FDDValList</formula1>
    </dataValidation>
    <dataValidation type="list" allowBlank="1" showInputMessage="1" showErrorMessage="1" sqref="F525">
      <formula1>"I, O, M, D, N"</formula1>
    </dataValidation>
    <dataValidation type="list" allowBlank="1" showInputMessage="1" showErrorMessage="1" sqref="G525">
      <formula1>"Y, N"</formula1>
    </dataValidation>
    <dataValidation type="list" allowBlank="1" showInputMessage="1" showErrorMessage="1" sqref="D526">
      <formula1>FDDValList</formula1>
    </dataValidation>
    <dataValidation type="list" allowBlank="1" showInputMessage="1" showErrorMessage="1" sqref="F526">
      <formula1>"I, O, M, D, N"</formula1>
    </dataValidation>
    <dataValidation type="list" allowBlank="1" showInputMessage="1" showErrorMessage="1" sqref="G526">
      <formula1>"Y, N"</formula1>
    </dataValidation>
    <dataValidation type="list" allowBlank="1" showInputMessage="1" showErrorMessage="1" sqref="D527">
      <formula1>FDDValList</formula1>
    </dataValidation>
    <dataValidation type="list" allowBlank="1" showInputMessage="1" showErrorMessage="1" sqref="F527">
      <formula1>"I, O, M, D, N"</formula1>
    </dataValidation>
    <dataValidation type="list" allowBlank="1" showInputMessage="1" showErrorMessage="1" sqref="G527">
      <formula1>"Y, N"</formula1>
    </dataValidation>
    <dataValidation type="list" allowBlank="1" showInputMessage="1" showErrorMessage="1" sqref="D528">
      <formula1>FDDValList</formula1>
    </dataValidation>
    <dataValidation type="list" allowBlank="1" showInputMessage="1" showErrorMessage="1" sqref="F528">
      <formula1>"I, O, M, D, N"</formula1>
    </dataValidation>
    <dataValidation type="list" allowBlank="1" showInputMessage="1" showErrorMessage="1" sqref="G528">
      <formula1>"Y, N"</formula1>
    </dataValidation>
    <dataValidation type="list" allowBlank="1" showInputMessage="1" showErrorMessage="1" sqref="D529">
      <formula1>FDDValList</formula1>
    </dataValidation>
    <dataValidation type="list" allowBlank="1" showInputMessage="1" showErrorMessage="1" sqref="F529">
      <formula1>"I, O, M, D, N"</formula1>
    </dataValidation>
    <dataValidation type="list" allowBlank="1" showInputMessage="1" showErrorMessage="1" sqref="G529">
      <formula1>"Y, N"</formula1>
    </dataValidation>
    <dataValidation type="list" allowBlank="1" showInputMessage="1" showErrorMessage="1" sqref="D530">
      <formula1>FDDValList</formula1>
    </dataValidation>
    <dataValidation type="list" allowBlank="1" showInputMessage="1" showErrorMessage="1" sqref="F530">
      <formula1>"I, O, M, D, N"</formula1>
    </dataValidation>
    <dataValidation type="list" allowBlank="1" showInputMessage="1" showErrorMessage="1" sqref="G530">
      <formula1>"Y, N"</formula1>
    </dataValidation>
    <dataValidation type="list" allowBlank="1" showInputMessage="1" showErrorMessage="1" sqref="D531">
      <formula1>FDDValList</formula1>
    </dataValidation>
    <dataValidation type="list" allowBlank="1" showInputMessage="1" showErrorMessage="1" sqref="F531">
      <formula1>"I, O, M, D, N"</formula1>
    </dataValidation>
    <dataValidation type="list" allowBlank="1" showInputMessage="1" showErrorMessage="1" sqref="G531">
      <formula1>"Y, N"</formula1>
    </dataValidation>
    <dataValidation type="list" allowBlank="1" showInputMessage="1" showErrorMessage="1" sqref="D532">
      <formula1>FDDValList</formula1>
    </dataValidation>
    <dataValidation type="list" allowBlank="1" showInputMessage="1" showErrorMessage="1" sqref="F532">
      <formula1>"I, O, M, D, N"</formula1>
    </dataValidation>
    <dataValidation type="list" allowBlank="1" showInputMessage="1" showErrorMessage="1" sqref="G532">
      <formula1>"Y, N"</formula1>
    </dataValidation>
    <dataValidation type="list" allowBlank="1" showInputMessage="1" showErrorMessage="1" sqref="D533">
      <formula1>FDDValList</formula1>
    </dataValidation>
    <dataValidation type="list" allowBlank="1" showInputMessage="1" showErrorMessage="1" sqref="F533">
      <formula1>"I, O, M, D, N"</formula1>
    </dataValidation>
    <dataValidation type="list" allowBlank="1" showInputMessage="1" showErrorMessage="1" sqref="G533">
      <formula1>"Y, N"</formula1>
    </dataValidation>
    <dataValidation type="list" allowBlank="1" showInputMessage="1" showErrorMessage="1" sqref="D534">
      <formula1>FDDValList</formula1>
    </dataValidation>
    <dataValidation type="list" allowBlank="1" showInputMessage="1" showErrorMessage="1" sqref="F534">
      <formula1>"I, O, M, D, N"</formula1>
    </dataValidation>
    <dataValidation type="list" allowBlank="1" showInputMessage="1" showErrorMessage="1" sqref="G534">
      <formula1>"Y, N"</formula1>
    </dataValidation>
    <dataValidation type="list" allowBlank="1" showInputMessage="1" showErrorMessage="1" sqref="D535">
      <formula1>FDDValList</formula1>
    </dataValidation>
    <dataValidation type="list" allowBlank="1" showInputMessage="1" showErrorMessage="1" sqref="F535">
      <formula1>"I, O, M, D, N"</formula1>
    </dataValidation>
    <dataValidation type="list" allowBlank="1" showInputMessage="1" showErrorMessage="1" sqref="G535">
      <formula1>"Y, N"</formula1>
    </dataValidation>
    <dataValidation type="list" allowBlank="1" showInputMessage="1" showErrorMessage="1" sqref="D536">
      <formula1>FDDValList</formula1>
    </dataValidation>
    <dataValidation type="list" allowBlank="1" showInputMessage="1" showErrorMessage="1" sqref="F536">
      <formula1>"I, O, M, D, N"</formula1>
    </dataValidation>
    <dataValidation type="list" allowBlank="1" showInputMessage="1" showErrorMessage="1" sqref="G536">
      <formula1>"Y, N"</formula1>
    </dataValidation>
    <dataValidation type="list" allowBlank="1" showInputMessage="1" showErrorMessage="1" sqref="D537">
      <formula1>FDDValList</formula1>
    </dataValidation>
    <dataValidation type="list" allowBlank="1" showInputMessage="1" showErrorMessage="1" sqref="F537">
      <formula1>"I, O, M, D, N"</formula1>
    </dataValidation>
    <dataValidation type="list" allowBlank="1" showInputMessage="1" showErrorMessage="1" sqref="G537">
      <formula1>"Y, N"</formula1>
    </dataValidation>
    <dataValidation type="list" allowBlank="1" showInputMessage="1" showErrorMessage="1" sqref="D538">
      <formula1>FDDValList</formula1>
    </dataValidation>
    <dataValidation type="list" allowBlank="1" showInputMessage="1" showErrorMessage="1" sqref="F538">
      <formula1>"I, O, M, D, N"</formula1>
    </dataValidation>
    <dataValidation type="list" allowBlank="1" showInputMessage="1" showErrorMessage="1" sqref="G538">
      <formula1>"Y, N"</formula1>
    </dataValidation>
    <dataValidation type="list" allowBlank="1" showInputMessage="1" showErrorMessage="1" sqref="D539">
      <formula1>FDDValList</formula1>
    </dataValidation>
    <dataValidation type="list" allowBlank="1" showInputMessage="1" showErrorMessage="1" sqref="F539">
      <formula1>"I, O, M, D, N"</formula1>
    </dataValidation>
    <dataValidation type="list" allowBlank="1" showInputMessage="1" showErrorMessage="1" sqref="G539">
      <formula1>"Y, N"</formula1>
    </dataValidation>
    <dataValidation type="list" allowBlank="1" showInputMessage="1" showErrorMessage="1" sqref="D540">
      <formula1>FDDValList</formula1>
    </dataValidation>
    <dataValidation type="list" allowBlank="1" showInputMessage="1" showErrorMessage="1" sqref="F540">
      <formula1>"I, O, M, D, N"</formula1>
    </dataValidation>
    <dataValidation type="list" allowBlank="1" showInputMessage="1" showErrorMessage="1" sqref="G540">
      <formula1>"Y, N"</formula1>
    </dataValidation>
    <dataValidation type="list" allowBlank="1" showInputMessage="1" showErrorMessage="1" sqref="D541">
      <formula1>FDDValList</formula1>
    </dataValidation>
    <dataValidation type="list" allowBlank="1" showInputMessage="1" showErrorMessage="1" sqref="F541">
      <formula1>"I, O, M, D, N"</formula1>
    </dataValidation>
    <dataValidation type="list" allowBlank="1" showInputMessage="1" showErrorMessage="1" sqref="G541">
      <formula1>"Y, N"</formula1>
    </dataValidation>
    <dataValidation type="list" allowBlank="1" showInputMessage="1" showErrorMessage="1" sqref="D542">
      <formula1>FDDValList</formula1>
    </dataValidation>
    <dataValidation type="list" allowBlank="1" showInputMessage="1" showErrorMessage="1" sqref="F542">
      <formula1>"I, O, M, D, N"</formula1>
    </dataValidation>
    <dataValidation type="list" allowBlank="1" showInputMessage="1" showErrorMessage="1" sqref="G542">
      <formula1>"Y, N"</formula1>
    </dataValidation>
    <dataValidation type="list" allowBlank="1" showInputMessage="1" showErrorMessage="1" sqref="D543">
      <formula1>FDDValList</formula1>
    </dataValidation>
    <dataValidation type="list" allowBlank="1" showInputMessage="1" showErrorMessage="1" sqref="F543">
      <formula1>"I, O, M, D, N"</formula1>
    </dataValidation>
    <dataValidation type="list" allowBlank="1" showInputMessage="1" showErrorMessage="1" sqref="G543">
      <formula1>"Y, N"</formula1>
    </dataValidation>
    <dataValidation type="list" allowBlank="1" showInputMessage="1" showErrorMessage="1" sqref="D544">
      <formula1>FDDValList</formula1>
    </dataValidation>
    <dataValidation type="list" allowBlank="1" showInputMessage="1" showErrorMessage="1" sqref="F544">
      <formula1>"I, O, M, D, N"</formula1>
    </dataValidation>
    <dataValidation type="list" allowBlank="1" showInputMessage="1" showErrorMessage="1" sqref="G544">
      <formula1>"Y, N"</formula1>
    </dataValidation>
    <dataValidation type="list" allowBlank="1" showInputMessage="1" showErrorMessage="1" sqref="D545">
      <formula1>FDDValList</formula1>
    </dataValidation>
    <dataValidation type="list" allowBlank="1" showInputMessage="1" showErrorMessage="1" sqref="F545">
      <formula1>"I, O, M, D, N"</formula1>
    </dataValidation>
    <dataValidation type="list" allowBlank="1" showInputMessage="1" showErrorMessage="1" sqref="G545">
      <formula1>"Y, N"</formula1>
    </dataValidation>
    <dataValidation type="list" allowBlank="1" showInputMessage="1" showErrorMessage="1" sqref="D546">
      <formula1>FDDValList</formula1>
    </dataValidation>
    <dataValidation type="list" allowBlank="1" showInputMessage="1" showErrorMessage="1" sqref="F546">
      <formula1>"I, O, M, D, N"</formula1>
    </dataValidation>
    <dataValidation type="list" allowBlank="1" showInputMessage="1" showErrorMessage="1" sqref="G546">
      <formula1>"Y, N"</formula1>
    </dataValidation>
    <dataValidation type="list" allowBlank="1" showInputMessage="1" showErrorMessage="1" sqref="D547">
      <formula1>FDDValList</formula1>
    </dataValidation>
    <dataValidation type="list" allowBlank="1" showInputMessage="1" showErrorMessage="1" sqref="F547">
      <formula1>"I, O, M, D, N"</formula1>
    </dataValidation>
    <dataValidation type="list" allowBlank="1" showInputMessage="1" showErrorMessage="1" sqref="G547">
      <formula1>"Y, N"</formula1>
    </dataValidation>
    <dataValidation type="list" allowBlank="1" showInputMessage="1" showErrorMessage="1" sqref="D548">
      <formula1>FDDValList</formula1>
    </dataValidation>
    <dataValidation type="list" allowBlank="1" showInputMessage="1" showErrorMessage="1" sqref="F548">
      <formula1>"I, O, M, D, N"</formula1>
    </dataValidation>
    <dataValidation type="list" allowBlank="1" showInputMessage="1" showErrorMessage="1" sqref="G548">
      <formula1>"Y, N"</formula1>
    </dataValidation>
    <dataValidation type="list" allowBlank="1" showInputMessage="1" showErrorMessage="1" sqref="D549">
      <formula1>FDDValList</formula1>
    </dataValidation>
    <dataValidation type="list" allowBlank="1" showInputMessage="1" showErrorMessage="1" sqref="F549">
      <formula1>"I, O, M, D, N"</formula1>
    </dataValidation>
    <dataValidation type="list" allowBlank="1" showInputMessage="1" showErrorMessage="1" sqref="G549">
      <formula1>"Y, N"</formula1>
    </dataValidation>
    <dataValidation type="list" allowBlank="1" showInputMessage="1" showErrorMessage="1" sqref="D550">
      <formula1>FDDValList</formula1>
    </dataValidation>
    <dataValidation type="list" allowBlank="1" showInputMessage="1" showErrorMessage="1" sqref="F550">
      <formula1>"I, O, M, D, N"</formula1>
    </dataValidation>
    <dataValidation type="list" allowBlank="1" showInputMessage="1" showErrorMessage="1" sqref="G550">
      <formula1>"Y, N"</formula1>
    </dataValidation>
    <dataValidation type="list" allowBlank="1" showInputMessage="1" showErrorMessage="1" sqref="D551">
      <formula1>FDDValList</formula1>
    </dataValidation>
    <dataValidation type="list" allowBlank="1" showInputMessage="1" showErrorMessage="1" sqref="F551">
      <formula1>"I, O, M, D, N"</formula1>
    </dataValidation>
    <dataValidation type="list" allowBlank="1" showInputMessage="1" showErrorMessage="1" sqref="G551">
      <formula1>"Y, N"</formula1>
    </dataValidation>
    <dataValidation type="list" allowBlank="1" showInputMessage="1" showErrorMessage="1" sqref="D552">
      <formula1>FDDValList</formula1>
    </dataValidation>
    <dataValidation type="list" allowBlank="1" showInputMessage="1" showErrorMessage="1" sqref="F552">
      <formula1>"I, O, M, D, N"</formula1>
    </dataValidation>
    <dataValidation type="list" allowBlank="1" showInputMessage="1" showErrorMessage="1" sqref="G552">
      <formula1>"Y, N"</formula1>
    </dataValidation>
    <dataValidation type="list" allowBlank="1" showInputMessage="1" showErrorMessage="1" sqref="D553">
      <formula1>FDDValList</formula1>
    </dataValidation>
    <dataValidation type="list" allowBlank="1" showInputMessage="1" showErrorMessage="1" sqref="F553">
      <formula1>"I, O, M, D, N"</formula1>
    </dataValidation>
    <dataValidation type="list" allowBlank="1" showInputMessage="1" showErrorMessage="1" sqref="G553">
      <formula1>"Y, N"</formula1>
    </dataValidation>
    <dataValidation type="list" allowBlank="1" showInputMessage="1" showErrorMessage="1" sqref="D554">
      <formula1>FDDValList</formula1>
    </dataValidation>
    <dataValidation type="list" allowBlank="1" showInputMessage="1" showErrorMessage="1" sqref="F554">
      <formula1>"I, O, M, D, N"</formula1>
    </dataValidation>
    <dataValidation type="list" allowBlank="1" showInputMessage="1" showErrorMessage="1" sqref="G554">
      <formula1>"Y, N"</formula1>
    </dataValidation>
    <dataValidation type="list" allowBlank="1" showInputMessage="1" showErrorMessage="1" sqref="D555">
      <formula1>FDDValList</formula1>
    </dataValidation>
    <dataValidation type="list" allowBlank="1" showInputMessage="1" showErrorMessage="1" sqref="F555">
      <formula1>"I, O, M, D, N"</formula1>
    </dataValidation>
    <dataValidation type="list" allowBlank="1" showInputMessage="1" showErrorMessage="1" sqref="G555">
      <formula1>"Y, N"</formula1>
    </dataValidation>
    <dataValidation type="list" allowBlank="1" showInputMessage="1" showErrorMessage="1" sqref="D556">
      <formula1>FDDValList</formula1>
    </dataValidation>
    <dataValidation type="list" allowBlank="1" showInputMessage="1" showErrorMessage="1" sqref="F556">
      <formula1>"I, O, M, D, N"</formula1>
    </dataValidation>
    <dataValidation type="list" allowBlank="1" showInputMessage="1" showErrorMessage="1" sqref="G556">
      <formula1>"Y, N"</formula1>
    </dataValidation>
    <dataValidation type="list" allowBlank="1" showInputMessage="1" showErrorMessage="1" sqref="D557">
      <formula1>FDDValList</formula1>
    </dataValidation>
    <dataValidation type="list" allowBlank="1" showInputMessage="1" showErrorMessage="1" sqref="F557">
      <formula1>"I, O, M, D, N"</formula1>
    </dataValidation>
    <dataValidation type="list" allowBlank="1" showInputMessage="1" showErrorMessage="1" sqref="G557">
      <formula1>"Y, N"</formula1>
    </dataValidation>
    <dataValidation type="list" allowBlank="1" showInputMessage="1" showErrorMessage="1" sqref="D558">
      <formula1>FDDValList</formula1>
    </dataValidation>
    <dataValidation type="list" allowBlank="1" showInputMessage="1" showErrorMessage="1" sqref="F558">
      <formula1>"I, O, M, D, N"</formula1>
    </dataValidation>
    <dataValidation type="list" allowBlank="1" showInputMessage="1" showErrorMessage="1" sqref="G558">
      <formula1>"Y, N"</formula1>
    </dataValidation>
    <dataValidation type="list" allowBlank="1" showInputMessage="1" showErrorMessage="1" sqref="D559">
      <formula1>FDDValList</formula1>
    </dataValidation>
    <dataValidation type="list" allowBlank="1" showInputMessage="1" showErrorMessage="1" sqref="F559">
      <formula1>"I, O, M, D, N"</formula1>
    </dataValidation>
    <dataValidation type="list" allowBlank="1" showInputMessage="1" showErrorMessage="1" sqref="G559">
      <formula1>"Y, N"</formula1>
    </dataValidation>
    <dataValidation type="list" allowBlank="1" showInputMessage="1" showErrorMessage="1" sqref="D560">
      <formula1>FDDValList</formula1>
    </dataValidation>
    <dataValidation type="list" allowBlank="1" showInputMessage="1" showErrorMessage="1" sqref="F560">
      <formula1>"I, O, M, D, N"</formula1>
    </dataValidation>
    <dataValidation type="list" allowBlank="1" showInputMessage="1" showErrorMessage="1" sqref="G560">
      <formula1>"Y, N"</formula1>
    </dataValidation>
    <dataValidation type="list" allowBlank="1" showInputMessage="1" showErrorMessage="1" sqref="D561">
      <formula1>FDDValList</formula1>
    </dataValidation>
    <dataValidation type="list" allowBlank="1" showInputMessage="1" showErrorMessage="1" sqref="F561">
      <formula1>"I, O, M, D, N"</formula1>
    </dataValidation>
    <dataValidation type="list" allowBlank="1" showInputMessage="1" showErrorMessage="1" sqref="G561">
      <formula1>"Y, N"</formula1>
    </dataValidation>
    <dataValidation type="list" allowBlank="1" showInputMessage="1" showErrorMessage="1" sqref="D562">
      <formula1>FDDValList</formula1>
    </dataValidation>
    <dataValidation type="list" allowBlank="1" showInputMessage="1" showErrorMessage="1" sqref="F562">
      <formula1>"I, O, M, D, N"</formula1>
    </dataValidation>
    <dataValidation type="list" allowBlank="1" showInputMessage="1" showErrorMessage="1" sqref="G562">
      <formula1>"Y, N"</formula1>
    </dataValidation>
    <dataValidation type="list" allowBlank="1" showInputMessage="1" showErrorMessage="1" sqref="D563">
      <formula1>FDDValList</formula1>
    </dataValidation>
    <dataValidation type="list" allowBlank="1" showInputMessage="1" showErrorMessage="1" sqref="F563">
      <formula1>"I, O, M, D, N"</formula1>
    </dataValidation>
    <dataValidation type="list" allowBlank="1" showInputMessage="1" showErrorMessage="1" sqref="G563">
      <formula1>"Y, N"</formula1>
    </dataValidation>
    <dataValidation type="list" allowBlank="1" showInputMessage="1" showErrorMessage="1" sqref="D564">
      <formula1>FDDValList</formula1>
    </dataValidation>
    <dataValidation type="list" allowBlank="1" showInputMessage="1" showErrorMessage="1" sqref="F564">
      <formula1>"I, O, M, D, N"</formula1>
    </dataValidation>
    <dataValidation type="list" allowBlank="1" showInputMessage="1" showErrorMessage="1" sqref="G564">
      <formula1>"Y, N"</formula1>
    </dataValidation>
    <dataValidation type="list" allowBlank="1" showInputMessage="1" showErrorMessage="1" sqref="D565">
      <formula1>FDDValList</formula1>
    </dataValidation>
    <dataValidation type="list" allowBlank="1" showInputMessage="1" showErrorMessage="1" sqref="F565">
      <formula1>"I, O, M, D, N"</formula1>
    </dataValidation>
    <dataValidation type="list" allowBlank="1" showInputMessage="1" showErrorMessage="1" sqref="G565">
      <formula1>"Y, N"</formula1>
    </dataValidation>
    <dataValidation type="list" allowBlank="1" showInputMessage="1" showErrorMessage="1" sqref="D566">
      <formula1>FDDValList</formula1>
    </dataValidation>
    <dataValidation type="list" allowBlank="1" showInputMessage="1" showErrorMessage="1" sqref="F566">
      <formula1>"I, O, M, D, N"</formula1>
    </dataValidation>
    <dataValidation type="list" allowBlank="1" showInputMessage="1" showErrorMessage="1" sqref="G566">
      <formula1>"Y, N"</formula1>
    </dataValidation>
    <dataValidation type="list" allowBlank="1" showInputMessage="1" showErrorMessage="1" sqref="D567">
      <formula1>FDDValList</formula1>
    </dataValidation>
    <dataValidation type="list" allowBlank="1" showInputMessage="1" showErrorMessage="1" sqref="F567">
      <formula1>"I, O, M, D, N"</formula1>
    </dataValidation>
    <dataValidation type="list" allowBlank="1" showInputMessage="1" showErrorMessage="1" sqref="G567">
      <formula1>"Y, N"</formula1>
    </dataValidation>
    <dataValidation type="list" allowBlank="1" showInputMessage="1" showErrorMessage="1" sqref="D568">
      <formula1>FDDValList</formula1>
    </dataValidation>
    <dataValidation type="list" allowBlank="1" showInputMessage="1" showErrorMessage="1" sqref="F568">
      <formula1>"I, O, M, D, N"</formula1>
    </dataValidation>
    <dataValidation type="list" allowBlank="1" showInputMessage="1" showErrorMessage="1" sqref="G568">
      <formula1>"Y, N"</formula1>
    </dataValidation>
    <dataValidation type="list" allowBlank="1" showInputMessage="1" showErrorMessage="1" sqref="D569">
      <formula1>FDDValList</formula1>
    </dataValidation>
    <dataValidation type="list" allowBlank="1" showInputMessage="1" showErrorMessage="1" sqref="F569">
      <formula1>"I, O, M, D, N"</formula1>
    </dataValidation>
    <dataValidation type="list" allowBlank="1" showInputMessage="1" showErrorMessage="1" sqref="G569">
      <formula1>"Y, N"</formula1>
    </dataValidation>
    <dataValidation type="list" allowBlank="1" showInputMessage="1" showErrorMessage="1" sqref="D570">
      <formula1>FDDValList</formula1>
    </dataValidation>
    <dataValidation type="list" allowBlank="1" showInputMessage="1" showErrorMessage="1" sqref="F570">
      <formula1>"I, O, M, D, N"</formula1>
    </dataValidation>
    <dataValidation type="list" allowBlank="1" showInputMessage="1" showErrorMessage="1" sqref="G570">
      <formula1>"Y, N"</formula1>
    </dataValidation>
    <dataValidation type="list" allowBlank="1" showInputMessage="1" showErrorMessage="1" sqref="D571">
      <formula1>FDDValList</formula1>
    </dataValidation>
    <dataValidation type="list" allowBlank="1" showInputMessage="1" showErrorMessage="1" sqref="F571">
      <formula1>"I, O, M, D, N"</formula1>
    </dataValidation>
    <dataValidation type="list" allowBlank="1" showInputMessage="1" showErrorMessage="1" sqref="G571">
      <formula1>"Y, N"</formula1>
    </dataValidation>
    <dataValidation type="list" allowBlank="1" showInputMessage="1" showErrorMessage="1" sqref="D572">
      <formula1>FDDValList</formula1>
    </dataValidation>
    <dataValidation type="list" allowBlank="1" showInputMessage="1" showErrorMessage="1" sqref="F572">
      <formula1>"I, O, M, D, N"</formula1>
    </dataValidation>
    <dataValidation type="list" allowBlank="1" showInputMessage="1" showErrorMessage="1" sqref="G572">
      <formula1>"Y, N"</formula1>
    </dataValidation>
    <dataValidation type="list" allowBlank="1" showInputMessage="1" showErrorMessage="1" sqref="D573">
      <formula1>FDDValList</formula1>
    </dataValidation>
    <dataValidation type="list" allowBlank="1" showInputMessage="1" showErrorMessage="1" sqref="F573">
      <formula1>"I, O, M, D, N"</formula1>
    </dataValidation>
    <dataValidation type="list" allowBlank="1" showInputMessage="1" showErrorMessage="1" sqref="G573">
      <formula1>"Y, N"</formula1>
    </dataValidation>
    <dataValidation type="list" allowBlank="1" showInputMessage="1" showErrorMessage="1" sqref="D574">
      <formula1>FDDValList</formula1>
    </dataValidation>
    <dataValidation type="list" allowBlank="1" showInputMessage="1" showErrorMessage="1" sqref="F574">
      <formula1>"I, O, M, D, N"</formula1>
    </dataValidation>
    <dataValidation type="list" allowBlank="1" showInputMessage="1" showErrorMessage="1" sqref="G574">
      <formula1>"Y, N"</formula1>
    </dataValidation>
    <dataValidation type="list" allowBlank="1" showInputMessage="1" showErrorMessage="1" sqref="D575">
      <formula1>FDDValList</formula1>
    </dataValidation>
    <dataValidation type="list" allowBlank="1" showInputMessage="1" showErrorMessage="1" sqref="F575">
      <formula1>"I, O, M, D, N"</formula1>
    </dataValidation>
    <dataValidation type="list" allowBlank="1" showInputMessage="1" showErrorMessage="1" sqref="G575">
      <formula1>"Y, N"</formula1>
    </dataValidation>
    <dataValidation type="list" allowBlank="1" showInputMessage="1" showErrorMessage="1" sqref="D576">
      <formula1>FDDValList</formula1>
    </dataValidation>
    <dataValidation type="list" allowBlank="1" showInputMessage="1" showErrorMessage="1" sqref="F576">
      <formula1>"I, O, M, D, N"</formula1>
    </dataValidation>
    <dataValidation type="list" allowBlank="1" showInputMessage="1" showErrorMessage="1" sqref="G576">
      <formula1>"Y, N"</formula1>
    </dataValidation>
    <dataValidation type="list" allowBlank="1" showInputMessage="1" showErrorMessage="1" sqref="D577">
      <formula1>FDDValList</formula1>
    </dataValidation>
    <dataValidation type="list" allowBlank="1" showInputMessage="1" showErrorMessage="1" sqref="F577">
      <formula1>"I, O, M, D, N"</formula1>
    </dataValidation>
    <dataValidation type="list" allowBlank="1" showInputMessage="1" showErrorMessage="1" sqref="G577">
      <formula1>"Y, N"</formula1>
    </dataValidation>
    <dataValidation type="list" allowBlank="1" showInputMessage="1" showErrorMessage="1" sqref="D578">
      <formula1>FDDValList</formula1>
    </dataValidation>
    <dataValidation type="list" allowBlank="1" showInputMessage="1" showErrorMessage="1" sqref="F578">
      <formula1>"I, O, M, D, N"</formula1>
    </dataValidation>
    <dataValidation type="list" allowBlank="1" showInputMessage="1" showErrorMessage="1" sqref="G578">
      <formula1>"Y, N"</formula1>
    </dataValidation>
    <dataValidation type="list" allowBlank="1" showInputMessage="1" showErrorMessage="1" sqref="D579">
      <formula1>FDDValList</formula1>
    </dataValidation>
    <dataValidation type="list" allowBlank="1" showInputMessage="1" showErrorMessage="1" sqref="F579">
      <formula1>"I, O, M, D, N"</formula1>
    </dataValidation>
    <dataValidation type="list" allowBlank="1" showInputMessage="1" showErrorMessage="1" sqref="G579">
      <formula1>"Y, N"</formula1>
    </dataValidation>
    <dataValidation type="list" allowBlank="1" showInputMessage="1" showErrorMessage="1" sqref="D580">
      <formula1>FDDValList</formula1>
    </dataValidation>
    <dataValidation type="list" allowBlank="1" showInputMessage="1" showErrorMessage="1" sqref="F580">
      <formula1>"I, O, M, D, N"</formula1>
    </dataValidation>
    <dataValidation type="list" allowBlank="1" showInputMessage="1" showErrorMessage="1" sqref="G580">
      <formula1>"Y, N"</formula1>
    </dataValidation>
    <dataValidation type="list" allowBlank="1" showInputMessage="1" showErrorMessage="1" sqref="D581">
      <formula1>FDDValList</formula1>
    </dataValidation>
    <dataValidation type="list" allowBlank="1" showInputMessage="1" showErrorMessage="1" sqref="F581">
      <formula1>"I, O, M, D, N"</formula1>
    </dataValidation>
    <dataValidation type="list" allowBlank="1" showInputMessage="1" showErrorMessage="1" sqref="G581">
      <formula1>"Y, N"</formula1>
    </dataValidation>
    <dataValidation type="list" allowBlank="1" showInputMessage="1" showErrorMessage="1" sqref="D582">
      <formula1>FDDValList</formula1>
    </dataValidation>
    <dataValidation type="list" allowBlank="1" showInputMessage="1" showErrorMessage="1" sqref="F582">
      <formula1>"I, O, M, D, N"</formula1>
    </dataValidation>
    <dataValidation type="list" allowBlank="1" showInputMessage="1" showErrorMessage="1" sqref="G582">
      <formula1>"Y, N"</formula1>
    </dataValidation>
    <dataValidation type="list" allowBlank="1" showInputMessage="1" showErrorMessage="1" sqref="D583">
      <formula1>FDDValList</formula1>
    </dataValidation>
    <dataValidation type="list" allowBlank="1" showInputMessage="1" showErrorMessage="1" sqref="F583">
      <formula1>"I, O, M, D, N"</formula1>
    </dataValidation>
    <dataValidation type="list" allowBlank="1" showInputMessage="1" showErrorMessage="1" sqref="G583">
      <formula1>"Y, N"</formula1>
    </dataValidation>
    <dataValidation type="list" allowBlank="1" showInputMessage="1" showErrorMessage="1" sqref="D584">
      <formula1>FDDValList</formula1>
    </dataValidation>
    <dataValidation type="list" allowBlank="1" showInputMessage="1" showErrorMessage="1" sqref="F584">
      <formula1>"I, O, M, D, N"</formula1>
    </dataValidation>
    <dataValidation type="list" allowBlank="1" showInputMessage="1" showErrorMessage="1" sqref="G584">
      <formula1>"Y, N"</formula1>
    </dataValidation>
    <dataValidation type="list" allowBlank="1" showInputMessage="1" showErrorMessage="1" sqref="D585">
      <formula1>FDDValList</formula1>
    </dataValidation>
    <dataValidation type="list" allowBlank="1" showInputMessage="1" showErrorMessage="1" sqref="F585">
      <formula1>"I, O, M, D, N"</formula1>
    </dataValidation>
    <dataValidation type="list" allowBlank="1" showInputMessage="1" showErrorMessage="1" sqref="G585">
      <formula1>"Y, N"</formula1>
    </dataValidation>
    <dataValidation type="list" allowBlank="1" showInputMessage="1" showErrorMessage="1" sqref="D586">
      <formula1>FDDValList</formula1>
    </dataValidation>
    <dataValidation type="list" allowBlank="1" showInputMessage="1" showErrorMessage="1" sqref="F586">
      <formula1>"I, O, M, D, N"</formula1>
    </dataValidation>
    <dataValidation type="list" allowBlank="1" showInputMessage="1" showErrorMessage="1" sqref="G586">
      <formula1>"Y, N"</formula1>
    </dataValidation>
    <dataValidation type="list" allowBlank="1" showInputMessage="1" showErrorMessage="1" sqref="D587">
      <formula1>FDDValList</formula1>
    </dataValidation>
    <dataValidation type="list" allowBlank="1" showInputMessage="1" showErrorMessage="1" sqref="F587">
      <formula1>"I, O, M, D, N"</formula1>
    </dataValidation>
    <dataValidation type="list" allowBlank="1" showInputMessage="1" showErrorMessage="1" sqref="G587">
      <formula1>"Y, N"</formula1>
    </dataValidation>
    <dataValidation type="list" allowBlank="1" showInputMessage="1" showErrorMessage="1" sqref="D588">
      <formula1>FDDValList</formula1>
    </dataValidation>
    <dataValidation type="list" allowBlank="1" showInputMessage="1" showErrorMessage="1" sqref="F588">
      <formula1>"I, O, M, D, N"</formula1>
    </dataValidation>
    <dataValidation type="list" allowBlank="1" showInputMessage="1" showErrorMessage="1" sqref="G588">
      <formula1>"Y, N"</formula1>
    </dataValidation>
    <dataValidation type="list" allowBlank="1" showInputMessage="1" showErrorMessage="1" sqref="D589">
      <formula1>FDDValList</formula1>
    </dataValidation>
    <dataValidation type="list" allowBlank="1" showInputMessage="1" showErrorMessage="1" sqref="F589">
      <formula1>"I, O, M, D, N"</formula1>
    </dataValidation>
    <dataValidation type="list" allowBlank="1" showInputMessage="1" showErrorMessage="1" sqref="G589">
      <formula1>"Y, N"</formula1>
    </dataValidation>
    <dataValidation type="list" allowBlank="1" showInputMessage="1" showErrorMessage="1" sqref="D590">
      <formula1>FDDValList</formula1>
    </dataValidation>
    <dataValidation type="list" allowBlank="1" showInputMessage="1" showErrorMessage="1" sqref="F590">
      <formula1>"I, O, M, D, N"</formula1>
    </dataValidation>
    <dataValidation type="list" allowBlank="1" showInputMessage="1" showErrorMessage="1" sqref="G590">
      <formula1>"Y, N"</formula1>
    </dataValidation>
    <dataValidation type="list" allowBlank="1" showInputMessage="1" showErrorMessage="1" sqref="D591">
      <formula1>FDDValList</formula1>
    </dataValidation>
    <dataValidation type="list" allowBlank="1" showInputMessage="1" showErrorMessage="1" sqref="F591">
      <formula1>"I, O, M, D, N"</formula1>
    </dataValidation>
    <dataValidation type="list" allowBlank="1" showInputMessage="1" showErrorMessage="1" sqref="G591">
      <formula1>"Y, N"</formula1>
    </dataValidation>
    <dataValidation type="list" allowBlank="1" showInputMessage="1" showErrorMessage="1" sqref="D592">
      <formula1>FDDValList</formula1>
    </dataValidation>
    <dataValidation type="list" allowBlank="1" showInputMessage="1" showErrorMessage="1" sqref="F592">
      <formula1>"I, O, M, D, N"</formula1>
    </dataValidation>
    <dataValidation type="list" allowBlank="1" showInputMessage="1" showErrorMessage="1" sqref="G592">
      <formula1>"Y, N"</formula1>
    </dataValidation>
    <dataValidation type="list" allowBlank="1" showInputMessage="1" showErrorMessage="1" sqref="D593">
      <formula1>FDDValList</formula1>
    </dataValidation>
    <dataValidation type="list" allowBlank="1" showInputMessage="1" showErrorMessage="1" sqref="F593">
      <formula1>"I, O, M, D, N"</formula1>
    </dataValidation>
    <dataValidation type="list" allowBlank="1" showInputMessage="1" showErrorMessage="1" sqref="G593">
      <formula1>"Y, N"</formula1>
    </dataValidation>
    <dataValidation type="list" allowBlank="1" showInputMessage="1" showErrorMessage="1" sqref="D594">
      <formula1>FDDValList</formula1>
    </dataValidation>
    <dataValidation type="list" allowBlank="1" showInputMessage="1" showErrorMessage="1" sqref="F594">
      <formula1>"I, O, M, D, N"</formula1>
    </dataValidation>
    <dataValidation type="list" allowBlank="1" showInputMessage="1" showErrorMessage="1" sqref="G594">
      <formula1>"Y, N"</formula1>
    </dataValidation>
    <dataValidation type="list" allowBlank="1" showInputMessage="1" showErrorMessage="1" sqref="D595">
      <formula1>FDDValList</formula1>
    </dataValidation>
    <dataValidation type="list" allowBlank="1" showInputMessage="1" showErrorMessage="1" sqref="F595">
      <formula1>"I, O, M, D, N"</formula1>
    </dataValidation>
    <dataValidation type="list" allowBlank="1" showInputMessage="1" showErrorMessage="1" sqref="G595">
      <formula1>"Y, N"</formula1>
    </dataValidation>
    <dataValidation type="list" allowBlank="1" showInputMessage="1" showErrorMessage="1" sqref="D596">
      <formula1>FDDValList</formula1>
    </dataValidation>
    <dataValidation type="list" allowBlank="1" showInputMessage="1" showErrorMessage="1" sqref="F596">
      <formula1>"I, O, M, D, N"</formula1>
    </dataValidation>
    <dataValidation type="list" allowBlank="1" showInputMessage="1" showErrorMessage="1" sqref="G596">
      <formula1>"Y, N"</formula1>
    </dataValidation>
    <dataValidation type="list" allowBlank="1" showInputMessage="1" showErrorMessage="1" sqref="D597">
      <formula1>FDDValList</formula1>
    </dataValidation>
    <dataValidation type="list" allowBlank="1" showInputMessage="1" showErrorMessage="1" sqref="F597">
      <formula1>"I, O, M, D, N"</formula1>
    </dataValidation>
    <dataValidation type="list" allowBlank="1" showInputMessage="1" showErrorMessage="1" sqref="G597">
      <formula1>"Y, N"</formula1>
    </dataValidation>
    <dataValidation type="list" allowBlank="1" showInputMessage="1" showErrorMessage="1" sqref="D598">
      <formula1>FDDValList</formula1>
    </dataValidation>
    <dataValidation type="list" allowBlank="1" showInputMessage="1" showErrorMessage="1" sqref="F598">
      <formula1>"I, O, M, D, N"</formula1>
    </dataValidation>
    <dataValidation type="list" allowBlank="1" showInputMessage="1" showErrorMessage="1" sqref="G598">
      <formula1>"Y, N"</formula1>
    </dataValidation>
    <dataValidation type="list" allowBlank="1" showInputMessage="1" showErrorMessage="1" sqref="D599">
      <formula1>FDDValList</formula1>
    </dataValidation>
    <dataValidation type="list" allowBlank="1" showInputMessage="1" showErrorMessage="1" sqref="F599">
      <formula1>"I, O, M, D, N"</formula1>
    </dataValidation>
    <dataValidation type="list" allowBlank="1" showInputMessage="1" showErrorMessage="1" sqref="G599">
      <formula1>"Y, N"</formula1>
    </dataValidation>
    <dataValidation type="list" allowBlank="1" showInputMessage="1" showErrorMessage="1" sqref="D600">
      <formula1>FDDValList</formula1>
    </dataValidation>
    <dataValidation type="list" allowBlank="1" showInputMessage="1" showErrorMessage="1" sqref="F600">
      <formula1>"I, O, M, D, N"</formula1>
    </dataValidation>
    <dataValidation type="list" allowBlank="1" showInputMessage="1" showErrorMessage="1" sqref="G600">
      <formula1>"Y, N"</formula1>
    </dataValidation>
    <dataValidation type="list" allowBlank="1" showInputMessage="1" showErrorMessage="1" sqref="D601">
      <formula1>FDDValList</formula1>
    </dataValidation>
    <dataValidation type="list" allowBlank="1" showInputMessage="1" showErrorMessage="1" sqref="F601">
      <formula1>"I, O, M, D, N"</formula1>
    </dataValidation>
    <dataValidation type="list" allowBlank="1" showInputMessage="1" showErrorMessage="1" sqref="G601">
      <formula1>"Y, N"</formula1>
    </dataValidation>
    <dataValidation type="list" allowBlank="1" showInputMessage="1" showErrorMessage="1" sqref="D602">
      <formula1>FDDValList</formula1>
    </dataValidation>
    <dataValidation type="list" allowBlank="1" showInputMessage="1" showErrorMessage="1" sqref="F602">
      <formula1>"I, O, M, D, N"</formula1>
    </dataValidation>
    <dataValidation type="list" allowBlank="1" showInputMessage="1" showErrorMessage="1" sqref="G602">
      <formula1>"Y, N"</formula1>
    </dataValidation>
    <dataValidation type="list" allowBlank="1" showInputMessage="1" showErrorMessage="1" sqref="D603">
      <formula1>FDDValList</formula1>
    </dataValidation>
    <dataValidation type="list" allowBlank="1" showInputMessage="1" showErrorMessage="1" sqref="F603">
      <formula1>"I, O, M, D, N"</formula1>
    </dataValidation>
    <dataValidation type="list" allowBlank="1" showInputMessage="1" showErrorMessage="1" sqref="G603">
      <formula1>"Y, N"</formula1>
    </dataValidation>
    <dataValidation type="list" allowBlank="1" showInputMessage="1" showErrorMessage="1" sqref="D604">
      <formula1>FDDValList</formula1>
    </dataValidation>
    <dataValidation type="list" allowBlank="1" showInputMessage="1" showErrorMessage="1" sqref="F604">
      <formula1>"I, O, M, D, N"</formula1>
    </dataValidation>
    <dataValidation type="list" allowBlank="1" showInputMessage="1" showErrorMessage="1" sqref="G604">
      <formula1>"Y, N"</formula1>
    </dataValidation>
    <dataValidation type="list" allowBlank="1" showInputMessage="1" showErrorMessage="1" sqref="D605">
      <formula1>FDDValList</formula1>
    </dataValidation>
    <dataValidation type="list" allowBlank="1" showInputMessage="1" showErrorMessage="1" sqref="F605">
      <formula1>"I, O, M, D, N"</formula1>
    </dataValidation>
    <dataValidation type="list" allowBlank="1" showInputMessage="1" showErrorMessage="1" sqref="G605">
      <formula1>"Y, N"</formula1>
    </dataValidation>
    <dataValidation type="list" allowBlank="1" showInputMessage="1" showErrorMessage="1" sqref="D606">
      <formula1>FDDValList</formula1>
    </dataValidation>
    <dataValidation type="list" allowBlank="1" showInputMessage="1" showErrorMessage="1" sqref="F606">
      <formula1>"I, O, M, D, N"</formula1>
    </dataValidation>
    <dataValidation type="list" allowBlank="1" showInputMessage="1" showErrorMessage="1" sqref="G606">
      <formula1>"Y, N"</formula1>
    </dataValidation>
    <dataValidation type="list" allowBlank="1" showInputMessage="1" showErrorMessage="1" sqref="D607">
      <formula1>FDDValList</formula1>
    </dataValidation>
    <dataValidation type="list" allowBlank="1" showInputMessage="1" showErrorMessage="1" sqref="F607">
      <formula1>"I, O, M, D, N"</formula1>
    </dataValidation>
    <dataValidation type="list" allowBlank="1" showInputMessage="1" showErrorMessage="1" sqref="G607">
      <formula1>"Y, N"</formula1>
    </dataValidation>
    <dataValidation type="list" allowBlank="1" showInputMessage="1" showErrorMessage="1" sqref="D608">
      <formula1>FDDValList</formula1>
    </dataValidation>
    <dataValidation type="list" allowBlank="1" showInputMessage="1" showErrorMessage="1" sqref="F608">
      <formula1>"I, O, M, D, N"</formula1>
    </dataValidation>
    <dataValidation type="list" allowBlank="1" showInputMessage="1" showErrorMessage="1" sqref="G608">
      <formula1>"Y, N"</formula1>
    </dataValidation>
    <dataValidation type="list" allowBlank="1" showInputMessage="1" showErrorMessage="1" sqref="D609">
      <formula1>FDDValList</formula1>
    </dataValidation>
    <dataValidation type="list" allowBlank="1" showInputMessage="1" showErrorMessage="1" sqref="F609">
      <formula1>"I, O, M, D, N"</formula1>
    </dataValidation>
    <dataValidation type="list" allowBlank="1" showInputMessage="1" showErrorMessage="1" sqref="G609">
      <formula1>"Y, N"</formula1>
    </dataValidation>
    <dataValidation type="list" allowBlank="1" showInputMessage="1" showErrorMessage="1" sqref="D610">
      <formula1>FDDValList</formula1>
    </dataValidation>
    <dataValidation type="list" allowBlank="1" showInputMessage="1" showErrorMessage="1" sqref="F610">
      <formula1>"I, O, M, D, N"</formula1>
    </dataValidation>
    <dataValidation type="list" allowBlank="1" showInputMessage="1" showErrorMessage="1" sqref="G610">
      <formula1>"Y, N"</formula1>
    </dataValidation>
    <dataValidation type="list" allowBlank="1" showInputMessage="1" showErrorMessage="1" sqref="D611">
      <formula1>FDDValList</formula1>
    </dataValidation>
    <dataValidation type="list" allowBlank="1" showInputMessage="1" showErrorMessage="1" sqref="F611">
      <formula1>"I, O, M, D, N"</formula1>
    </dataValidation>
    <dataValidation type="list" allowBlank="1" showInputMessage="1" showErrorMessage="1" sqref="G611">
      <formula1>"Y, N"</formula1>
    </dataValidation>
    <dataValidation type="list" allowBlank="1" showInputMessage="1" showErrorMessage="1" sqref="D612">
      <formula1>FDDValList</formula1>
    </dataValidation>
    <dataValidation type="list" allowBlank="1" showInputMessage="1" showErrorMessage="1" sqref="F612">
      <formula1>"I, O, M, D, N"</formula1>
    </dataValidation>
    <dataValidation type="list" allowBlank="1" showInputMessage="1" showErrorMessage="1" sqref="G612">
      <formula1>"Y, N"</formula1>
    </dataValidation>
    <dataValidation type="list" allowBlank="1" showInputMessage="1" showErrorMessage="1" sqref="D613">
      <formula1>FDDValList</formula1>
    </dataValidation>
    <dataValidation type="list" allowBlank="1" showInputMessage="1" showErrorMessage="1" sqref="F613">
      <formula1>"I, O, M, D, N"</formula1>
    </dataValidation>
    <dataValidation type="list" allowBlank="1" showInputMessage="1" showErrorMessage="1" sqref="G613">
      <formula1>"Y, N"</formula1>
    </dataValidation>
    <dataValidation type="list" allowBlank="1" showInputMessage="1" showErrorMessage="1" sqref="D614">
      <formula1>FDDValList</formula1>
    </dataValidation>
    <dataValidation type="list" allowBlank="1" showInputMessage="1" showErrorMessage="1" sqref="F614">
      <formula1>"I, O, M, D, N"</formula1>
    </dataValidation>
    <dataValidation type="list" allowBlank="1" showInputMessage="1" showErrorMessage="1" sqref="G614">
      <formula1>"Y, N"</formula1>
    </dataValidation>
    <dataValidation type="list" allowBlank="1" showInputMessage="1" showErrorMessage="1" sqref="D615">
      <formula1>FDDValList</formula1>
    </dataValidation>
    <dataValidation type="list" allowBlank="1" showInputMessage="1" showErrorMessage="1" sqref="F615">
      <formula1>"I, O, M, D, N"</formula1>
    </dataValidation>
    <dataValidation type="list" allowBlank="1" showInputMessage="1" showErrorMessage="1" sqref="G615">
      <formula1>"Y, N"</formula1>
    </dataValidation>
    <dataValidation type="list" allowBlank="1" showInputMessage="1" showErrorMessage="1" sqref="D616">
      <formula1>FDDValList</formula1>
    </dataValidation>
    <dataValidation type="list" allowBlank="1" showInputMessage="1" showErrorMessage="1" sqref="F616">
      <formula1>"I, O, M, D, N"</formula1>
    </dataValidation>
    <dataValidation type="list" allowBlank="1" showInputMessage="1" showErrorMessage="1" sqref="G616">
      <formula1>"Y, N"</formula1>
    </dataValidation>
    <dataValidation type="list" allowBlank="1" showInputMessage="1" showErrorMessage="1" sqref="D617">
      <formula1>FDDValList</formula1>
    </dataValidation>
    <dataValidation type="list" allowBlank="1" showInputMessage="1" showErrorMessage="1" sqref="F617">
      <formula1>"I, O, M, D, N"</formula1>
    </dataValidation>
    <dataValidation type="list" allowBlank="1" showInputMessage="1" showErrorMessage="1" sqref="G617">
      <formula1>"Y, N"</formula1>
    </dataValidation>
    <dataValidation type="list" allowBlank="1" showInputMessage="1" showErrorMessage="1" sqref="D618">
      <formula1>FDDValList</formula1>
    </dataValidation>
    <dataValidation type="list" allowBlank="1" showInputMessage="1" showErrorMessage="1" sqref="F618">
      <formula1>"I, O, M, D, N"</formula1>
    </dataValidation>
    <dataValidation type="list" allowBlank="1" showInputMessage="1" showErrorMessage="1" sqref="G618">
      <formula1>"Y, N"</formula1>
    </dataValidation>
    <dataValidation type="list" allowBlank="1" showInputMessage="1" showErrorMessage="1" sqref="D619">
      <formula1>FDDValList</formula1>
    </dataValidation>
    <dataValidation type="list" allowBlank="1" showInputMessage="1" showErrorMessage="1" sqref="F619">
      <formula1>"I, O, M, D, N"</formula1>
    </dataValidation>
    <dataValidation type="list" allowBlank="1" showInputMessage="1" showErrorMessage="1" sqref="G619">
      <formula1>"Y, N"</formula1>
    </dataValidation>
    <dataValidation type="list" allowBlank="1" showInputMessage="1" showErrorMessage="1" sqref="D620">
      <formula1>FDDValList</formula1>
    </dataValidation>
    <dataValidation type="list" allowBlank="1" showInputMessage="1" showErrorMessage="1" sqref="F620">
      <formula1>"I, O, M, D, N"</formula1>
    </dataValidation>
    <dataValidation type="list" allowBlank="1" showInputMessage="1" showErrorMessage="1" sqref="G620">
      <formula1>"Y, N"</formula1>
    </dataValidation>
    <dataValidation type="list" allowBlank="1" showInputMessage="1" showErrorMessage="1" sqref="D621">
      <formula1>FDDValList</formula1>
    </dataValidation>
    <dataValidation type="list" allowBlank="1" showInputMessage="1" showErrorMessage="1" sqref="F621">
      <formula1>"I, O, M, D, N"</formula1>
    </dataValidation>
    <dataValidation type="list" allowBlank="1" showInputMessage="1" showErrorMessage="1" sqref="G621">
      <formula1>"Y, N"</formula1>
    </dataValidation>
    <dataValidation type="list" allowBlank="1" showInputMessage="1" showErrorMessage="1" sqref="D622">
      <formula1>FDDValList</formula1>
    </dataValidation>
    <dataValidation type="list" allowBlank="1" showInputMessage="1" showErrorMessage="1" sqref="F622">
      <formula1>"I, O, M, D, N"</formula1>
    </dataValidation>
    <dataValidation type="list" allowBlank="1" showInputMessage="1" showErrorMessage="1" sqref="G622">
      <formula1>"Y, N"</formula1>
    </dataValidation>
    <dataValidation type="list" allowBlank="1" showInputMessage="1" showErrorMessage="1" sqref="D623">
      <formula1>FDDValList</formula1>
    </dataValidation>
    <dataValidation type="list" allowBlank="1" showInputMessage="1" showErrorMessage="1" sqref="F623">
      <formula1>"I, O, M, D, N"</formula1>
    </dataValidation>
    <dataValidation type="list" allowBlank="1" showInputMessage="1" showErrorMessage="1" sqref="G623">
      <formula1>"Y, N"</formula1>
    </dataValidation>
    <dataValidation type="list" allowBlank="1" showInputMessage="1" showErrorMessage="1" sqref="D624">
      <formula1>FDDValList</formula1>
    </dataValidation>
    <dataValidation type="list" allowBlank="1" showInputMessage="1" showErrorMessage="1" sqref="F624">
      <formula1>"I, O, M, D, N"</formula1>
    </dataValidation>
    <dataValidation type="list" allowBlank="1" showInputMessage="1" showErrorMessage="1" sqref="G624">
      <formula1>"Y, N"</formula1>
    </dataValidation>
    <dataValidation type="list" allowBlank="1" showInputMessage="1" showErrorMessage="1" sqref="D625">
      <formula1>FDDValList</formula1>
    </dataValidation>
    <dataValidation type="list" allowBlank="1" showInputMessage="1" showErrorMessage="1" sqref="F625">
      <formula1>"I, O, M, D, N"</formula1>
    </dataValidation>
    <dataValidation type="list" allowBlank="1" showInputMessage="1" showErrorMessage="1" sqref="G625">
      <formula1>"Y, N"</formula1>
    </dataValidation>
    <dataValidation type="list" allowBlank="1" showInputMessage="1" showErrorMessage="1" sqref="D626">
      <formula1>FDDValList</formula1>
    </dataValidation>
    <dataValidation type="list" allowBlank="1" showInputMessage="1" showErrorMessage="1" sqref="F626">
      <formula1>"I, O, M, D, N"</formula1>
    </dataValidation>
    <dataValidation type="list" allowBlank="1" showInputMessage="1" showErrorMessage="1" sqref="G626">
      <formula1>"Y, N"</formula1>
    </dataValidation>
    <dataValidation type="list" allowBlank="1" showInputMessage="1" showErrorMessage="1" sqref="D627">
      <formula1>FDDValList</formula1>
    </dataValidation>
    <dataValidation type="list" allowBlank="1" showInputMessage="1" showErrorMessage="1" sqref="F627">
      <formula1>"I, O, M, D, N"</formula1>
    </dataValidation>
    <dataValidation type="list" allowBlank="1" showInputMessage="1" showErrorMessage="1" sqref="G627">
      <formula1>"Y, N"</formula1>
    </dataValidation>
    <dataValidation type="list" allowBlank="1" showInputMessage="1" showErrorMessage="1" sqref="D628">
      <formula1>FDDValList</formula1>
    </dataValidation>
    <dataValidation type="list" allowBlank="1" showInputMessage="1" showErrorMessage="1" sqref="F628">
      <formula1>"I, O, M, D, N"</formula1>
    </dataValidation>
    <dataValidation type="list" allowBlank="1" showInputMessage="1" showErrorMessage="1" sqref="G628">
      <formula1>"Y, N"</formula1>
    </dataValidation>
    <dataValidation type="list" allowBlank="1" showInputMessage="1" showErrorMessage="1" sqref="D629">
      <formula1>FDDValList</formula1>
    </dataValidation>
    <dataValidation type="list" allowBlank="1" showInputMessage="1" showErrorMessage="1" sqref="F629">
      <formula1>"I, O, M, D, N"</formula1>
    </dataValidation>
    <dataValidation type="list" allowBlank="1" showInputMessage="1" showErrorMessage="1" sqref="G629">
      <formula1>"Y, N"</formula1>
    </dataValidation>
    <dataValidation type="list" allowBlank="1" showInputMessage="1" showErrorMessage="1" sqref="D630">
      <formula1>FDDValList</formula1>
    </dataValidation>
    <dataValidation type="list" allowBlank="1" showInputMessage="1" showErrorMessage="1" sqref="F630">
      <formula1>"I, O, M, D, N"</formula1>
    </dataValidation>
    <dataValidation type="list" allowBlank="1" showInputMessage="1" showErrorMessage="1" sqref="G630">
      <formula1>"Y, N"</formula1>
    </dataValidation>
    <dataValidation type="list" allowBlank="1" showInputMessage="1" showErrorMessage="1" sqref="D631">
      <formula1>FDDValList</formula1>
    </dataValidation>
    <dataValidation type="list" allowBlank="1" showInputMessage="1" showErrorMessage="1" sqref="F631">
      <formula1>"I, O, M, D, N"</formula1>
    </dataValidation>
    <dataValidation type="list" allowBlank="1" showInputMessage="1" showErrorMessage="1" sqref="G631">
      <formula1>"Y, N"</formula1>
    </dataValidation>
    <dataValidation type="list" allowBlank="1" showInputMessage="1" showErrorMessage="1" sqref="D632">
      <formula1>FDDValList</formula1>
    </dataValidation>
    <dataValidation type="list" allowBlank="1" showInputMessage="1" showErrorMessage="1" sqref="F632">
      <formula1>"I, O, M, D, N"</formula1>
    </dataValidation>
    <dataValidation type="list" allowBlank="1" showInputMessage="1" showErrorMessage="1" sqref="G632">
      <formula1>"Y, N"</formula1>
    </dataValidation>
    <dataValidation type="list" allowBlank="1" showInputMessage="1" showErrorMessage="1" sqref="D633">
      <formula1>FDDValList</formula1>
    </dataValidation>
    <dataValidation type="list" allowBlank="1" showInputMessage="1" showErrorMessage="1" sqref="F633">
      <formula1>"I, O, M, D, N"</formula1>
    </dataValidation>
    <dataValidation type="list" allowBlank="1" showInputMessage="1" showErrorMessage="1" sqref="G633">
      <formula1>"Y, N"</formula1>
    </dataValidation>
    <dataValidation type="list" allowBlank="1" showInputMessage="1" showErrorMessage="1" sqref="D634">
      <formula1>FDDValList</formula1>
    </dataValidation>
    <dataValidation type="list" allowBlank="1" showInputMessage="1" showErrorMessage="1" sqref="F634">
      <formula1>"I, O, M, D, N"</formula1>
    </dataValidation>
    <dataValidation type="list" allowBlank="1" showInputMessage="1" showErrorMessage="1" sqref="G634">
      <formula1>"Y, N"</formula1>
    </dataValidation>
    <dataValidation type="list" allowBlank="1" showInputMessage="1" showErrorMessage="1" sqref="D635">
      <formula1>FDDValList</formula1>
    </dataValidation>
    <dataValidation type="list" allowBlank="1" showInputMessage="1" showErrorMessage="1" sqref="F635">
      <formula1>"I, O, M, D, N"</formula1>
    </dataValidation>
    <dataValidation type="list" allowBlank="1" showInputMessage="1" showErrorMessage="1" sqref="G635">
      <formula1>"Y, N"</formula1>
    </dataValidation>
    <dataValidation type="list" allowBlank="1" showInputMessage="1" showErrorMessage="1" sqref="D636">
      <formula1>FDDValList</formula1>
    </dataValidation>
    <dataValidation type="list" allowBlank="1" showInputMessage="1" showErrorMessage="1" sqref="F636">
      <formula1>"I, O, M, D, N"</formula1>
    </dataValidation>
    <dataValidation type="list" allowBlank="1" showInputMessage="1" showErrorMessage="1" sqref="G636">
      <formula1>"Y, N"</formula1>
    </dataValidation>
    <dataValidation type="list" allowBlank="1" showInputMessage="1" showErrorMessage="1" sqref="D637">
      <formula1>FDDValList</formula1>
    </dataValidation>
    <dataValidation type="list" allowBlank="1" showInputMessage="1" showErrorMessage="1" sqref="F637">
      <formula1>"I, O, M, D, N"</formula1>
    </dataValidation>
    <dataValidation type="list" allowBlank="1" showInputMessage="1" showErrorMessage="1" sqref="G637">
      <formula1>"Y, N"</formula1>
    </dataValidation>
    <dataValidation type="list" allowBlank="1" showInputMessage="1" showErrorMessage="1" sqref="D638">
      <formula1>FDDValList</formula1>
    </dataValidation>
    <dataValidation type="list" allowBlank="1" showInputMessage="1" showErrorMessage="1" sqref="F638">
      <formula1>"I, O, M, D, N"</formula1>
    </dataValidation>
    <dataValidation type="list" allowBlank="1" showInputMessage="1" showErrorMessage="1" sqref="G638">
      <formula1>"Y, N"</formula1>
    </dataValidation>
    <dataValidation type="list" allowBlank="1" showInputMessage="1" showErrorMessage="1" sqref="D639">
      <formula1>FDDValList</formula1>
    </dataValidation>
    <dataValidation type="list" allowBlank="1" showInputMessage="1" showErrorMessage="1" sqref="F639">
      <formula1>"I, O, M, D, N"</formula1>
    </dataValidation>
    <dataValidation type="list" allowBlank="1" showInputMessage="1" showErrorMessage="1" sqref="G639">
      <formula1>"Y, N"</formula1>
    </dataValidation>
    <dataValidation type="list" allowBlank="1" showInputMessage="1" showErrorMessage="1" sqref="D640">
      <formula1>FDDValList</formula1>
    </dataValidation>
    <dataValidation type="list" allowBlank="1" showInputMessage="1" showErrorMessage="1" sqref="F640">
      <formula1>"I, O, M, D, N"</formula1>
    </dataValidation>
    <dataValidation type="list" allowBlank="1" showInputMessage="1" showErrorMessage="1" sqref="G640">
      <formula1>"Y, N"</formula1>
    </dataValidation>
    <dataValidation type="list" allowBlank="1" showInputMessage="1" showErrorMessage="1" sqref="D641">
      <formula1>FDDValList</formula1>
    </dataValidation>
    <dataValidation type="list" allowBlank="1" showInputMessage="1" showErrorMessage="1" sqref="F641">
      <formula1>"I, O, M, D, N"</formula1>
    </dataValidation>
    <dataValidation type="list" allowBlank="1" showInputMessage="1" showErrorMessage="1" sqref="G641">
      <formula1>"Y, N"</formula1>
    </dataValidation>
    <dataValidation type="list" allowBlank="1" showInputMessage="1" showErrorMessage="1" sqref="D642">
      <formula1>FDDValList</formula1>
    </dataValidation>
    <dataValidation type="list" allowBlank="1" showInputMessage="1" showErrorMessage="1" sqref="F642">
      <formula1>"I, O, M, D, N"</formula1>
    </dataValidation>
    <dataValidation type="list" allowBlank="1" showInputMessage="1" showErrorMessage="1" sqref="G642">
      <formula1>"Y, N"</formula1>
    </dataValidation>
    <dataValidation type="list" allowBlank="1" showInputMessage="1" showErrorMessage="1" sqref="D643">
      <formula1>FDDValList</formula1>
    </dataValidation>
    <dataValidation type="list" allowBlank="1" showInputMessage="1" showErrorMessage="1" sqref="F643">
      <formula1>"I, O, M, D, N"</formula1>
    </dataValidation>
    <dataValidation type="list" allowBlank="1" showInputMessage="1" showErrorMessage="1" sqref="G643">
      <formula1>"Y, N"</formula1>
    </dataValidation>
    <dataValidation type="list" allowBlank="1" showInputMessage="1" showErrorMessage="1" sqref="D644">
      <formula1>FDDValList</formula1>
    </dataValidation>
    <dataValidation type="list" allowBlank="1" showInputMessage="1" showErrorMessage="1" sqref="F644">
      <formula1>"I, O, M, D, N"</formula1>
    </dataValidation>
    <dataValidation type="list" allowBlank="1" showInputMessage="1" showErrorMessage="1" sqref="G644">
      <formula1>"Y, N"</formula1>
    </dataValidation>
    <dataValidation type="list" allowBlank="1" showInputMessage="1" showErrorMessage="1" sqref="D645">
      <formula1>FDDValList</formula1>
    </dataValidation>
    <dataValidation type="list" allowBlank="1" showInputMessage="1" showErrorMessage="1" sqref="F645">
      <formula1>"I, O, M, D, N"</formula1>
    </dataValidation>
    <dataValidation type="list" allowBlank="1" showInputMessage="1" showErrorMessage="1" sqref="G645">
      <formula1>"Y, N"</formula1>
    </dataValidation>
    <dataValidation type="list" allowBlank="1" showInputMessage="1" showErrorMessage="1" sqref="D646">
      <formula1>FDDValList</formula1>
    </dataValidation>
    <dataValidation type="list" allowBlank="1" showInputMessage="1" showErrorMessage="1" sqref="F646">
      <formula1>"I, O, M, D, N"</formula1>
    </dataValidation>
    <dataValidation type="list" allowBlank="1" showInputMessage="1" showErrorMessage="1" sqref="G646">
      <formula1>"Y, N"</formula1>
    </dataValidation>
    <dataValidation type="list" allowBlank="1" showInputMessage="1" showErrorMessage="1" sqref="D647">
      <formula1>FDDValList</formula1>
    </dataValidation>
    <dataValidation type="list" allowBlank="1" showInputMessage="1" showErrorMessage="1" sqref="F647">
      <formula1>"I, O, M, D, N"</formula1>
    </dataValidation>
    <dataValidation type="list" allowBlank="1" showInputMessage="1" showErrorMessage="1" sqref="G647">
      <formula1>"Y, N"</formula1>
    </dataValidation>
    <dataValidation type="list" allowBlank="1" showInputMessage="1" showErrorMessage="1" sqref="D648">
      <formula1>FDDValList</formula1>
    </dataValidation>
    <dataValidation type="list" allowBlank="1" showInputMessage="1" showErrorMessage="1" sqref="F648">
      <formula1>"I, O, M, D, N"</formula1>
    </dataValidation>
    <dataValidation type="list" allowBlank="1" showInputMessage="1" showErrorMessage="1" sqref="G648">
      <formula1>"Y, N"</formula1>
    </dataValidation>
    <dataValidation type="list" allowBlank="1" showInputMessage="1" showErrorMessage="1" sqref="D649">
      <formula1>FDDValList</formula1>
    </dataValidation>
    <dataValidation type="list" allowBlank="1" showInputMessage="1" showErrorMessage="1" sqref="F649">
      <formula1>"I, O, M, D, N"</formula1>
    </dataValidation>
    <dataValidation type="list" allowBlank="1" showInputMessage="1" showErrorMessage="1" sqref="G649">
      <formula1>"Y, N"</formula1>
    </dataValidation>
    <dataValidation type="list" allowBlank="1" showInputMessage="1" showErrorMessage="1" sqref="D650">
      <formula1>FDDValList</formula1>
    </dataValidation>
    <dataValidation type="list" allowBlank="1" showInputMessage="1" showErrorMessage="1" sqref="F650">
      <formula1>"I, O, M, D, N"</formula1>
    </dataValidation>
    <dataValidation type="list" allowBlank="1" showInputMessage="1" showErrorMessage="1" sqref="G650">
      <formula1>"Y, N"</formula1>
    </dataValidation>
    <dataValidation type="list" allowBlank="1" showInputMessage="1" showErrorMessage="1" sqref="D651">
      <formula1>FDDValList</formula1>
    </dataValidation>
    <dataValidation type="list" allowBlank="1" showInputMessage="1" showErrorMessage="1" sqref="F651">
      <formula1>"I, O, M, D, N"</formula1>
    </dataValidation>
    <dataValidation type="list" allowBlank="1" showInputMessage="1" showErrorMessage="1" sqref="G651">
      <formula1>"Y, N"</formula1>
    </dataValidation>
    <dataValidation type="list" allowBlank="1" showInputMessage="1" showErrorMessage="1" sqref="D652">
      <formula1>FDDValList</formula1>
    </dataValidation>
    <dataValidation type="list" allowBlank="1" showInputMessage="1" showErrorMessage="1" sqref="F652">
      <formula1>"I, O, M, D, N"</formula1>
    </dataValidation>
    <dataValidation type="list" allowBlank="1" showInputMessage="1" showErrorMessage="1" sqref="G652">
      <formula1>"Y, N"</formula1>
    </dataValidation>
    <dataValidation type="list" allowBlank="1" showInputMessage="1" showErrorMessage="1" sqref="D653">
      <formula1>FDDValList</formula1>
    </dataValidation>
    <dataValidation type="list" allowBlank="1" showInputMessage="1" showErrorMessage="1" sqref="F653">
      <formula1>"I, O, M, D, N"</formula1>
    </dataValidation>
    <dataValidation type="list" allowBlank="1" showInputMessage="1" showErrorMessage="1" sqref="G653">
      <formula1>"Y, N"</formula1>
    </dataValidation>
    <dataValidation type="list" allowBlank="1" showInputMessage="1" showErrorMessage="1" sqref="D654">
      <formula1>FDDValList</formula1>
    </dataValidation>
    <dataValidation type="list" allowBlank="1" showInputMessage="1" showErrorMessage="1" sqref="F654">
      <formula1>"I, O, M, D, N"</formula1>
    </dataValidation>
    <dataValidation type="list" allowBlank="1" showInputMessage="1" showErrorMessage="1" sqref="G654">
      <formula1>"Y, N"</formula1>
    </dataValidation>
    <dataValidation type="list" allowBlank="1" showInputMessage="1" showErrorMessage="1" sqref="D655">
      <formula1>FDDValList</formula1>
    </dataValidation>
    <dataValidation type="list" allowBlank="1" showInputMessage="1" showErrorMessage="1" sqref="F655">
      <formula1>"I, O, M, D, N"</formula1>
    </dataValidation>
    <dataValidation type="list" allowBlank="1" showInputMessage="1" showErrorMessage="1" sqref="G655">
      <formula1>"Y, N"</formula1>
    </dataValidation>
    <dataValidation type="list" allowBlank="1" showInputMessage="1" showErrorMessage="1" sqref="D656">
      <formula1>FDDValList</formula1>
    </dataValidation>
    <dataValidation type="list" allowBlank="1" showInputMessage="1" showErrorMessage="1" sqref="F656">
      <formula1>"I, O, M, D, N"</formula1>
    </dataValidation>
    <dataValidation type="list" allowBlank="1" showInputMessage="1" showErrorMessage="1" sqref="G656">
      <formula1>"Y, N"</formula1>
    </dataValidation>
    <dataValidation type="list" allowBlank="1" showInputMessage="1" showErrorMessage="1" sqref="D657">
      <formula1>FDDValList</formula1>
    </dataValidation>
    <dataValidation type="list" allowBlank="1" showInputMessage="1" showErrorMessage="1" sqref="F657">
      <formula1>"I, O, M, D, N"</formula1>
    </dataValidation>
    <dataValidation type="list" allowBlank="1" showInputMessage="1" showErrorMessage="1" sqref="G657">
      <formula1>"Y, N"</formula1>
    </dataValidation>
    <dataValidation type="list" allowBlank="1" showInputMessage="1" showErrorMessage="1" sqref="D658">
      <formula1>FDDValList</formula1>
    </dataValidation>
    <dataValidation type="list" allowBlank="1" showInputMessage="1" showErrorMessage="1" sqref="F658">
      <formula1>"I, O, M, D, N"</formula1>
    </dataValidation>
    <dataValidation type="list" allowBlank="1" showInputMessage="1" showErrorMessage="1" sqref="G658">
      <formula1>"Y, N"</formula1>
    </dataValidation>
    <dataValidation type="list" allowBlank="1" showInputMessage="1" showErrorMessage="1" sqref="D659">
      <formula1>FDDValList</formula1>
    </dataValidation>
    <dataValidation type="list" allowBlank="1" showInputMessage="1" showErrorMessage="1" sqref="F659">
      <formula1>"I, O, M, D, N"</formula1>
    </dataValidation>
    <dataValidation type="list" allowBlank="1" showInputMessage="1" showErrorMessage="1" sqref="G659">
      <formula1>"Y, N"</formula1>
    </dataValidation>
    <dataValidation type="list" allowBlank="1" showInputMessage="1" showErrorMessage="1" sqref="D660">
      <formula1>FDDValList</formula1>
    </dataValidation>
    <dataValidation type="list" allowBlank="1" showInputMessage="1" showErrorMessage="1" sqref="F660">
      <formula1>"I, O, M, D, N"</formula1>
    </dataValidation>
    <dataValidation type="list" allowBlank="1" showInputMessage="1" showErrorMessage="1" sqref="G660">
      <formula1>"Y, N"</formula1>
    </dataValidation>
    <dataValidation type="list" allowBlank="1" showInputMessage="1" showErrorMessage="1" sqref="D661">
      <formula1>FDDValList</formula1>
    </dataValidation>
    <dataValidation type="list" allowBlank="1" showInputMessage="1" showErrorMessage="1" sqref="F661">
      <formula1>"I, O, M, D, N"</formula1>
    </dataValidation>
    <dataValidation type="list" allowBlank="1" showInputMessage="1" showErrorMessage="1" sqref="G661">
      <formula1>"Y, N"</formula1>
    </dataValidation>
    <dataValidation type="list" allowBlank="1" showInputMessage="1" showErrorMessage="1" sqref="D662">
      <formula1>FDDValList</formula1>
    </dataValidation>
    <dataValidation type="list" allowBlank="1" showInputMessage="1" showErrorMessage="1" sqref="F662">
      <formula1>"I, O, M, D, N"</formula1>
    </dataValidation>
    <dataValidation type="list" allowBlank="1" showInputMessage="1" showErrorMessage="1" sqref="G662">
      <formula1>"Y, N"</formula1>
    </dataValidation>
    <dataValidation type="list" allowBlank="1" showInputMessage="1" showErrorMessage="1" sqref="D663">
      <formula1>FDDValList</formula1>
    </dataValidation>
    <dataValidation type="list" allowBlank="1" showInputMessage="1" showErrorMessage="1" sqref="F663">
      <formula1>"I, O, M, D, N"</formula1>
    </dataValidation>
    <dataValidation type="list" allowBlank="1" showInputMessage="1" showErrorMessage="1" sqref="G663">
      <formula1>"Y, N"</formula1>
    </dataValidation>
    <dataValidation type="list" allowBlank="1" showInputMessage="1" showErrorMessage="1" sqref="D664">
      <formula1>FDDValList</formula1>
    </dataValidation>
    <dataValidation type="list" allowBlank="1" showInputMessage="1" showErrorMessage="1" sqref="F664">
      <formula1>"I, O, M, D, N"</formula1>
    </dataValidation>
    <dataValidation type="list" allowBlank="1" showInputMessage="1" showErrorMessage="1" sqref="G664">
      <formula1>"Y, N"</formula1>
    </dataValidation>
    <dataValidation type="list" allowBlank="1" showInputMessage="1" showErrorMessage="1" sqref="D665">
      <formula1>FDDValList</formula1>
    </dataValidation>
    <dataValidation type="list" allowBlank="1" showInputMessage="1" showErrorMessage="1" sqref="F665">
      <formula1>"I, O, M, D, N"</formula1>
    </dataValidation>
    <dataValidation type="list" allowBlank="1" showInputMessage="1" showErrorMessage="1" sqref="G665">
      <formula1>"Y, N"</formula1>
    </dataValidation>
    <dataValidation type="list" allowBlank="1" showInputMessage="1" showErrorMessage="1" sqref="D666">
      <formula1>FDDValList</formula1>
    </dataValidation>
    <dataValidation type="list" allowBlank="1" showInputMessage="1" showErrorMessage="1" sqref="F666">
      <formula1>"I, O, M, D, N"</formula1>
    </dataValidation>
    <dataValidation type="list" allowBlank="1" showInputMessage="1" showErrorMessage="1" sqref="G666">
      <formula1>"Y, N"</formula1>
    </dataValidation>
    <dataValidation type="list" allowBlank="1" showInputMessage="1" showErrorMessage="1" sqref="D667">
      <formula1>FDDValList</formula1>
    </dataValidation>
    <dataValidation type="list" allowBlank="1" showInputMessage="1" showErrorMessage="1" sqref="F667">
      <formula1>"I, O, M, D, N"</formula1>
    </dataValidation>
    <dataValidation type="list" allowBlank="1" showInputMessage="1" showErrorMessage="1" sqref="G667">
      <formula1>"Y, N"</formula1>
    </dataValidation>
    <dataValidation type="list" allowBlank="1" showInputMessage="1" showErrorMessage="1" sqref="D668">
      <formula1>FDDValList</formula1>
    </dataValidation>
    <dataValidation type="list" allowBlank="1" showInputMessage="1" showErrorMessage="1" sqref="F668">
      <formula1>"I, O, M, D, N"</formula1>
    </dataValidation>
    <dataValidation type="list" allowBlank="1" showInputMessage="1" showErrorMessage="1" sqref="G668">
      <formula1>"Y, N"</formula1>
    </dataValidation>
    <dataValidation type="list" allowBlank="1" showInputMessage="1" showErrorMessage="1" sqref="D669">
      <formula1>FDDValList</formula1>
    </dataValidation>
    <dataValidation type="list" allowBlank="1" showInputMessage="1" showErrorMessage="1" sqref="F669">
      <formula1>"I, O, M, D, N"</formula1>
    </dataValidation>
    <dataValidation type="list" allowBlank="1" showInputMessage="1" showErrorMessage="1" sqref="G669">
      <formula1>"Y, N"</formula1>
    </dataValidation>
    <dataValidation type="list" allowBlank="1" showInputMessage="1" showErrorMessage="1" sqref="D670">
      <formula1>FDDValList</formula1>
    </dataValidation>
    <dataValidation type="list" allowBlank="1" showInputMessage="1" showErrorMessage="1" sqref="F670">
      <formula1>"I, O, M, D, N"</formula1>
    </dataValidation>
    <dataValidation type="list" allowBlank="1" showInputMessage="1" showErrorMessage="1" sqref="G670">
      <formula1>"Y, N"</formula1>
    </dataValidation>
    <dataValidation type="list" allowBlank="1" showInputMessage="1" showErrorMessage="1" sqref="D671">
      <formula1>FDDValList</formula1>
    </dataValidation>
    <dataValidation type="list" allowBlank="1" showInputMessage="1" showErrorMessage="1" sqref="F671">
      <formula1>"I, O, M, D, N"</formula1>
    </dataValidation>
    <dataValidation type="list" allowBlank="1" showInputMessage="1" showErrorMessage="1" sqref="G671">
      <formula1>"Y, N"</formula1>
    </dataValidation>
    <dataValidation type="list" allowBlank="1" showInputMessage="1" showErrorMessage="1" sqref="D672">
      <formula1>FDDValList</formula1>
    </dataValidation>
    <dataValidation type="list" allowBlank="1" showInputMessage="1" showErrorMessage="1" sqref="F672">
      <formula1>"I, O, M, D, N"</formula1>
    </dataValidation>
    <dataValidation type="list" allowBlank="1" showInputMessage="1" showErrorMessage="1" sqref="G672">
      <formula1>"Y, N"</formula1>
    </dataValidation>
    <dataValidation type="list" allowBlank="1" showInputMessage="1" showErrorMessage="1" sqref="D673">
      <formula1>FDDValList</formula1>
    </dataValidation>
    <dataValidation type="list" allowBlank="1" showInputMessage="1" showErrorMessage="1" sqref="F673">
      <formula1>"I, O, M, D, N"</formula1>
    </dataValidation>
    <dataValidation type="list" allowBlank="1" showInputMessage="1" showErrorMessage="1" sqref="G673">
      <formula1>"Y, N"</formula1>
    </dataValidation>
    <dataValidation type="list" allowBlank="1" showInputMessage="1" showErrorMessage="1" sqref="D674">
      <formula1>FDDValList</formula1>
    </dataValidation>
    <dataValidation type="list" allowBlank="1" showInputMessage="1" showErrorMessage="1" sqref="F674">
      <formula1>"I, O, M, D, N"</formula1>
    </dataValidation>
    <dataValidation type="list" allowBlank="1" showInputMessage="1" showErrorMessage="1" sqref="G674">
      <formula1>"Y, N"</formula1>
    </dataValidation>
    <dataValidation type="list" allowBlank="1" showInputMessage="1" showErrorMessage="1" sqref="D675">
      <formula1>FDDValList</formula1>
    </dataValidation>
    <dataValidation type="list" allowBlank="1" showInputMessage="1" showErrorMessage="1" sqref="F675">
      <formula1>"I, O, M, D, N"</formula1>
    </dataValidation>
    <dataValidation type="list" allowBlank="1" showInputMessage="1" showErrorMessage="1" sqref="G675">
      <formula1>"Y, N"</formula1>
    </dataValidation>
    <dataValidation type="list" allowBlank="1" showInputMessage="1" showErrorMessage="1" sqref="D676">
      <formula1>FDDValList</formula1>
    </dataValidation>
    <dataValidation type="list" allowBlank="1" showInputMessage="1" showErrorMessage="1" sqref="F676">
      <formula1>"I, O, M, D, N"</formula1>
    </dataValidation>
    <dataValidation type="list" allowBlank="1" showInputMessage="1" showErrorMessage="1" sqref="G676">
      <formula1>"Y, N"</formula1>
    </dataValidation>
    <dataValidation type="list" allowBlank="1" showInputMessage="1" showErrorMessage="1" sqref="D677">
      <formula1>FDDValList</formula1>
    </dataValidation>
    <dataValidation type="list" allowBlank="1" showInputMessage="1" showErrorMessage="1" sqref="F677">
      <formula1>"I, O, M, D, N"</formula1>
    </dataValidation>
    <dataValidation type="list" allowBlank="1" showInputMessage="1" showErrorMessage="1" sqref="G677">
      <formula1>"Y, N"</formula1>
    </dataValidation>
    <dataValidation type="list" allowBlank="1" showInputMessage="1" showErrorMessage="1" sqref="D678">
      <formula1>FDDValList</formula1>
    </dataValidation>
    <dataValidation type="list" allowBlank="1" showInputMessage="1" showErrorMessage="1" sqref="F678">
      <formula1>"I, O, M, D, N"</formula1>
    </dataValidation>
    <dataValidation type="list" allowBlank="1" showInputMessage="1" showErrorMessage="1" sqref="G678">
      <formula1>"Y, N"</formula1>
    </dataValidation>
    <dataValidation type="list" allowBlank="1" showInputMessage="1" showErrorMessage="1" sqref="D679">
      <formula1>FDDValList</formula1>
    </dataValidation>
    <dataValidation type="list" allowBlank="1" showInputMessage="1" showErrorMessage="1" sqref="F679">
      <formula1>"I, O, M, D, N"</formula1>
    </dataValidation>
    <dataValidation type="list" allowBlank="1" showInputMessage="1" showErrorMessage="1" sqref="G679">
      <formula1>"Y, N"</formula1>
    </dataValidation>
    <dataValidation type="list" allowBlank="1" showInputMessage="1" showErrorMessage="1" sqref="D680">
      <formula1>FDDValList</formula1>
    </dataValidation>
    <dataValidation type="list" allowBlank="1" showInputMessage="1" showErrorMessage="1" sqref="F680">
      <formula1>"I, O, M, D, N"</formula1>
    </dataValidation>
    <dataValidation type="list" allowBlank="1" showInputMessage="1" showErrorMessage="1" sqref="G680">
      <formula1>"Y, N"</formula1>
    </dataValidation>
    <dataValidation type="list" allowBlank="1" showInputMessage="1" showErrorMessage="1" sqref="D681">
      <formula1>FDDValList</formula1>
    </dataValidation>
    <dataValidation type="list" allowBlank="1" showInputMessage="1" showErrorMessage="1" sqref="F681">
      <formula1>"I, O, M, D, N"</formula1>
    </dataValidation>
    <dataValidation type="list" allowBlank="1" showInputMessage="1" showErrorMessage="1" sqref="G681">
      <formula1>"Y, N"</formula1>
    </dataValidation>
    <dataValidation type="list" allowBlank="1" showInputMessage="1" showErrorMessage="1" sqref="D682">
      <formula1>FDDValList</formula1>
    </dataValidation>
    <dataValidation type="list" allowBlank="1" showInputMessage="1" showErrorMessage="1" sqref="F682">
      <formula1>"I, O, M, D, N"</formula1>
    </dataValidation>
    <dataValidation type="list" allowBlank="1" showInputMessage="1" showErrorMessage="1" sqref="G682">
      <formula1>"Y, N"</formula1>
    </dataValidation>
    <dataValidation type="list" allowBlank="1" showInputMessage="1" showErrorMessage="1" sqref="D683">
      <formula1>FDDValList</formula1>
    </dataValidation>
    <dataValidation type="list" allowBlank="1" showInputMessage="1" showErrorMessage="1" sqref="F683">
      <formula1>"I, O, M, D, N"</formula1>
    </dataValidation>
    <dataValidation type="list" allowBlank="1" showInputMessage="1" showErrorMessage="1" sqref="G683">
      <formula1>"Y, N"</formula1>
    </dataValidation>
    <dataValidation type="list" allowBlank="1" showInputMessage="1" showErrorMessage="1" sqref="D684">
      <formula1>FDDValList</formula1>
    </dataValidation>
    <dataValidation type="list" allowBlank="1" showInputMessage="1" showErrorMessage="1" sqref="F684">
      <formula1>"I, O, M, D, N"</formula1>
    </dataValidation>
    <dataValidation type="list" allowBlank="1" showInputMessage="1" showErrorMessage="1" sqref="G684">
      <formula1>"Y, N"</formula1>
    </dataValidation>
    <dataValidation type="list" allowBlank="1" showInputMessage="1" showErrorMessage="1" sqref="D685">
      <formula1>FDDValList</formula1>
    </dataValidation>
    <dataValidation type="list" allowBlank="1" showInputMessage="1" showErrorMessage="1" sqref="F685">
      <formula1>"I, O, M, D, N"</formula1>
    </dataValidation>
    <dataValidation type="list" allowBlank="1" showInputMessage="1" showErrorMessage="1" sqref="G685">
      <formula1>"Y, N"</formula1>
    </dataValidation>
    <dataValidation type="list" allowBlank="1" showInputMessage="1" showErrorMessage="1" sqref="D686">
      <formula1>FDDValList</formula1>
    </dataValidation>
    <dataValidation type="list" allowBlank="1" showInputMessage="1" showErrorMessage="1" sqref="F686">
      <formula1>"I, O, M, D, N"</formula1>
    </dataValidation>
    <dataValidation type="list" allowBlank="1" showInputMessage="1" showErrorMessage="1" sqref="G686">
      <formula1>"Y, N"</formula1>
    </dataValidation>
    <dataValidation type="list" allowBlank="1" showInputMessage="1" showErrorMessage="1" sqref="D687">
      <formula1>FDDValList</formula1>
    </dataValidation>
    <dataValidation type="list" allowBlank="1" showInputMessage="1" showErrorMessage="1" sqref="F687">
      <formula1>"I, O, M, D, N"</formula1>
    </dataValidation>
    <dataValidation type="list" allowBlank="1" showInputMessage="1" showErrorMessage="1" sqref="G687">
      <formula1>"Y, N"</formula1>
    </dataValidation>
    <dataValidation type="list" allowBlank="1" showInputMessage="1" showErrorMessage="1" sqref="D688">
      <formula1>FDDValList</formula1>
    </dataValidation>
    <dataValidation type="list" allowBlank="1" showInputMessage="1" showErrorMessage="1" sqref="F688">
      <formula1>"I, O, M, D, N"</formula1>
    </dataValidation>
    <dataValidation type="list" allowBlank="1" showInputMessage="1" showErrorMessage="1" sqref="G688">
      <formula1>"Y, N"</formula1>
    </dataValidation>
    <dataValidation type="list" allowBlank="1" showInputMessage="1" showErrorMessage="1" sqref="D689">
      <formula1>FDDValList</formula1>
    </dataValidation>
    <dataValidation type="list" allowBlank="1" showInputMessage="1" showErrorMessage="1" sqref="F689">
      <formula1>"I, O, M, D, N"</formula1>
    </dataValidation>
    <dataValidation type="list" allowBlank="1" showInputMessage="1" showErrorMessage="1" sqref="G689">
      <formula1>"Y, N"</formula1>
    </dataValidation>
    <dataValidation type="list" allowBlank="1" showInputMessage="1" showErrorMessage="1" sqref="D690">
      <formula1>FDDValList</formula1>
    </dataValidation>
    <dataValidation type="list" allowBlank="1" showInputMessage="1" showErrorMessage="1" sqref="F690">
      <formula1>"I, O, M, D, N"</formula1>
    </dataValidation>
    <dataValidation type="list" allowBlank="1" showInputMessage="1" showErrorMessage="1" sqref="G690">
      <formula1>"Y, N"</formula1>
    </dataValidation>
    <dataValidation type="list" allowBlank="1" showInputMessage="1" showErrorMessage="1" sqref="D691">
      <formula1>FDDValList</formula1>
    </dataValidation>
    <dataValidation type="list" allowBlank="1" showInputMessage="1" showErrorMessage="1" sqref="F691">
      <formula1>"I, O, M, D, N"</formula1>
    </dataValidation>
    <dataValidation type="list" allowBlank="1" showInputMessage="1" showErrorMessage="1" sqref="G691">
      <formula1>"Y, N"</formula1>
    </dataValidation>
    <dataValidation type="list" allowBlank="1" showInputMessage="1" showErrorMessage="1" sqref="D692">
      <formula1>FDDValList</formula1>
    </dataValidation>
    <dataValidation type="list" allowBlank="1" showInputMessage="1" showErrorMessage="1" sqref="F692">
      <formula1>"I, O, M, D, N"</formula1>
    </dataValidation>
    <dataValidation type="list" allowBlank="1" showInputMessage="1" showErrorMessage="1" sqref="G692">
      <formula1>"Y, N"</formula1>
    </dataValidation>
    <dataValidation type="list" allowBlank="1" showInputMessage="1" showErrorMessage="1" sqref="D693">
      <formula1>FDDValList</formula1>
    </dataValidation>
    <dataValidation type="list" allowBlank="1" showInputMessage="1" showErrorMessage="1" sqref="F693">
      <formula1>"I, O, M, D, N"</formula1>
    </dataValidation>
    <dataValidation type="list" allowBlank="1" showInputMessage="1" showErrorMessage="1" sqref="G693">
      <formula1>"Y, N"</formula1>
    </dataValidation>
    <dataValidation type="list" allowBlank="1" showInputMessage="1" showErrorMessage="1" sqref="D694">
      <formula1>FDDValList</formula1>
    </dataValidation>
    <dataValidation type="list" allowBlank="1" showInputMessage="1" showErrorMessage="1" sqref="F694">
      <formula1>"I, O, M, D, N"</formula1>
    </dataValidation>
    <dataValidation type="list" allowBlank="1" showInputMessage="1" showErrorMessage="1" sqref="G694">
      <formula1>"Y, N"</formula1>
    </dataValidation>
    <dataValidation type="list" allowBlank="1" showInputMessage="1" showErrorMessage="1" sqref="D695">
      <formula1>FDDValList</formula1>
    </dataValidation>
    <dataValidation type="list" allowBlank="1" showInputMessage="1" showErrorMessage="1" sqref="F695">
      <formula1>"I, O, M, D, N"</formula1>
    </dataValidation>
    <dataValidation type="list" allowBlank="1" showInputMessage="1" showErrorMessage="1" sqref="G695">
      <formula1>"Y, N"</formula1>
    </dataValidation>
    <dataValidation type="list" allowBlank="1" showInputMessage="1" showErrorMessage="1" sqref="D696">
      <formula1>FDDValList</formula1>
    </dataValidation>
    <dataValidation type="list" allowBlank="1" showInputMessage="1" showErrorMessage="1" sqref="F696">
      <formula1>"I, O, M, D, N"</formula1>
    </dataValidation>
    <dataValidation type="list" allowBlank="1" showInputMessage="1" showErrorMessage="1" sqref="G696">
      <formula1>"Y, N"</formula1>
    </dataValidation>
    <dataValidation type="list" allowBlank="1" showInputMessage="1" showErrorMessage="1" sqref="D697">
      <formula1>FDDValList</formula1>
    </dataValidation>
    <dataValidation type="list" allowBlank="1" showInputMessage="1" showErrorMessage="1" sqref="F697">
      <formula1>"I, O, M, D, N"</formula1>
    </dataValidation>
    <dataValidation type="list" allowBlank="1" showInputMessage="1" showErrorMessage="1" sqref="G697">
      <formula1>"Y, N"</formula1>
    </dataValidation>
    <dataValidation type="list" allowBlank="1" showInputMessage="1" showErrorMessage="1" sqref="D698">
      <formula1>FDDValList</formula1>
    </dataValidation>
    <dataValidation type="list" allowBlank="1" showInputMessage="1" showErrorMessage="1" sqref="F698">
      <formula1>"I, O, M, D, N"</formula1>
    </dataValidation>
    <dataValidation type="list" allowBlank="1" showInputMessage="1" showErrorMessage="1" sqref="G698">
      <formula1>"Y, N"</formula1>
    </dataValidation>
    <dataValidation type="list" allowBlank="1" showInputMessage="1" showErrorMessage="1" sqref="D699">
      <formula1>FDDValList</formula1>
    </dataValidation>
    <dataValidation type="list" allowBlank="1" showInputMessage="1" showErrorMessage="1" sqref="F699">
      <formula1>"I, O, M, D, N"</formula1>
    </dataValidation>
    <dataValidation type="list" allowBlank="1" showInputMessage="1" showErrorMessage="1" sqref="G699">
      <formula1>"Y, N"</formula1>
    </dataValidation>
    <dataValidation type="list" allowBlank="1" showInputMessage="1" showErrorMessage="1" sqref="D700">
      <formula1>FDDValList</formula1>
    </dataValidation>
    <dataValidation type="list" allowBlank="1" showInputMessage="1" showErrorMessage="1" sqref="F700">
      <formula1>"I, O, M, D, N"</formula1>
    </dataValidation>
    <dataValidation type="list" allowBlank="1" showInputMessage="1" showErrorMessage="1" sqref="G700">
      <formula1>"Y, N"</formula1>
    </dataValidation>
    <dataValidation type="list" allowBlank="1" showInputMessage="1" showErrorMessage="1" sqref="D701">
      <formula1>FDDValList</formula1>
    </dataValidation>
    <dataValidation type="list" allowBlank="1" showInputMessage="1" showErrorMessage="1" sqref="F701">
      <formula1>"I, O, M, D, N"</formula1>
    </dataValidation>
    <dataValidation type="list" allowBlank="1" showInputMessage="1" showErrorMessage="1" sqref="G701">
      <formula1>"Y, N"</formula1>
    </dataValidation>
    <dataValidation type="list" allowBlank="1" showInputMessage="1" showErrorMessage="1" sqref="D702">
      <formula1>FDDValList</formula1>
    </dataValidation>
    <dataValidation type="list" allowBlank="1" showInputMessage="1" showErrorMessage="1" sqref="F702">
      <formula1>"I, O, M, D, N"</formula1>
    </dataValidation>
    <dataValidation type="list" allowBlank="1" showInputMessage="1" showErrorMessage="1" sqref="G702">
      <formula1>"Y, N"</formula1>
    </dataValidation>
    <dataValidation type="list" allowBlank="1" showInputMessage="1" showErrorMessage="1" sqref="D703">
      <formula1>FDDValList</formula1>
    </dataValidation>
    <dataValidation type="list" allowBlank="1" showInputMessage="1" showErrorMessage="1" sqref="F703">
      <formula1>"I, O, M, D, N"</formula1>
    </dataValidation>
    <dataValidation type="list" allowBlank="1" showInputMessage="1" showErrorMessage="1" sqref="G703">
      <formula1>"Y, N"</formula1>
    </dataValidation>
    <dataValidation type="list" allowBlank="1" showInputMessage="1" showErrorMessage="1" sqref="D704">
      <formula1>FDDValList</formula1>
    </dataValidation>
    <dataValidation type="list" allowBlank="1" showInputMessage="1" showErrorMessage="1" sqref="F704">
      <formula1>"I, O, M, D, N"</formula1>
    </dataValidation>
    <dataValidation type="list" allowBlank="1" showInputMessage="1" showErrorMessage="1" sqref="G704">
      <formula1>"Y, N"</formula1>
    </dataValidation>
    <dataValidation type="list" allowBlank="1" showInputMessage="1" showErrorMessage="1" sqref="D705">
      <formula1>FDDValList</formula1>
    </dataValidation>
    <dataValidation type="list" allowBlank="1" showInputMessage="1" showErrorMessage="1" sqref="F705">
      <formula1>"I, O, M, D, N"</formula1>
    </dataValidation>
    <dataValidation type="list" allowBlank="1" showInputMessage="1" showErrorMessage="1" sqref="G705">
      <formula1>"Y, N"</formula1>
    </dataValidation>
    <dataValidation type="list" allowBlank="1" showInputMessage="1" showErrorMessage="1" sqref="D706">
      <formula1>FDDValList</formula1>
    </dataValidation>
    <dataValidation type="list" allowBlank="1" showInputMessage="1" showErrorMessage="1" sqref="F706">
      <formula1>"I, O, M, D, N"</formula1>
    </dataValidation>
    <dataValidation type="list" allowBlank="1" showInputMessage="1" showErrorMessage="1" sqref="G706">
      <formula1>"Y, N"</formula1>
    </dataValidation>
    <dataValidation type="list" allowBlank="1" showInputMessage="1" showErrorMessage="1" sqref="D707">
      <formula1>FDDValList</formula1>
    </dataValidation>
    <dataValidation type="list" allowBlank="1" showInputMessage="1" showErrorMessage="1" sqref="F707">
      <formula1>"I, O, M, D, N"</formula1>
    </dataValidation>
    <dataValidation type="list" allowBlank="1" showInputMessage="1" showErrorMessage="1" sqref="G707">
      <formula1>"Y, N"</formula1>
    </dataValidation>
    <dataValidation type="list" allowBlank="1" showInputMessage="1" showErrorMessage="1" sqref="D708">
      <formula1>FDDValList</formula1>
    </dataValidation>
    <dataValidation type="list" allowBlank="1" showInputMessage="1" showErrorMessage="1" sqref="F708">
      <formula1>"I, O, M, D, N"</formula1>
    </dataValidation>
    <dataValidation type="list" allowBlank="1" showInputMessage="1" showErrorMessage="1" sqref="G708">
      <formula1>"Y, N"</formula1>
    </dataValidation>
    <dataValidation type="list" allowBlank="1" showInputMessage="1" showErrorMessage="1" sqref="D709">
      <formula1>FDDValList</formula1>
    </dataValidation>
    <dataValidation type="list" allowBlank="1" showInputMessage="1" showErrorMessage="1" sqref="F709">
      <formula1>"I, O, M, D, N"</formula1>
    </dataValidation>
    <dataValidation type="list" allowBlank="1" showInputMessage="1" showErrorMessage="1" sqref="G709">
      <formula1>"Y, N"</formula1>
    </dataValidation>
    <dataValidation type="list" allowBlank="1" showInputMessage="1" showErrorMessage="1" sqref="D710">
      <formula1>FDDValList</formula1>
    </dataValidation>
    <dataValidation type="list" allowBlank="1" showInputMessage="1" showErrorMessage="1" sqref="F710">
      <formula1>"I, O, M, D, N"</formula1>
    </dataValidation>
    <dataValidation type="list" allowBlank="1" showInputMessage="1" showErrorMessage="1" sqref="G710">
      <formula1>"Y, N"</formula1>
    </dataValidation>
    <dataValidation type="list" allowBlank="1" showInputMessage="1" showErrorMessage="1" sqref="D711">
      <formula1>FDDValList</formula1>
    </dataValidation>
    <dataValidation type="list" allowBlank="1" showInputMessage="1" showErrorMessage="1" sqref="F711">
      <formula1>"I, O, M, D, N"</formula1>
    </dataValidation>
    <dataValidation type="list" allowBlank="1" showInputMessage="1" showErrorMessage="1" sqref="G711">
      <formula1>"Y, N"</formula1>
    </dataValidation>
    <dataValidation type="list" allowBlank="1" showInputMessage="1" showErrorMessage="1" sqref="D712">
      <formula1>FDDValList</formula1>
    </dataValidation>
    <dataValidation type="list" allowBlank="1" showInputMessage="1" showErrorMessage="1" sqref="F712">
      <formula1>"I, O, M, D, N"</formula1>
    </dataValidation>
    <dataValidation type="list" allowBlank="1" showInputMessage="1" showErrorMessage="1" sqref="G712">
      <formula1>"Y, N"</formula1>
    </dataValidation>
    <dataValidation type="list" allowBlank="1" showInputMessage="1" showErrorMessage="1" sqref="D713">
      <formula1>FDDValList</formula1>
    </dataValidation>
    <dataValidation type="list" allowBlank="1" showInputMessage="1" showErrorMessage="1" sqref="F713">
      <formula1>"I, O, M, D, N"</formula1>
    </dataValidation>
    <dataValidation type="list" allowBlank="1" showInputMessage="1" showErrorMessage="1" sqref="G713">
      <formula1>"Y, N"</formula1>
    </dataValidation>
    <dataValidation type="list" allowBlank="1" showInputMessage="1" showErrorMessage="1" sqref="D714">
      <formula1>FDDValList</formula1>
    </dataValidation>
    <dataValidation type="list" allowBlank="1" showInputMessage="1" showErrorMessage="1" sqref="F714">
      <formula1>"I, O, M, D, N"</formula1>
    </dataValidation>
    <dataValidation type="list" allowBlank="1" showInputMessage="1" showErrorMessage="1" sqref="G714">
      <formula1>"Y, N"</formula1>
    </dataValidation>
    <dataValidation type="list" allowBlank="1" showInputMessage="1" showErrorMessage="1" sqref="D715">
      <formula1>FDDValList</formula1>
    </dataValidation>
    <dataValidation type="list" allowBlank="1" showInputMessage="1" showErrorMessage="1" sqref="F715">
      <formula1>"I, O, M, D, N"</formula1>
    </dataValidation>
    <dataValidation type="list" allowBlank="1" showInputMessage="1" showErrorMessage="1" sqref="G715">
      <formula1>"Y, N"</formula1>
    </dataValidation>
    <dataValidation type="list" allowBlank="1" showInputMessage="1" showErrorMessage="1" sqref="D716">
      <formula1>FDDValList</formula1>
    </dataValidation>
    <dataValidation type="list" allowBlank="1" showInputMessage="1" showErrorMessage="1" sqref="F716">
      <formula1>"I, O, M, D, N"</formula1>
    </dataValidation>
    <dataValidation type="list" allowBlank="1" showInputMessage="1" showErrorMessage="1" sqref="G716">
      <formula1>"Y, N"</formula1>
    </dataValidation>
    <dataValidation type="list" allowBlank="1" showInputMessage="1" showErrorMessage="1" sqref="D717">
      <formula1>FDDValList</formula1>
    </dataValidation>
    <dataValidation type="list" allowBlank="1" showInputMessage="1" showErrorMessage="1" sqref="F717">
      <formula1>"I, O, M, D, N"</formula1>
    </dataValidation>
    <dataValidation type="list" allowBlank="1" showInputMessage="1" showErrorMessage="1" sqref="G717">
      <formula1>"Y, N"</formula1>
    </dataValidation>
    <dataValidation type="list" allowBlank="1" showInputMessage="1" showErrorMessage="1" sqref="D718">
      <formula1>FDDValList</formula1>
    </dataValidation>
    <dataValidation type="list" allowBlank="1" showInputMessage="1" showErrorMessage="1" sqref="F718">
      <formula1>"I, O, M, D, N"</formula1>
    </dataValidation>
    <dataValidation type="list" allowBlank="1" showInputMessage="1" showErrorMessage="1" sqref="G718">
      <formula1>"Y, N"</formula1>
    </dataValidation>
    <dataValidation type="list" allowBlank="1" showInputMessage="1" showErrorMessage="1" sqref="D719">
      <formula1>FDDValList</formula1>
    </dataValidation>
    <dataValidation type="list" allowBlank="1" showInputMessage="1" showErrorMessage="1" sqref="F719">
      <formula1>"I, O, M, D, N"</formula1>
    </dataValidation>
    <dataValidation type="list" allowBlank="1" showInputMessage="1" showErrorMessage="1" sqref="G719">
      <formula1>"Y, N"</formula1>
    </dataValidation>
    <dataValidation type="list" allowBlank="1" showInputMessage="1" showErrorMessage="1" sqref="D720">
      <formula1>FDDValList</formula1>
    </dataValidation>
    <dataValidation type="list" allowBlank="1" showInputMessage="1" showErrorMessage="1" sqref="F720">
      <formula1>"I, O, M, D, N"</formula1>
    </dataValidation>
    <dataValidation type="list" allowBlank="1" showInputMessage="1" showErrorMessage="1" sqref="G720">
      <formula1>"Y, N"</formula1>
    </dataValidation>
    <dataValidation type="list" allowBlank="1" showInputMessage="1" showErrorMessage="1" sqref="D721">
      <formula1>FDDValList</formula1>
    </dataValidation>
    <dataValidation type="list" allowBlank="1" showInputMessage="1" showErrorMessage="1" sqref="F721">
      <formula1>"I, O, M, D, N"</formula1>
    </dataValidation>
    <dataValidation type="list" allowBlank="1" showInputMessage="1" showErrorMessage="1" sqref="G721">
      <formula1>"Y, N"</formula1>
    </dataValidation>
    <dataValidation type="list" allowBlank="1" showInputMessage="1" showErrorMessage="1" sqref="D722">
      <formula1>FDDValList</formula1>
    </dataValidation>
    <dataValidation type="list" allowBlank="1" showInputMessage="1" showErrorMessage="1" sqref="F722">
      <formula1>"I, O, M, D, N"</formula1>
    </dataValidation>
    <dataValidation type="list" allowBlank="1" showInputMessage="1" showErrorMessage="1" sqref="G722">
      <formula1>"Y, N"</formula1>
    </dataValidation>
    <dataValidation type="list" allowBlank="1" showInputMessage="1" showErrorMessage="1" sqref="D723">
      <formula1>FDDValList</formula1>
    </dataValidation>
    <dataValidation type="list" allowBlank="1" showInputMessage="1" showErrorMessage="1" sqref="F723">
      <formula1>"I, O, M, D, N"</formula1>
    </dataValidation>
    <dataValidation type="list" allowBlank="1" showInputMessage="1" showErrorMessage="1" sqref="G723">
      <formula1>"Y, N"</formula1>
    </dataValidation>
    <dataValidation type="list" allowBlank="1" showInputMessage="1" showErrorMessage="1" sqref="D724">
      <formula1>FDDValList</formula1>
    </dataValidation>
    <dataValidation type="list" allowBlank="1" showInputMessage="1" showErrorMessage="1" sqref="F724">
      <formula1>"I, O, M, D, N"</formula1>
    </dataValidation>
    <dataValidation type="list" allowBlank="1" showInputMessage="1" showErrorMessage="1" sqref="G724">
      <formula1>"Y, N"</formula1>
    </dataValidation>
    <dataValidation type="list" allowBlank="1" showInputMessage="1" showErrorMessage="1" sqref="D725">
      <formula1>FDDValList</formula1>
    </dataValidation>
    <dataValidation type="list" allowBlank="1" showInputMessage="1" showErrorMessage="1" sqref="F725">
      <formula1>"I, O, M, D, N"</formula1>
    </dataValidation>
    <dataValidation type="list" allowBlank="1" showInputMessage="1" showErrorMessage="1" sqref="G725">
      <formula1>"Y, N"</formula1>
    </dataValidation>
    <dataValidation type="list" allowBlank="1" showInputMessage="1" showErrorMessage="1" sqref="D726">
      <formula1>FDDValList</formula1>
    </dataValidation>
    <dataValidation type="list" allowBlank="1" showInputMessage="1" showErrorMessage="1" sqref="F726">
      <formula1>"I, O, M, D, N"</formula1>
    </dataValidation>
    <dataValidation type="list" allowBlank="1" showInputMessage="1" showErrorMessage="1" sqref="G726">
      <formula1>"Y, N"</formula1>
    </dataValidation>
    <dataValidation type="list" allowBlank="1" showInputMessage="1" showErrorMessage="1" sqref="D727">
      <formula1>FDDValList</formula1>
    </dataValidation>
    <dataValidation type="list" allowBlank="1" showInputMessage="1" showErrorMessage="1" sqref="F727">
      <formula1>"I, O, M, D, N"</formula1>
    </dataValidation>
    <dataValidation type="list" allowBlank="1" showInputMessage="1" showErrorMessage="1" sqref="G727">
      <formula1>"Y, N"</formula1>
    </dataValidation>
    <dataValidation type="list" allowBlank="1" showInputMessage="1" showErrorMessage="1" sqref="D728">
      <formula1>FDDValList</formula1>
    </dataValidation>
    <dataValidation type="list" allowBlank="1" showInputMessage="1" showErrorMessage="1" sqref="F728">
      <formula1>"I, O, M, D, N"</formula1>
    </dataValidation>
    <dataValidation type="list" allowBlank="1" showInputMessage="1" showErrorMessage="1" sqref="G728">
      <formula1>"Y, N"</formula1>
    </dataValidation>
    <dataValidation type="list" allowBlank="1" showInputMessage="1" showErrorMessage="1" sqref="D729">
      <formula1>FDDValList</formula1>
    </dataValidation>
    <dataValidation type="list" allowBlank="1" showInputMessage="1" showErrorMessage="1" sqref="F729">
      <formula1>"I, O, M, D, N"</formula1>
    </dataValidation>
    <dataValidation type="list" allowBlank="1" showInputMessage="1" showErrorMessage="1" sqref="G729">
      <formula1>"Y, N"</formula1>
    </dataValidation>
    <dataValidation type="list" allowBlank="1" showInputMessage="1" showErrorMessage="1" sqref="D730">
      <formula1>FDDValList</formula1>
    </dataValidation>
    <dataValidation type="list" allowBlank="1" showInputMessage="1" showErrorMessage="1" sqref="F730">
      <formula1>"I, O, M, D, N"</formula1>
    </dataValidation>
    <dataValidation type="list" allowBlank="1" showInputMessage="1" showErrorMessage="1" sqref="G730">
      <formula1>"Y, N"</formula1>
    </dataValidation>
    <dataValidation type="list" allowBlank="1" showInputMessage="1" showErrorMessage="1" sqref="D731">
      <formula1>FDDValList</formula1>
    </dataValidation>
    <dataValidation type="list" allowBlank="1" showInputMessage="1" showErrorMessage="1" sqref="F731">
      <formula1>"I, O, M, D, N"</formula1>
    </dataValidation>
    <dataValidation type="list" allowBlank="1" showInputMessage="1" showErrorMessage="1" sqref="G731">
      <formula1>"Y, N"</formula1>
    </dataValidation>
    <dataValidation type="list" allowBlank="1" showInputMessage="1" showErrorMessage="1" sqref="D732">
      <formula1>FDDValList</formula1>
    </dataValidation>
    <dataValidation type="list" allowBlank="1" showInputMessage="1" showErrorMessage="1" sqref="F732">
      <formula1>"I, O, M, D, N"</formula1>
    </dataValidation>
    <dataValidation type="list" allowBlank="1" showInputMessage="1" showErrorMessage="1" sqref="G732">
      <formula1>"Y, N"</formula1>
    </dataValidation>
    <dataValidation type="list" allowBlank="1" showInputMessage="1" showErrorMessage="1" sqref="D733">
      <formula1>FDDValList</formula1>
    </dataValidation>
    <dataValidation type="list" allowBlank="1" showInputMessage="1" showErrorMessage="1" sqref="F733">
      <formula1>"I, O, M, D, N"</formula1>
    </dataValidation>
    <dataValidation type="list" allowBlank="1" showInputMessage="1" showErrorMessage="1" sqref="G733">
      <formula1>"Y, N"</formula1>
    </dataValidation>
    <dataValidation type="list" allowBlank="1" showInputMessage="1" showErrorMessage="1" sqref="D734">
      <formula1>FDDValList</formula1>
    </dataValidation>
    <dataValidation type="list" allowBlank="1" showInputMessage="1" showErrorMessage="1" sqref="F734">
      <formula1>"I, O, M, D, N"</formula1>
    </dataValidation>
    <dataValidation type="list" allowBlank="1" showInputMessage="1" showErrorMessage="1" sqref="G734">
      <formula1>"Y, N"</formula1>
    </dataValidation>
    <dataValidation type="list" allowBlank="1" showInputMessage="1" showErrorMessage="1" sqref="D735">
      <formula1>FDDValList</formula1>
    </dataValidation>
    <dataValidation type="list" allowBlank="1" showInputMessage="1" showErrorMessage="1" sqref="F735">
      <formula1>"I, O, M, D, N"</formula1>
    </dataValidation>
    <dataValidation type="list" allowBlank="1" showInputMessage="1" showErrorMessage="1" sqref="G735">
      <formula1>"Y, N"</formula1>
    </dataValidation>
    <dataValidation type="list" allowBlank="1" showInputMessage="1" showErrorMessage="1" sqref="D736">
      <formula1>FDDValList</formula1>
    </dataValidation>
    <dataValidation type="list" allowBlank="1" showInputMessage="1" showErrorMessage="1" sqref="F736">
      <formula1>"I, O, M, D, N"</formula1>
    </dataValidation>
    <dataValidation type="list" allowBlank="1" showInputMessage="1" showErrorMessage="1" sqref="G736">
      <formula1>"Y, N"</formula1>
    </dataValidation>
    <dataValidation type="list" allowBlank="1" showInputMessage="1" showErrorMessage="1" sqref="D737">
      <formula1>FDDValList</formula1>
    </dataValidation>
    <dataValidation type="list" allowBlank="1" showInputMessage="1" showErrorMessage="1" sqref="F737">
      <formula1>"I, O, M, D, N"</formula1>
    </dataValidation>
    <dataValidation type="list" allowBlank="1" showInputMessage="1" showErrorMessage="1" sqref="G737">
      <formula1>"Y, N"</formula1>
    </dataValidation>
    <dataValidation type="list" allowBlank="1" showInputMessage="1" showErrorMessage="1" sqref="D738">
      <formula1>FDDValList</formula1>
    </dataValidation>
    <dataValidation type="list" allowBlank="1" showInputMessage="1" showErrorMessage="1" sqref="F738">
      <formula1>"I, O, M, D, N"</formula1>
    </dataValidation>
    <dataValidation type="list" allowBlank="1" showInputMessage="1" showErrorMessage="1" sqref="G738">
      <formula1>"Y, N"</formula1>
    </dataValidation>
    <dataValidation type="list" allowBlank="1" showInputMessage="1" showErrorMessage="1" sqref="D739">
      <formula1>FDDValList</formula1>
    </dataValidation>
    <dataValidation type="list" allowBlank="1" showInputMessage="1" showErrorMessage="1" sqref="F739">
      <formula1>"I, O, M, D, N"</formula1>
    </dataValidation>
    <dataValidation type="list" allowBlank="1" showInputMessage="1" showErrorMessage="1" sqref="G739">
      <formula1>"Y, N"</formula1>
    </dataValidation>
    <dataValidation type="list" allowBlank="1" showInputMessage="1" showErrorMessage="1" sqref="D740">
      <formula1>FDDValList</formula1>
    </dataValidation>
    <dataValidation type="list" allowBlank="1" showInputMessage="1" showErrorMessage="1" sqref="F740">
      <formula1>"I, O, M, D, N"</formula1>
    </dataValidation>
    <dataValidation type="list" allowBlank="1" showInputMessage="1" showErrorMessage="1" sqref="G740">
      <formula1>"Y, N"</formula1>
    </dataValidation>
    <dataValidation type="list" allowBlank="1" showInputMessage="1" showErrorMessage="1" sqref="D741">
      <formula1>FDDValList</formula1>
    </dataValidation>
    <dataValidation type="list" allowBlank="1" showInputMessage="1" showErrorMessage="1" sqref="F741">
      <formula1>"I, O, M, D, N"</formula1>
    </dataValidation>
    <dataValidation type="list" allowBlank="1" showInputMessage="1" showErrorMessage="1" sqref="G741">
      <formula1>"Y, N"</formula1>
    </dataValidation>
    <dataValidation type="list" allowBlank="1" showInputMessage="1" showErrorMessage="1" sqref="D742">
      <formula1>FDDValList</formula1>
    </dataValidation>
    <dataValidation type="list" allowBlank="1" showInputMessage="1" showErrorMessage="1" sqref="F742">
      <formula1>"I, O, M, D, N"</formula1>
    </dataValidation>
    <dataValidation type="list" allowBlank="1" showInputMessage="1" showErrorMessage="1" sqref="G742">
      <formula1>"Y, N"</formula1>
    </dataValidation>
    <dataValidation type="list" allowBlank="1" showInputMessage="1" showErrorMessage="1" sqref="D743">
      <formula1>FDDValList</formula1>
    </dataValidation>
    <dataValidation type="list" allowBlank="1" showInputMessage="1" showErrorMessage="1" sqref="F743">
      <formula1>"I, O, M, D, N"</formula1>
    </dataValidation>
    <dataValidation type="list" allowBlank="1" showInputMessage="1" showErrorMessage="1" sqref="G743">
      <formula1>"Y, N"</formula1>
    </dataValidation>
    <dataValidation type="list" allowBlank="1" showInputMessage="1" showErrorMessage="1" sqref="D744">
      <formula1>FDDValList</formula1>
    </dataValidation>
    <dataValidation type="list" allowBlank="1" showInputMessage="1" showErrorMessage="1" sqref="F744">
      <formula1>"I, O, M, D, N"</formula1>
    </dataValidation>
    <dataValidation type="list" allowBlank="1" showInputMessage="1" showErrorMessage="1" sqref="G744">
      <formula1>"Y, N"</formula1>
    </dataValidation>
    <dataValidation type="list" allowBlank="1" showInputMessage="1" showErrorMessage="1" sqref="D745">
      <formula1>FDDValList</formula1>
    </dataValidation>
    <dataValidation type="list" allowBlank="1" showInputMessage="1" showErrorMessage="1" sqref="F745">
      <formula1>"I, O, M, D, N"</formula1>
    </dataValidation>
    <dataValidation type="list" allowBlank="1" showInputMessage="1" showErrorMessage="1" sqref="G745">
      <formula1>"Y, N"</formula1>
    </dataValidation>
    <dataValidation type="list" allowBlank="1" showInputMessage="1" showErrorMessage="1" sqref="D746">
      <formula1>FDDValList</formula1>
    </dataValidation>
    <dataValidation type="list" allowBlank="1" showInputMessage="1" showErrorMessage="1" sqref="F746">
      <formula1>"I, O, M, D, N"</formula1>
    </dataValidation>
    <dataValidation type="list" allowBlank="1" showInputMessage="1" showErrorMessage="1" sqref="G746">
      <formula1>"Y, N"</formula1>
    </dataValidation>
    <dataValidation type="list" allowBlank="1" showInputMessage="1" showErrorMessage="1" sqref="D747">
      <formula1>FDDValList</formula1>
    </dataValidation>
    <dataValidation type="list" allowBlank="1" showInputMessage="1" showErrorMessage="1" sqref="F747">
      <formula1>"I, O, M, D, N"</formula1>
    </dataValidation>
    <dataValidation type="list" allowBlank="1" showInputMessage="1" showErrorMessage="1" sqref="G747">
      <formula1>"Y, N"</formula1>
    </dataValidation>
    <dataValidation type="list" allowBlank="1" showInputMessage="1" showErrorMessage="1" sqref="D748">
      <formula1>FDDValList</formula1>
    </dataValidation>
    <dataValidation type="list" allowBlank="1" showInputMessage="1" showErrorMessage="1" sqref="F748">
      <formula1>"I, O, M, D, N"</formula1>
    </dataValidation>
    <dataValidation type="list" allowBlank="1" showInputMessage="1" showErrorMessage="1" sqref="G748">
      <formula1>"Y, N"</formula1>
    </dataValidation>
    <dataValidation type="list" allowBlank="1" showInputMessage="1" showErrorMessage="1" sqref="D749">
      <formula1>FDDValList</formula1>
    </dataValidation>
    <dataValidation type="list" allowBlank="1" showInputMessage="1" showErrorMessage="1" sqref="F749">
      <formula1>"I, O, M, D, N"</formula1>
    </dataValidation>
    <dataValidation type="list" allowBlank="1" showInputMessage="1" showErrorMessage="1" sqref="G749">
      <formula1>"Y, N"</formula1>
    </dataValidation>
    <dataValidation type="list" allowBlank="1" showInputMessage="1" showErrorMessage="1" sqref="D750">
      <formula1>FDDValList</formula1>
    </dataValidation>
    <dataValidation type="list" allowBlank="1" showInputMessage="1" showErrorMessage="1" sqref="F750">
      <formula1>"I, O, M, D, N"</formula1>
    </dataValidation>
    <dataValidation type="list" allowBlank="1" showInputMessage="1" showErrorMessage="1" sqref="G750">
      <formula1>"Y, N"</formula1>
    </dataValidation>
    <dataValidation type="list" allowBlank="1" showInputMessage="1" showErrorMessage="1" sqref="D751">
      <formula1>FDDValList</formula1>
    </dataValidation>
    <dataValidation type="list" allowBlank="1" showInputMessage="1" showErrorMessage="1" sqref="F751">
      <formula1>"I, O, M, D, N"</formula1>
    </dataValidation>
    <dataValidation type="list" allowBlank="1" showInputMessage="1" showErrorMessage="1" sqref="G751">
      <formula1>"Y, N"</formula1>
    </dataValidation>
    <dataValidation type="list" allowBlank="1" showInputMessage="1" showErrorMessage="1" sqref="D752">
      <formula1>FDDValList</formula1>
    </dataValidation>
    <dataValidation type="list" allowBlank="1" showInputMessage="1" showErrorMessage="1" sqref="F752">
      <formula1>"I, O, M, D, N"</formula1>
    </dataValidation>
    <dataValidation type="list" allowBlank="1" showInputMessage="1" showErrorMessage="1" sqref="G752">
      <formula1>"Y, N"</formula1>
    </dataValidation>
    <dataValidation type="list" allowBlank="1" showInputMessage="1" showErrorMessage="1" sqref="D753">
      <formula1>FDDValList</formula1>
    </dataValidation>
    <dataValidation type="list" allowBlank="1" showInputMessage="1" showErrorMessage="1" sqref="F753">
      <formula1>"I, O, M, D, N"</formula1>
    </dataValidation>
    <dataValidation type="list" allowBlank="1" showInputMessage="1" showErrorMessage="1" sqref="G753">
      <formula1>"Y, N"</formula1>
    </dataValidation>
    <dataValidation type="list" allowBlank="1" showInputMessage="1" showErrorMessage="1" sqref="D754">
      <formula1>FDDValList</formula1>
    </dataValidation>
    <dataValidation type="list" allowBlank="1" showInputMessage="1" showErrorMessage="1" sqref="F754">
      <formula1>"I, O, M, D, N"</formula1>
    </dataValidation>
    <dataValidation type="list" allowBlank="1" showInputMessage="1" showErrorMessage="1" sqref="G754">
      <formula1>"Y, N"</formula1>
    </dataValidation>
    <dataValidation type="list" allowBlank="1" showInputMessage="1" showErrorMessage="1" sqref="D755">
      <formula1>FDDValList</formula1>
    </dataValidation>
    <dataValidation type="list" allowBlank="1" showInputMessage="1" showErrorMessage="1" sqref="F755">
      <formula1>"I, O, M, D, N"</formula1>
    </dataValidation>
    <dataValidation type="list" allowBlank="1" showInputMessage="1" showErrorMessage="1" sqref="G755">
      <formula1>"Y, N"</formula1>
    </dataValidation>
    <dataValidation type="list" allowBlank="1" showInputMessage="1" showErrorMessage="1" sqref="D756">
      <formula1>FDDValList</formula1>
    </dataValidation>
    <dataValidation type="list" allowBlank="1" showInputMessage="1" showErrorMessage="1" sqref="F756">
      <formula1>"I, O, M, D, N"</formula1>
    </dataValidation>
    <dataValidation type="list" allowBlank="1" showInputMessage="1" showErrorMessage="1" sqref="G756">
      <formula1>"Y, N"</formula1>
    </dataValidation>
    <dataValidation type="list" allowBlank="1" showInputMessage="1" showErrorMessage="1" sqref="D757">
      <formula1>FDDValList</formula1>
    </dataValidation>
    <dataValidation type="list" allowBlank="1" showInputMessage="1" showErrorMessage="1" sqref="F757">
      <formula1>"I, O, M, D, N"</formula1>
    </dataValidation>
    <dataValidation type="list" allowBlank="1" showInputMessage="1" showErrorMessage="1" sqref="G757">
      <formula1>"Y, N"</formula1>
    </dataValidation>
    <dataValidation type="list" allowBlank="1" showInputMessage="1" showErrorMessage="1" sqref="D758">
      <formula1>FDDValList</formula1>
    </dataValidation>
    <dataValidation type="list" allowBlank="1" showInputMessage="1" showErrorMessage="1" sqref="F758">
      <formula1>"I, O, M, D, N"</formula1>
    </dataValidation>
    <dataValidation type="list" allowBlank="1" showInputMessage="1" showErrorMessage="1" sqref="G758">
      <formula1>"Y, N"</formula1>
    </dataValidation>
    <dataValidation type="list" allowBlank="1" showInputMessage="1" showErrorMessage="1" sqref="D759">
      <formula1>FDDValList</formula1>
    </dataValidation>
    <dataValidation type="list" allowBlank="1" showInputMessage="1" showErrorMessage="1" sqref="F759">
      <formula1>"I, O, M, D, N"</formula1>
    </dataValidation>
    <dataValidation type="list" allowBlank="1" showInputMessage="1" showErrorMessage="1" sqref="G759">
      <formula1>"Y, N"</formula1>
    </dataValidation>
    <dataValidation type="list" allowBlank="1" showInputMessage="1" showErrorMessage="1" sqref="D760">
      <formula1>FDDValList</formula1>
    </dataValidation>
    <dataValidation type="list" allowBlank="1" showInputMessage="1" showErrorMessage="1" sqref="F760">
      <formula1>"I, O, M, D, N"</formula1>
    </dataValidation>
    <dataValidation type="list" allowBlank="1" showInputMessage="1" showErrorMessage="1" sqref="G760">
      <formula1>"Y, N"</formula1>
    </dataValidation>
    <dataValidation type="list" allowBlank="1" showInputMessage="1" showErrorMessage="1" sqref="D761">
      <formula1>FDDValList</formula1>
    </dataValidation>
    <dataValidation type="list" allowBlank="1" showInputMessage="1" showErrorMessage="1" sqref="F761">
      <formula1>"I, O, M, D, N"</formula1>
    </dataValidation>
    <dataValidation type="list" allowBlank="1" showInputMessage="1" showErrorMessage="1" sqref="G761">
      <formula1>"Y, N"</formula1>
    </dataValidation>
    <dataValidation type="list" allowBlank="1" showInputMessage="1" showErrorMessage="1" sqref="D762">
      <formula1>FDDValList</formula1>
    </dataValidation>
    <dataValidation type="list" allowBlank="1" showInputMessage="1" showErrorMessage="1" sqref="F762">
      <formula1>"I, O, M, D, N"</formula1>
    </dataValidation>
    <dataValidation type="list" allowBlank="1" showInputMessage="1" showErrorMessage="1" sqref="G762">
      <formula1>"Y, N"</formula1>
    </dataValidation>
    <dataValidation type="list" allowBlank="1" showInputMessage="1" showErrorMessage="1" sqref="D763">
      <formula1>FDDValList</formula1>
    </dataValidation>
    <dataValidation type="list" allowBlank="1" showInputMessage="1" showErrorMessage="1" sqref="F763">
      <formula1>"I, O, M, D, N"</formula1>
    </dataValidation>
    <dataValidation type="list" allowBlank="1" showInputMessage="1" showErrorMessage="1" sqref="G763">
      <formula1>"Y, N"</formula1>
    </dataValidation>
    <dataValidation type="list" allowBlank="1" showInputMessage="1" showErrorMessage="1" sqref="D764">
      <formula1>FDDValList</formula1>
    </dataValidation>
    <dataValidation type="list" allowBlank="1" showInputMessage="1" showErrorMessage="1" sqref="F764">
      <formula1>"I, O, M, D, N"</formula1>
    </dataValidation>
    <dataValidation type="list" allowBlank="1" showInputMessage="1" showErrorMessage="1" sqref="G764">
      <formula1>"Y, N"</formula1>
    </dataValidation>
    <dataValidation type="list" allowBlank="1" showInputMessage="1" showErrorMessage="1" sqref="D765">
      <formula1>FDDValList</formula1>
    </dataValidation>
    <dataValidation type="list" allowBlank="1" showInputMessage="1" showErrorMessage="1" sqref="F765">
      <formula1>"I, O, M, D, N"</formula1>
    </dataValidation>
    <dataValidation type="list" allowBlank="1" showInputMessage="1" showErrorMessage="1" sqref="G765">
      <formula1>"Y, N"</formula1>
    </dataValidation>
    <dataValidation type="list" allowBlank="1" showInputMessage="1" showErrorMessage="1" sqref="D766">
      <formula1>FDDValList</formula1>
    </dataValidation>
    <dataValidation type="list" allowBlank="1" showInputMessage="1" showErrorMessage="1" sqref="F766">
      <formula1>"I, O, M, D, N"</formula1>
    </dataValidation>
    <dataValidation type="list" allowBlank="1" showInputMessage="1" showErrorMessage="1" sqref="G766">
      <formula1>"Y, N"</formula1>
    </dataValidation>
    <dataValidation type="list" allowBlank="1" showInputMessage="1" showErrorMessage="1" sqref="D767">
      <formula1>FDDValList</formula1>
    </dataValidation>
    <dataValidation type="list" allowBlank="1" showInputMessage="1" showErrorMessage="1" sqref="F767">
      <formula1>"I, O, M, D, N"</formula1>
    </dataValidation>
    <dataValidation type="list" allowBlank="1" showInputMessage="1" showErrorMessage="1" sqref="G767">
      <formula1>"Y, N"</formula1>
    </dataValidation>
    <dataValidation type="list" allowBlank="1" showInputMessage="1" showErrorMessage="1" sqref="D768">
      <formula1>FDDValList</formula1>
    </dataValidation>
    <dataValidation type="list" allowBlank="1" showInputMessage="1" showErrorMessage="1" sqref="F768">
      <formula1>"I, O, M, D, N"</formula1>
    </dataValidation>
    <dataValidation type="list" allowBlank="1" showInputMessage="1" showErrorMessage="1" sqref="G768">
      <formula1>"Y, N"</formula1>
    </dataValidation>
    <dataValidation type="list" allowBlank="1" showInputMessage="1" showErrorMessage="1" sqref="D769">
      <formula1>FDDValList</formula1>
    </dataValidation>
    <dataValidation type="list" allowBlank="1" showInputMessage="1" showErrorMessage="1" sqref="F769">
      <formula1>"I, O, M, D, N"</formula1>
    </dataValidation>
    <dataValidation type="list" allowBlank="1" showInputMessage="1" showErrorMessage="1" sqref="G769">
      <formula1>"Y, N"</formula1>
    </dataValidation>
    <dataValidation type="list" allowBlank="1" showInputMessage="1" showErrorMessage="1" sqref="D770">
      <formula1>FDDValList</formula1>
    </dataValidation>
    <dataValidation type="list" allowBlank="1" showInputMessage="1" showErrorMessage="1" sqref="F770">
      <formula1>"I, O, M, D, N"</formula1>
    </dataValidation>
    <dataValidation type="list" allowBlank="1" showInputMessage="1" showErrorMessage="1" sqref="G770">
      <formula1>"Y, N"</formula1>
    </dataValidation>
    <dataValidation type="list" allowBlank="1" showInputMessage="1" showErrorMessage="1" sqref="D771">
      <formula1>FDDValList</formula1>
    </dataValidation>
    <dataValidation type="list" allowBlank="1" showInputMessage="1" showErrorMessage="1" sqref="F771">
      <formula1>"I, O, M, D, N"</formula1>
    </dataValidation>
    <dataValidation type="list" allowBlank="1" showInputMessage="1" showErrorMessage="1" sqref="G771">
      <formula1>"Y, N"</formula1>
    </dataValidation>
    <dataValidation type="list" allowBlank="1" showInputMessage="1" showErrorMessage="1" sqref="D772">
      <formula1>FDDValList</formula1>
    </dataValidation>
    <dataValidation type="list" allowBlank="1" showInputMessage="1" showErrorMessage="1" sqref="F772">
      <formula1>"I, O, M, D, N"</formula1>
    </dataValidation>
    <dataValidation type="list" allowBlank="1" showInputMessage="1" showErrorMessage="1" sqref="G772">
      <formula1>"Y, N"</formula1>
    </dataValidation>
    <dataValidation type="list" allowBlank="1" showInputMessage="1" showErrorMessage="1" sqref="D773">
      <formula1>FDDValList</formula1>
    </dataValidation>
    <dataValidation type="list" allowBlank="1" showInputMessage="1" showErrorMessage="1" sqref="F773">
      <formula1>"I, O, M, D, N"</formula1>
    </dataValidation>
    <dataValidation type="list" allowBlank="1" showInputMessage="1" showErrorMessage="1" sqref="G773">
      <formula1>"Y, N"</formula1>
    </dataValidation>
    <dataValidation type="list" allowBlank="1" showInputMessage="1" showErrorMessage="1" sqref="D774">
      <formula1>FDDValList</formula1>
    </dataValidation>
    <dataValidation type="list" allowBlank="1" showInputMessage="1" showErrorMessage="1" sqref="F774">
      <formula1>"I, O, M, D, N"</formula1>
    </dataValidation>
    <dataValidation type="list" allowBlank="1" showInputMessage="1" showErrorMessage="1" sqref="G774">
      <formula1>"Y, N"</formula1>
    </dataValidation>
    <dataValidation type="list" allowBlank="1" showInputMessage="1" showErrorMessage="1" sqref="D775">
      <formula1>FDDValList</formula1>
    </dataValidation>
    <dataValidation type="list" allowBlank="1" showInputMessage="1" showErrorMessage="1" sqref="F775">
      <formula1>"I, O, M, D, N"</formula1>
    </dataValidation>
    <dataValidation type="list" allowBlank="1" showInputMessage="1" showErrorMessage="1" sqref="G775">
      <formula1>"Y, N"</formula1>
    </dataValidation>
    <dataValidation type="list" allowBlank="1" showInputMessage="1" showErrorMessage="1" sqref="D776">
      <formula1>FDDValList</formula1>
    </dataValidation>
    <dataValidation type="list" allowBlank="1" showInputMessage="1" showErrorMessage="1" sqref="F776">
      <formula1>"I, O, M, D, N"</formula1>
    </dataValidation>
    <dataValidation type="list" allowBlank="1" showInputMessage="1" showErrorMessage="1" sqref="G776">
      <formula1>"Y, N"</formula1>
    </dataValidation>
    <dataValidation type="list" allowBlank="1" showInputMessage="1" showErrorMessage="1" sqref="D777">
      <formula1>FDDValList</formula1>
    </dataValidation>
    <dataValidation type="list" allowBlank="1" showInputMessage="1" showErrorMessage="1" sqref="F777">
      <formula1>"I, O, M, D, N"</formula1>
    </dataValidation>
    <dataValidation type="list" allowBlank="1" showInputMessage="1" showErrorMessage="1" sqref="G777">
      <formula1>"Y, N"</formula1>
    </dataValidation>
    <dataValidation type="list" allowBlank="1" showInputMessage="1" showErrorMessage="1" sqref="D778">
      <formula1>FDDValList</formula1>
    </dataValidation>
    <dataValidation type="list" allowBlank="1" showInputMessage="1" showErrorMessage="1" sqref="F778">
      <formula1>"I, O, M, D, N"</formula1>
    </dataValidation>
    <dataValidation type="list" allowBlank="1" showInputMessage="1" showErrorMessage="1" sqref="G778">
      <formula1>"Y, N"</formula1>
    </dataValidation>
    <dataValidation type="list" allowBlank="1" showInputMessage="1" showErrorMessage="1" sqref="D779">
      <formula1>FDDValList</formula1>
    </dataValidation>
    <dataValidation type="list" allowBlank="1" showInputMessage="1" showErrorMessage="1" sqref="F779">
      <formula1>"I, O, M, D, N"</formula1>
    </dataValidation>
    <dataValidation type="list" allowBlank="1" showInputMessage="1" showErrorMessage="1" sqref="G779">
      <formula1>"Y, N"</formula1>
    </dataValidation>
    <dataValidation type="list" allowBlank="1" showInputMessage="1" showErrorMessage="1" sqref="D780">
      <formula1>FDDValList</formula1>
    </dataValidation>
    <dataValidation type="list" allowBlank="1" showInputMessage="1" showErrorMessage="1" sqref="F780">
      <formula1>"I, O, M, D, N"</formula1>
    </dataValidation>
    <dataValidation type="list" allowBlank="1" showInputMessage="1" showErrorMessage="1" sqref="G780">
      <formula1>"Y, N"</formula1>
    </dataValidation>
    <dataValidation type="list" allowBlank="1" showInputMessage="1" showErrorMessage="1" sqref="D781">
      <formula1>FDDValList</formula1>
    </dataValidation>
    <dataValidation type="list" allowBlank="1" showInputMessage="1" showErrorMessage="1" sqref="F781">
      <formula1>"I, O, M, D, N"</formula1>
    </dataValidation>
    <dataValidation type="list" allowBlank="1" showInputMessage="1" showErrorMessage="1" sqref="G781">
      <formula1>"Y, N"</formula1>
    </dataValidation>
    <dataValidation type="list" allowBlank="1" showInputMessage="1" showErrorMessage="1" sqref="D782">
      <formula1>FDDValList</formula1>
    </dataValidation>
    <dataValidation type="list" allowBlank="1" showInputMessage="1" showErrorMessage="1" sqref="F782">
      <formula1>"I, O, M, D, N"</formula1>
    </dataValidation>
    <dataValidation type="list" allowBlank="1" showInputMessage="1" showErrorMessage="1" sqref="G782">
      <formula1>"Y, N"</formula1>
    </dataValidation>
    <dataValidation type="list" allowBlank="1" showInputMessage="1" showErrorMessage="1" sqref="D783">
      <formula1>FDDValList</formula1>
    </dataValidation>
    <dataValidation type="list" allowBlank="1" showInputMessage="1" showErrorMessage="1" sqref="F783">
      <formula1>"I, O, M, D, N"</formula1>
    </dataValidation>
    <dataValidation type="list" allowBlank="1" showInputMessage="1" showErrorMessage="1" sqref="G783">
      <formula1>"Y, N"</formula1>
    </dataValidation>
    <dataValidation type="list" allowBlank="1" showInputMessage="1" showErrorMessage="1" sqref="D784">
      <formula1>FDDValList</formula1>
    </dataValidation>
    <dataValidation type="list" allowBlank="1" showInputMessage="1" showErrorMessage="1" sqref="F784">
      <formula1>"I, O, M, D, N"</formula1>
    </dataValidation>
    <dataValidation type="list" allowBlank="1" showInputMessage="1" showErrorMessage="1" sqref="G784">
      <formula1>"Y, N"</formula1>
    </dataValidation>
    <dataValidation type="list" allowBlank="1" showInputMessage="1" showErrorMessage="1" sqref="D785">
      <formula1>FDDValList</formula1>
    </dataValidation>
    <dataValidation type="list" allowBlank="1" showInputMessage="1" showErrorMessage="1" sqref="F785">
      <formula1>"I, O, M, D, N"</formula1>
    </dataValidation>
    <dataValidation type="list" allowBlank="1" showInputMessage="1" showErrorMessage="1" sqref="G785">
      <formula1>"Y, N"</formula1>
    </dataValidation>
    <dataValidation type="list" allowBlank="1" showInputMessage="1" showErrorMessage="1" sqref="D786">
      <formula1>FDDValList</formula1>
    </dataValidation>
    <dataValidation type="list" allowBlank="1" showInputMessage="1" showErrorMessage="1" sqref="F786">
      <formula1>"I, O, M, D, N"</formula1>
    </dataValidation>
    <dataValidation type="list" allowBlank="1" showInputMessage="1" showErrorMessage="1" sqref="G786">
      <formula1>"Y, N"</formula1>
    </dataValidation>
    <dataValidation type="list" allowBlank="1" showInputMessage="1" showErrorMessage="1" sqref="D787">
      <formula1>FDDValList</formula1>
    </dataValidation>
    <dataValidation type="list" allowBlank="1" showInputMessage="1" showErrorMessage="1" sqref="F787">
      <formula1>"I, O, M, D, N"</formula1>
    </dataValidation>
    <dataValidation type="list" allowBlank="1" showInputMessage="1" showErrorMessage="1" sqref="G787">
      <formula1>"Y, N"</formula1>
    </dataValidation>
    <dataValidation type="list" allowBlank="1" showInputMessage="1" showErrorMessage="1" sqref="D788">
      <formula1>FDDValList</formula1>
    </dataValidation>
    <dataValidation type="list" allowBlank="1" showInputMessage="1" showErrorMessage="1" sqref="F788">
      <formula1>"I, O, M, D, N"</formula1>
    </dataValidation>
    <dataValidation type="list" allowBlank="1" showInputMessage="1" showErrorMessage="1" sqref="G788">
      <formula1>"Y, N"</formula1>
    </dataValidation>
    <dataValidation type="list" allowBlank="1" showInputMessage="1" showErrorMessage="1" sqref="D789">
      <formula1>FDDValList</formula1>
    </dataValidation>
    <dataValidation type="list" allowBlank="1" showInputMessage="1" showErrorMessage="1" sqref="F789">
      <formula1>"I, O, M, D, N"</formula1>
    </dataValidation>
    <dataValidation type="list" allowBlank="1" showInputMessage="1" showErrorMessage="1" sqref="G789">
      <formula1>"Y, N"</formula1>
    </dataValidation>
    <dataValidation type="list" allowBlank="1" showInputMessage="1" showErrorMessage="1" sqref="D790">
      <formula1>FDDValList</formula1>
    </dataValidation>
    <dataValidation type="list" allowBlank="1" showInputMessage="1" showErrorMessage="1" sqref="F790">
      <formula1>"I, O, M, D, N"</formula1>
    </dataValidation>
    <dataValidation type="list" allowBlank="1" showInputMessage="1" showErrorMessage="1" sqref="G790">
      <formula1>"Y, N"</formula1>
    </dataValidation>
    <dataValidation type="list" allowBlank="1" showInputMessage="1" showErrorMessage="1" sqref="D791">
      <formula1>FDDValList</formula1>
    </dataValidation>
    <dataValidation type="list" allowBlank="1" showInputMessage="1" showErrorMessage="1" sqref="F791">
      <formula1>"I, O, M, D, N"</formula1>
    </dataValidation>
    <dataValidation type="list" allowBlank="1" showInputMessage="1" showErrorMessage="1" sqref="G791">
      <formula1>"Y, N"</formula1>
    </dataValidation>
    <dataValidation type="list" allowBlank="1" showInputMessage="1" showErrorMessage="1" sqref="D792">
      <formula1>FDDValList</formula1>
    </dataValidation>
    <dataValidation type="list" allowBlank="1" showInputMessage="1" showErrorMessage="1" sqref="F792">
      <formula1>"I, O, M, D, N"</formula1>
    </dataValidation>
    <dataValidation type="list" allowBlank="1" showInputMessage="1" showErrorMessage="1" sqref="G792">
      <formula1>"Y, N"</formula1>
    </dataValidation>
    <dataValidation type="list" allowBlank="1" showInputMessage="1" showErrorMessage="1" sqref="D793">
      <formula1>FDDValList</formula1>
    </dataValidation>
    <dataValidation type="list" allowBlank="1" showInputMessage="1" showErrorMessage="1" sqref="F793">
      <formula1>"I, O, M, D, N"</formula1>
    </dataValidation>
    <dataValidation type="list" allowBlank="1" showInputMessage="1" showErrorMessage="1" sqref="G793">
      <formula1>"Y, N"</formula1>
    </dataValidation>
    <dataValidation type="list" allowBlank="1" showInputMessage="1" showErrorMessage="1" sqref="D794">
      <formula1>FDDValList</formula1>
    </dataValidation>
    <dataValidation type="list" allowBlank="1" showInputMessage="1" showErrorMessage="1" sqref="F794">
      <formula1>"I, O, M, D, N"</formula1>
    </dataValidation>
    <dataValidation type="list" allowBlank="1" showInputMessage="1" showErrorMessage="1" sqref="G794">
      <formula1>"Y, N"</formula1>
    </dataValidation>
    <dataValidation type="list" allowBlank="1" showInputMessage="1" showErrorMessage="1" sqref="D795">
      <formula1>FDDValList</formula1>
    </dataValidation>
    <dataValidation type="list" allowBlank="1" showInputMessage="1" showErrorMessage="1" sqref="F795">
      <formula1>"I, O, M, D, N"</formula1>
    </dataValidation>
    <dataValidation type="list" allowBlank="1" showInputMessage="1" showErrorMessage="1" sqref="G795">
      <formula1>"Y, N"</formula1>
    </dataValidation>
    <dataValidation type="list" allowBlank="1" showInputMessage="1" showErrorMessage="1" sqref="D796">
      <formula1>FDDValList</formula1>
    </dataValidation>
    <dataValidation type="list" allowBlank="1" showInputMessage="1" showErrorMessage="1" sqref="F796">
      <formula1>"I, O, M, D, N"</formula1>
    </dataValidation>
    <dataValidation type="list" allowBlank="1" showInputMessage="1" showErrorMessage="1" sqref="G796">
      <formula1>"Y, N"</formula1>
    </dataValidation>
    <dataValidation type="list" allowBlank="1" showInputMessage="1" showErrorMessage="1" sqref="D797">
      <formula1>FDDValList</formula1>
    </dataValidation>
    <dataValidation type="list" allowBlank="1" showInputMessage="1" showErrorMessage="1" sqref="F797">
      <formula1>"I, O, M, D, N"</formula1>
    </dataValidation>
    <dataValidation type="list" allowBlank="1" showInputMessage="1" showErrorMessage="1" sqref="G797">
      <formula1>"Y, N"</formula1>
    </dataValidation>
    <dataValidation type="list" allowBlank="1" showInputMessage="1" showErrorMessage="1" sqref="D798">
      <formula1>FDDValList</formula1>
    </dataValidation>
    <dataValidation type="list" allowBlank="1" showInputMessage="1" showErrorMessage="1" sqref="F798">
      <formula1>"I, O, M, D, N"</formula1>
    </dataValidation>
    <dataValidation type="list" allowBlank="1" showInputMessage="1" showErrorMessage="1" sqref="G798">
      <formula1>"Y, N"</formula1>
    </dataValidation>
    <dataValidation type="list" allowBlank="1" showInputMessage="1" showErrorMessage="1" sqref="D799">
      <formula1>FDDValList</formula1>
    </dataValidation>
    <dataValidation type="list" allowBlank="1" showInputMessage="1" showErrorMessage="1" sqref="F799">
      <formula1>"I, O, M, D, N"</formula1>
    </dataValidation>
    <dataValidation type="list" allowBlank="1" showInputMessage="1" showErrorMessage="1" sqref="G799">
      <formula1>"Y, N"</formula1>
    </dataValidation>
    <dataValidation type="list" allowBlank="1" showInputMessage="1" showErrorMessage="1" sqref="D800">
      <formula1>FDDValList</formula1>
    </dataValidation>
    <dataValidation type="list" allowBlank="1" showInputMessage="1" showErrorMessage="1" sqref="F800">
      <formula1>"I, O, M, D, N"</formula1>
    </dataValidation>
    <dataValidation type="list" allowBlank="1" showInputMessage="1" showErrorMessage="1" sqref="G800">
      <formula1>"Y, N"</formula1>
    </dataValidation>
    <dataValidation type="list" allowBlank="1" showInputMessage="1" showErrorMessage="1" sqref="D801">
      <formula1>FDDValList</formula1>
    </dataValidation>
    <dataValidation type="list" allowBlank="1" showInputMessage="1" showErrorMessage="1" sqref="F801">
      <formula1>"I, O, M, D, N"</formula1>
    </dataValidation>
    <dataValidation type="list" allowBlank="1" showInputMessage="1" showErrorMessage="1" sqref="G801">
      <formula1>"Y, N"</formula1>
    </dataValidation>
    <dataValidation type="list" allowBlank="1" showInputMessage="1" showErrorMessage="1" sqref="D802">
      <formula1>FDDValList</formula1>
    </dataValidation>
    <dataValidation type="list" allowBlank="1" showInputMessage="1" showErrorMessage="1" sqref="F802">
      <formula1>"I, O, M, D, N"</formula1>
    </dataValidation>
    <dataValidation type="list" allowBlank="1" showInputMessage="1" showErrorMessage="1" sqref="G802">
      <formula1>"Y, N"</formula1>
    </dataValidation>
    <dataValidation type="list" allowBlank="1" showInputMessage="1" showErrorMessage="1" sqref="D803">
      <formula1>FDDValList</formula1>
    </dataValidation>
    <dataValidation type="list" allowBlank="1" showInputMessage="1" showErrorMessage="1" sqref="F803">
      <formula1>"I, O, M, D, N"</formula1>
    </dataValidation>
    <dataValidation type="list" allowBlank="1" showInputMessage="1" showErrorMessage="1" sqref="G803">
      <formula1>"Y, N"</formula1>
    </dataValidation>
    <dataValidation type="list" allowBlank="1" showInputMessage="1" showErrorMessage="1" sqref="D804">
      <formula1>FDDValList</formula1>
    </dataValidation>
    <dataValidation type="list" allowBlank="1" showInputMessage="1" showErrorMessage="1" sqref="F804">
      <formula1>"I, O, M, D, N"</formula1>
    </dataValidation>
    <dataValidation type="list" allowBlank="1" showInputMessage="1" showErrorMessage="1" sqref="G804">
      <formula1>"Y, N"</formula1>
    </dataValidation>
    <dataValidation type="list" allowBlank="1" showInputMessage="1" showErrorMessage="1" sqref="D805">
      <formula1>FDDValList</formula1>
    </dataValidation>
    <dataValidation type="list" allowBlank="1" showInputMessage="1" showErrorMessage="1" sqref="F805">
      <formula1>"I, O, M, D, N"</formula1>
    </dataValidation>
    <dataValidation type="list" allowBlank="1" showInputMessage="1" showErrorMessage="1" sqref="G805">
      <formula1>"Y, N"</formula1>
    </dataValidation>
    <dataValidation type="list" allowBlank="1" showInputMessage="1" showErrorMessage="1" sqref="D806">
      <formula1>FDDValList</formula1>
    </dataValidation>
    <dataValidation type="list" allowBlank="1" showInputMessage="1" showErrorMessage="1" sqref="F806">
      <formula1>"I, O, M, D, N"</formula1>
    </dataValidation>
    <dataValidation type="list" allowBlank="1" showInputMessage="1" showErrorMessage="1" sqref="G806">
      <formula1>"Y, N"</formula1>
    </dataValidation>
    <dataValidation type="list" allowBlank="1" showInputMessage="1" showErrorMessage="1" sqref="D807">
      <formula1>FDDValList</formula1>
    </dataValidation>
    <dataValidation type="list" allowBlank="1" showInputMessage="1" showErrorMessage="1" sqref="F807">
      <formula1>"I, O, M, D, N"</formula1>
    </dataValidation>
    <dataValidation type="list" allowBlank="1" showInputMessage="1" showErrorMessage="1" sqref="G807">
      <formula1>"Y, N"</formula1>
    </dataValidation>
    <dataValidation type="list" allowBlank="1" showInputMessage="1" showErrorMessage="1" sqref="D808">
      <formula1>FDDValList</formula1>
    </dataValidation>
    <dataValidation type="list" allowBlank="1" showInputMessage="1" showErrorMessage="1" sqref="F808">
      <formula1>"I, O, M, D, N"</formula1>
    </dataValidation>
    <dataValidation type="list" allowBlank="1" showInputMessage="1" showErrorMessage="1" sqref="G808">
      <formula1>"Y, N"</formula1>
    </dataValidation>
    <dataValidation type="list" allowBlank="1" showInputMessage="1" showErrorMessage="1" sqref="D809">
      <formula1>FDDValList</formula1>
    </dataValidation>
    <dataValidation type="list" allowBlank="1" showInputMessage="1" showErrorMessage="1" sqref="F809">
      <formula1>"I, O, M, D, N"</formula1>
    </dataValidation>
    <dataValidation type="list" allowBlank="1" showInputMessage="1" showErrorMessage="1" sqref="G809">
      <formula1>"Y, N"</formula1>
    </dataValidation>
    <dataValidation type="list" allowBlank="1" showInputMessage="1" showErrorMessage="1" sqref="D810">
      <formula1>FDDValList</formula1>
    </dataValidation>
    <dataValidation type="list" allowBlank="1" showInputMessage="1" showErrorMessage="1" sqref="F810">
      <formula1>"I, O, M, D, N"</formula1>
    </dataValidation>
    <dataValidation type="list" allowBlank="1" showInputMessage="1" showErrorMessage="1" sqref="G810">
      <formula1>"Y, N"</formula1>
    </dataValidation>
    <dataValidation type="list" allowBlank="1" showInputMessage="1" showErrorMessage="1" sqref="D811">
      <formula1>FDDValList</formula1>
    </dataValidation>
    <dataValidation type="list" allowBlank="1" showInputMessage="1" showErrorMessage="1" sqref="F811">
      <formula1>"I, O, M, D, N"</formula1>
    </dataValidation>
    <dataValidation type="list" allowBlank="1" showInputMessage="1" showErrorMessage="1" sqref="G811">
      <formula1>"Y, N"</formula1>
    </dataValidation>
    <dataValidation type="list" allowBlank="1" showInputMessage="1" showErrorMessage="1" sqref="D812">
      <formula1>FDDValList</formula1>
    </dataValidation>
    <dataValidation type="list" allowBlank="1" showInputMessage="1" showErrorMessage="1" sqref="F812">
      <formula1>"I, O, M, D, N"</formula1>
    </dataValidation>
    <dataValidation type="list" allowBlank="1" showInputMessage="1" showErrorMessage="1" sqref="G812">
      <formula1>"Y, N"</formula1>
    </dataValidation>
    <dataValidation type="list" allowBlank="1" showInputMessage="1" showErrorMessage="1" sqref="D813">
      <formula1>FDDValList</formula1>
    </dataValidation>
    <dataValidation type="list" allowBlank="1" showInputMessage="1" showErrorMessage="1" sqref="F813">
      <formula1>"I, O, M, D, N"</formula1>
    </dataValidation>
    <dataValidation type="list" allowBlank="1" showInputMessage="1" showErrorMessage="1" sqref="G813">
      <formula1>"Y, N"</formula1>
    </dataValidation>
    <dataValidation type="list" allowBlank="1" showInputMessage="1" showErrorMessage="1" sqref="D814">
      <formula1>FDDValList</formula1>
    </dataValidation>
    <dataValidation type="list" allowBlank="1" showInputMessage="1" showErrorMessage="1" sqref="F814">
      <formula1>"I, O, M, D, N"</formula1>
    </dataValidation>
    <dataValidation type="list" allowBlank="1" showInputMessage="1" showErrorMessage="1" sqref="G814">
      <formula1>"Y, N"</formula1>
    </dataValidation>
    <dataValidation type="list" allowBlank="1" showInputMessage="1" showErrorMessage="1" sqref="D815">
      <formula1>FDDValList</formula1>
    </dataValidation>
    <dataValidation type="list" allowBlank="1" showInputMessage="1" showErrorMessage="1" sqref="F815">
      <formula1>"I, O, M, D, N"</formula1>
    </dataValidation>
    <dataValidation type="list" allowBlank="1" showInputMessage="1" showErrorMessage="1" sqref="G815">
      <formula1>"Y, N"</formula1>
    </dataValidation>
    <dataValidation type="list" allowBlank="1" showInputMessage="1" showErrorMessage="1" sqref="D816">
      <formula1>FDDValList</formula1>
    </dataValidation>
    <dataValidation type="list" allowBlank="1" showInputMessage="1" showErrorMessage="1" sqref="F816">
      <formula1>"I, O, M, D, N"</formula1>
    </dataValidation>
    <dataValidation type="list" allowBlank="1" showInputMessage="1" showErrorMessage="1" sqref="G816">
      <formula1>"Y, N"</formula1>
    </dataValidation>
    <dataValidation type="list" allowBlank="1" showInputMessage="1" showErrorMessage="1" sqref="D817">
      <formula1>FDDValList</formula1>
    </dataValidation>
    <dataValidation type="list" allowBlank="1" showInputMessage="1" showErrorMessage="1" sqref="F817">
      <formula1>"I, O, M, D, N"</formula1>
    </dataValidation>
    <dataValidation type="list" allowBlank="1" showInputMessage="1" showErrorMessage="1" sqref="G817">
      <formula1>"Y, N"</formula1>
    </dataValidation>
    <dataValidation type="list" allowBlank="1" showInputMessage="1" showErrorMessage="1" sqref="D818">
      <formula1>FDDValList</formula1>
    </dataValidation>
    <dataValidation type="list" allowBlank="1" showInputMessage="1" showErrorMessage="1" sqref="F818">
      <formula1>"I, O, M, D, N"</formula1>
    </dataValidation>
    <dataValidation type="list" allowBlank="1" showInputMessage="1" showErrorMessage="1" sqref="G818">
      <formula1>"Y, N"</formula1>
    </dataValidation>
    <dataValidation type="list" allowBlank="1" showInputMessage="1" showErrorMessage="1" sqref="D819">
      <formula1>FDDValList</formula1>
    </dataValidation>
    <dataValidation type="list" allowBlank="1" showInputMessage="1" showErrorMessage="1" sqref="F819">
      <formula1>"I, O, M, D, N"</formula1>
    </dataValidation>
    <dataValidation type="list" allowBlank="1" showInputMessage="1" showErrorMessage="1" sqref="G819">
      <formula1>"Y, N"</formula1>
    </dataValidation>
    <dataValidation type="list" allowBlank="1" showInputMessage="1" showErrorMessage="1" sqref="D820">
      <formula1>FDDValList</formula1>
    </dataValidation>
    <dataValidation type="list" allowBlank="1" showInputMessage="1" showErrorMessage="1" sqref="F820">
      <formula1>"I, O, M, D, N"</formula1>
    </dataValidation>
    <dataValidation type="list" allowBlank="1" showInputMessage="1" showErrorMessage="1" sqref="G820">
      <formula1>"Y, N"</formula1>
    </dataValidation>
    <dataValidation type="list" allowBlank="1" showInputMessage="1" showErrorMessage="1" sqref="D821">
      <formula1>FDDValList</formula1>
    </dataValidation>
    <dataValidation type="list" allowBlank="1" showInputMessage="1" showErrorMessage="1" sqref="F821">
      <formula1>"I, O, M, D, N"</formula1>
    </dataValidation>
    <dataValidation type="list" allowBlank="1" showInputMessage="1" showErrorMessage="1" sqref="G821">
      <formula1>"Y, N"</formula1>
    </dataValidation>
    <dataValidation type="list" allowBlank="1" showInputMessage="1" showErrorMessage="1" sqref="D822">
      <formula1>FDDValList</formula1>
    </dataValidation>
    <dataValidation type="list" allowBlank="1" showInputMessage="1" showErrorMessage="1" sqref="F822">
      <formula1>"I, O, M, D, N"</formula1>
    </dataValidation>
    <dataValidation type="list" allowBlank="1" showInputMessage="1" showErrorMessage="1" sqref="G822">
      <formula1>"Y, N"</formula1>
    </dataValidation>
    <dataValidation type="list" allowBlank="1" showInputMessage="1" showErrorMessage="1" sqref="D823">
      <formula1>FDDValList</formula1>
    </dataValidation>
    <dataValidation type="list" allowBlank="1" showInputMessage="1" showErrorMessage="1" sqref="F823">
      <formula1>"I, O, M, D, N"</formula1>
    </dataValidation>
    <dataValidation type="list" allowBlank="1" showInputMessage="1" showErrorMessage="1" sqref="G823">
      <formula1>"Y, N"</formula1>
    </dataValidation>
    <dataValidation type="list" allowBlank="1" showInputMessage="1" showErrorMessage="1" sqref="D824">
      <formula1>FDDValList</formula1>
    </dataValidation>
    <dataValidation type="list" allowBlank="1" showInputMessage="1" showErrorMessage="1" sqref="F824">
      <formula1>"I, O, M, D, N"</formula1>
    </dataValidation>
    <dataValidation type="list" allowBlank="1" showInputMessage="1" showErrorMessage="1" sqref="G824">
      <formula1>"Y, N"</formula1>
    </dataValidation>
    <dataValidation type="list" allowBlank="1" showInputMessage="1" showErrorMessage="1" sqref="D825">
      <formula1>FDDValList</formula1>
    </dataValidation>
    <dataValidation type="list" allowBlank="1" showInputMessage="1" showErrorMessage="1" sqref="F825">
      <formula1>"I, O, M, D, N"</formula1>
    </dataValidation>
    <dataValidation type="list" allowBlank="1" showInputMessage="1" showErrorMessage="1" sqref="G825">
      <formula1>"Y, N"</formula1>
    </dataValidation>
    <dataValidation type="list" allowBlank="1" showInputMessage="1" showErrorMessage="1" sqref="D826">
      <formula1>FDDValList</formula1>
    </dataValidation>
    <dataValidation type="list" allowBlank="1" showInputMessage="1" showErrorMessage="1" sqref="F826">
      <formula1>"I, O, M, D, N"</formula1>
    </dataValidation>
    <dataValidation type="list" allowBlank="1" showInputMessage="1" showErrorMessage="1" sqref="G826">
      <formula1>"Y, N"</formula1>
    </dataValidation>
    <dataValidation type="list" allowBlank="1" showInputMessage="1" showErrorMessage="1" sqref="D827">
      <formula1>FDDValList</formula1>
    </dataValidation>
    <dataValidation type="list" allowBlank="1" showInputMessage="1" showErrorMessage="1" sqref="F827">
      <formula1>"I, O, M, D, N"</formula1>
    </dataValidation>
    <dataValidation type="list" allowBlank="1" showInputMessage="1" showErrorMessage="1" sqref="G827">
      <formula1>"Y, N"</formula1>
    </dataValidation>
    <dataValidation type="list" allowBlank="1" showInputMessage="1" showErrorMessage="1" sqref="D828">
      <formula1>FDDValList</formula1>
    </dataValidation>
    <dataValidation type="list" allowBlank="1" showInputMessage="1" showErrorMessage="1" sqref="F828">
      <formula1>"I, O, M, D, N"</formula1>
    </dataValidation>
    <dataValidation type="list" allowBlank="1" showInputMessage="1" showErrorMessage="1" sqref="G828">
      <formula1>"Y, N"</formula1>
    </dataValidation>
    <dataValidation type="list" allowBlank="1" showInputMessage="1" showErrorMessage="1" sqref="D829">
      <formula1>FDDValList</formula1>
    </dataValidation>
    <dataValidation type="list" allowBlank="1" showInputMessage="1" showErrorMessage="1" sqref="F829">
      <formula1>"I, O, M, D, N"</formula1>
    </dataValidation>
    <dataValidation type="list" allowBlank="1" showInputMessage="1" showErrorMessage="1" sqref="G829">
      <formula1>"Y, N"</formula1>
    </dataValidation>
    <dataValidation type="list" allowBlank="1" showInputMessage="1" showErrorMessage="1" sqref="D830">
      <formula1>FDDValList</formula1>
    </dataValidation>
    <dataValidation type="list" allowBlank="1" showInputMessage="1" showErrorMessage="1" sqref="F830">
      <formula1>"I, O, M, D, N"</formula1>
    </dataValidation>
    <dataValidation type="list" allowBlank="1" showInputMessage="1" showErrorMessage="1" sqref="G830">
      <formula1>"Y, N"</formula1>
    </dataValidation>
    <dataValidation type="list" allowBlank="1" showInputMessage="1" showErrorMessage="1" sqref="D831">
      <formula1>FDDValList</formula1>
    </dataValidation>
    <dataValidation type="list" allowBlank="1" showInputMessage="1" showErrorMessage="1" sqref="F831">
      <formula1>"I, O, M, D, N"</formula1>
    </dataValidation>
    <dataValidation type="list" allowBlank="1" showInputMessage="1" showErrorMessage="1" sqref="G831">
      <formula1>"Y, N"</formula1>
    </dataValidation>
    <dataValidation type="list" allowBlank="1" showInputMessage="1" showErrorMessage="1" sqref="D832">
      <formula1>FDDValList</formula1>
    </dataValidation>
    <dataValidation type="list" allowBlank="1" showInputMessage="1" showErrorMessage="1" sqref="F832">
      <formula1>"I, O, M, D, N"</formula1>
    </dataValidation>
    <dataValidation type="list" allowBlank="1" showInputMessage="1" showErrorMessage="1" sqref="G832">
      <formula1>"Y, N"</formula1>
    </dataValidation>
    <dataValidation type="list" allowBlank="1" showInputMessage="1" showErrorMessage="1" sqref="D833">
      <formula1>FDDValList</formula1>
    </dataValidation>
    <dataValidation type="list" allowBlank="1" showInputMessage="1" showErrorMessage="1" sqref="F833">
      <formula1>"I, O, M, D, N"</formula1>
    </dataValidation>
    <dataValidation type="list" allowBlank="1" showInputMessage="1" showErrorMessage="1" sqref="G833">
      <formula1>"Y, N"</formula1>
    </dataValidation>
    <dataValidation type="list" allowBlank="1" showInputMessage="1" showErrorMessage="1" sqref="D834">
      <formula1>FDDValList</formula1>
    </dataValidation>
    <dataValidation type="list" allowBlank="1" showInputMessage="1" showErrorMessage="1" sqref="F834">
      <formula1>"I, O, M, D, N"</formula1>
    </dataValidation>
    <dataValidation type="list" allowBlank="1" showInputMessage="1" showErrorMessage="1" sqref="G834">
      <formula1>"Y, N"</formula1>
    </dataValidation>
    <dataValidation type="list" allowBlank="1" showInputMessage="1" showErrorMessage="1" sqref="D835">
      <formula1>FDDValList</formula1>
    </dataValidation>
    <dataValidation type="list" allowBlank="1" showInputMessage="1" showErrorMessage="1" sqref="F835">
      <formula1>"I, O, M, D, N"</formula1>
    </dataValidation>
    <dataValidation type="list" allowBlank="1" showInputMessage="1" showErrorMessage="1" sqref="G835">
      <formula1>"Y, N"</formula1>
    </dataValidation>
    <dataValidation type="list" allowBlank="1" showInputMessage="1" showErrorMessage="1" sqref="D836">
      <formula1>FDDValList</formula1>
    </dataValidation>
    <dataValidation type="list" allowBlank="1" showInputMessage="1" showErrorMessage="1" sqref="F836">
      <formula1>"I, O, M, D, N"</formula1>
    </dataValidation>
    <dataValidation type="list" allowBlank="1" showInputMessage="1" showErrorMessage="1" sqref="G836">
      <formula1>"Y, N"</formula1>
    </dataValidation>
    <dataValidation type="list" allowBlank="1" showInputMessage="1" showErrorMessage="1" sqref="D837">
      <formula1>FDDValList</formula1>
    </dataValidation>
    <dataValidation type="list" allowBlank="1" showInputMessage="1" showErrorMessage="1" sqref="F837">
      <formula1>"I, O, M, D, N"</formula1>
    </dataValidation>
    <dataValidation type="list" allowBlank="1" showInputMessage="1" showErrorMessage="1" sqref="G837">
      <formula1>"Y, N"</formula1>
    </dataValidation>
    <dataValidation type="list" allowBlank="1" showInputMessage="1" showErrorMessage="1" sqref="D838">
      <formula1>FDDValList</formula1>
    </dataValidation>
    <dataValidation type="list" allowBlank="1" showInputMessage="1" showErrorMessage="1" sqref="F838">
      <formula1>"I, O, M, D, N"</formula1>
    </dataValidation>
    <dataValidation type="list" allowBlank="1" showInputMessage="1" showErrorMessage="1" sqref="G838">
      <formula1>"Y, N"</formula1>
    </dataValidation>
    <dataValidation type="list" allowBlank="1" showInputMessage="1" showErrorMessage="1" sqref="D839">
      <formula1>FDDValList</formula1>
    </dataValidation>
    <dataValidation type="list" allowBlank="1" showInputMessage="1" showErrorMessage="1" sqref="F839">
      <formula1>"I, O, M, D, N"</formula1>
    </dataValidation>
    <dataValidation type="list" allowBlank="1" showInputMessage="1" showErrorMessage="1" sqref="G839">
      <formula1>"Y, N"</formula1>
    </dataValidation>
    <dataValidation type="list" allowBlank="1" showInputMessage="1" showErrorMessage="1" sqref="D840">
      <formula1>FDDValList</formula1>
    </dataValidation>
    <dataValidation type="list" allowBlank="1" showInputMessage="1" showErrorMessage="1" sqref="F840">
      <formula1>"I, O, M, D, N"</formula1>
    </dataValidation>
    <dataValidation type="list" allowBlank="1" showInputMessage="1" showErrorMessage="1" sqref="G840">
      <formula1>"Y, N"</formula1>
    </dataValidation>
    <dataValidation type="list" allowBlank="1" showInputMessage="1" showErrorMessage="1" sqref="D841">
      <formula1>FDDValList</formula1>
    </dataValidation>
    <dataValidation type="list" allowBlank="1" showInputMessage="1" showErrorMessage="1" sqref="F841">
      <formula1>"I, O, M, D, N"</formula1>
    </dataValidation>
    <dataValidation type="list" allowBlank="1" showInputMessage="1" showErrorMessage="1" sqref="G841">
      <formula1>"Y, N"</formula1>
    </dataValidation>
    <dataValidation type="list" allowBlank="1" showInputMessage="1" showErrorMessage="1" sqref="D842">
      <formula1>FDDValList</formula1>
    </dataValidation>
    <dataValidation type="list" allowBlank="1" showInputMessage="1" showErrorMessage="1" sqref="F842">
      <formula1>"I, O, M, D, N"</formula1>
    </dataValidation>
    <dataValidation type="list" allowBlank="1" showInputMessage="1" showErrorMessage="1" sqref="G842">
      <formula1>"Y, N"</formula1>
    </dataValidation>
    <dataValidation type="list" allowBlank="1" showInputMessage="1" showErrorMessage="1" sqref="D843">
      <formula1>FDDValList</formula1>
    </dataValidation>
    <dataValidation type="list" allowBlank="1" showInputMessage="1" showErrorMessage="1" sqref="F843">
      <formula1>"I, O, M, D, N"</formula1>
    </dataValidation>
    <dataValidation type="list" allowBlank="1" showInputMessage="1" showErrorMessage="1" sqref="G843">
      <formula1>"Y, N"</formula1>
    </dataValidation>
    <dataValidation type="list" allowBlank="1" showInputMessage="1" showErrorMessage="1" sqref="D844">
      <formula1>FDDValList</formula1>
    </dataValidation>
    <dataValidation type="list" allowBlank="1" showInputMessage="1" showErrorMessage="1" sqref="F844">
      <formula1>"I, O, M, D, N"</formula1>
    </dataValidation>
    <dataValidation type="list" allowBlank="1" showInputMessage="1" showErrorMessage="1" sqref="G844">
      <formula1>"Y, N"</formula1>
    </dataValidation>
    <dataValidation type="list" allowBlank="1" showInputMessage="1" showErrorMessage="1" sqref="D845">
      <formula1>FDDValList</formula1>
    </dataValidation>
    <dataValidation type="list" allowBlank="1" showInputMessage="1" showErrorMessage="1" sqref="F845">
      <formula1>"I, O, M, D, N"</formula1>
    </dataValidation>
    <dataValidation type="list" allowBlank="1" showInputMessage="1" showErrorMessage="1" sqref="G845">
      <formula1>"Y, N"</formula1>
    </dataValidation>
    <dataValidation type="list" allowBlank="1" showInputMessage="1" showErrorMessage="1" sqref="D846">
      <formula1>FDDValList</formula1>
    </dataValidation>
    <dataValidation type="list" allowBlank="1" showInputMessage="1" showErrorMessage="1" sqref="F846">
      <formula1>"I, O, M, D, N"</formula1>
    </dataValidation>
    <dataValidation type="list" allowBlank="1" showInputMessage="1" showErrorMessage="1" sqref="G846">
      <formula1>"Y, N"</formula1>
    </dataValidation>
    <dataValidation type="list" allowBlank="1" showInputMessage="1" showErrorMessage="1" sqref="D847">
      <formula1>FDDValList</formula1>
    </dataValidation>
    <dataValidation type="list" allowBlank="1" showInputMessage="1" showErrorMessage="1" sqref="F847">
      <formula1>"I, O, M, D, N"</formula1>
    </dataValidation>
    <dataValidation type="list" allowBlank="1" showInputMessage="1" showErrorMessage="1" sqref="G847">
      <formula1>"Y, N"</formula1>
    </dataValidation>
    <dataValidation type="list" allowBlank="1" showInputMessage="1" showErrorMessage="1" sqref="D848">
      <formula1>FDDValList</formula1>
    </dataValidation>
    <dataValidation type="list" allowBlank="1" showInputMessage="1" showErrorMessage="1" sqref="F848">
      <formula1>"I, O, M, D, N"</formula1>
    </dataValidation>
    <dataValidation type="list" allowBlank="1" showInputMessage="1" showErrorMessage="1" sqref="G848">
      <formula1>"Y, N"</formula1>
    </dataValidation>
    <dataValidation type="list" allowBlank="1" showInputMessage="1" showErrorMessage="1" sqref="D849">
      <formula1>FDDValList</formula1>
    </dataValidation>
    <dataValidation type="list" allowBlank="1" showInputMessage="1" showErrorMessage="1" sqref="F849">
      <formula1>"I, O, M, D, N"</formula1>
    </dataValidation>
    <dataValidation type="list" allowBlank="1" showInputMessage="1" showErrorMessage="1" sqref="G849">
      <formula1>"Y, N"</formula1>
    </dataValidation>
    <dataValidation type="list" allowBlank="1" showInputMessage="1" showErrorMessage="1" sqref="D850">
      <formula1>FDDValList</formula1>
    </dataValidation>
    <dataValidation type="list" allowBlank="1" showInputMessage="1" showErrorMessage="1" sqref="F850">
      <formula1>"I, O, M, D, N"</formula1>
    </dataValidation>
    <dataValidation type="list" allowBlank="1" showInputMessage="1" showErrorMessage="1" sqref="G850">
      <formula1>"Y, N"</formula1>
    </dataValidation>
    <dataValidation type="list" allowBlank="1" showInputMessage="1" showErrorMessage="1" sqref="D851">
      <formula1>FDDValList</formula1>
    </dataValidation>
    <dataValidation type="list" allowBlank="1" showInputMessage="1" showErrorMessage="1" sqref="F851">
      <formula1>"I, O, M, D, N"</formula1>
    </dataValidation>
    <dataValidation type="list" allowBlank="1" showInputMessage="1" showErrorMessage="1" sqref="G851">
      <formula1>"Y, N"</formula1>
    </dataValidation>
    <dataValidation type="list" allowBlank="1" showInputMessage="1" showErrorMessage="1" sqref="D852">
      <formula1>FDDValList</formula1>
    </dataValidation>
    <dataValidation type="list" allowBlank="1" showInputMessage="1" showErrorMessage="1" sqref="F852">
      <formula1>"I, O, M, D, N"</formula1>
    </dataValidation>
    <dataValidation type="list" allowBlank="1" showInputMessage="1" showErrorMessage="1" sqref="G852">
      <formula1>"Y, N"</formula1>
    </dataValidation>
    <dataValidation type="list" allowBlank="1" showInputMessage="1" showErrorMessage="1" sqref="D853">
      <formula1>FDDValList</formula1>
    </dataValidation>
    <dataValidation type="list" allowBlank="1" showInputMessage="1" showErrorMessage="1" sqref="F853">
      <formula1>"I, O, M, D, N"</formula1>
    </dataValidation>
    <dataValidation type="list" allowBlank="1" showInputMessage="1" showErrorMessage="1" sqref="G853">
      <formula1>"Y, N"</formula1>
    </dataValidation>
    <dataValidation type="list" allowBlank="1" showInputMessage="1" showErrorMessage="1" sqref="D854">
      <formula1>FDDValList</formula1>
    </dataValidation>
    <dataValidation type="list" allowBlank="1" showInputMessage="1" showErrorMessage="1" sqref="F854">
      <formula1>"I, O, M, D, N"</formula1>
    </dataValidation>
    <dataValidation type="list" allowBlank="1" showInputMessage="1" showErrorMessage="1" sqref="G854">
      <formula1>"Y, N"</formula1>
    </dataValidation>
    <dataValidation type="list" allowBlank="1" showInputMessage="1" showErrorMessage="1" sqref="D855">
      <formula1>FDDValList</formula1>
    </dataValidation>
    <dataValidation type="list" allowBlank="1" showInputMessage="1" showErrorMessage="1" sqref="F855">
      <formula1>"I, O, M, D, N"</formula1>
    </dataValidation>
    <dataValidation type="list" allowBlank="1" showInputMessage="1" showErrorMessage="1" sqref="G855">
      <formula1>"Y, N"</formula1>
    </dataValidation>
    <dataValidation type="list" allowBlank="1" showInputMessage="1" showErrorMessage="1" sqref="D856">
      <formula1>FDDValList</formula1>
    </dataValidation>
    <dataValidation type="list" allowBlank="1" showInputMessage="1" showErrorMessage="1" sqref="F856">
      <formula1>"I, O, M, D, N"</formula1>
    </dataValidation>
    <dataValidation type="list" allowBlank="1" showInputMessage="1" showErrorMessage="1" sqref="G856">
      <formula1>"Y, N"</formula1>
    </dataValidation>
    <dataValidation type="list" allowBlank="1" showInputMessage="1" showErrorMessage="1" sqref="D857">
      <formula1>FDDValList</formula1>
    </dataValidation>
    <dataValidation type="list" allowBlank="1" showInputMessage="1" showErrorMessage="1" sqref="F857">
      <formula1>"I, O, M, D, N"</formula1>
    </dataValidation>
    <dataValidation type="list" allowBlank="1" showInputMessage="1" showErrorMessage="1" sqref="G857">
      <formula1>"Y, N"</formula1>
    </dataValidation>
    <dataValidation type="list" allowBlank="1" showInputMessage="1" showErrorMessage="1" sqref="D858">
      <formula1>FDDValList</formula1>
    </dataValidation>
    <dataValidation type="list" allowBlank="1" showInputMessage="1" showErrorMessage="1" sqref="F858">
      <formula1>"I, O, M, D, N"</formula1>
    </dataValidation>
    <dataValidation type="list" allowBlank="1" showInputMessage="1" showErrorMessage="1" sqref="G858">
      <formula1>"Y, N"</formula1>
    </dataValidation>
    <dataValidation type="list" allowBlank="1" showInputMessage="1" showErrorMessage="1" sqref="D859">
      <formula1>FDDValList</formula1>
    </dataValidation>
    <dataValidation type="list" allowBlank="1" showInputMessage="1" showErrorMessage="1" sqref="F859">
      <formula1>"I, O, M, D, N"</formula1>
    </dataValidation>
    <dataValidation type="list" allowBlank="1" showInputMessage="1" showErrorMessage="1" sqref="G859">
      <formula1>"Y, N"</formula1>
    </dataValidation>
    <dataValidation type="list" allowBlank="1" showInputMessage="1" showErrorMessage="1" sqref="D860">
      <formula1>FDDValList</formula1>
    </dataValidation>
    <dataValidation type="list" allowBlank="1" showInputMessage="1" showErrorMessage="1" sqref="F860">
      <formula1>"I, O, M, D, N"</formula1>
    </dataValidation>
    <dataValidation type="list" allowBlank="1" showInputMessage="1" showErrorMessage="1" sqref="G860">
      <formula1>"Y, N"</formula1>
    </dataValidation>
    <dataValidation type="list" allowBlank="1" showInputMessage="1" showErrorMessage="1" sqref="D861">
      <formula1>FDDValList</formula1>
    </dataValidation>
    <dataValidation type="list" allowBlank="1" showInputMessage="1" showErrorMessage="1" sqref="F861">
      <formula1>"I, O, M, D, N"</formula1>
    </dataValidation>
    <dataValidation type="list" allowBlank="1" showInputMessage="1" showErrorMessage="1" sqref="G861">
      <formula1>"Y, N"</formula1>
    </dataValidation>
    <dataValidation type="list" allowBlank="1" showInputMessage="1" showErrorMessage="1" sqref="D862">
      <formula1>FDDValList</formula1>
    </dataValidation>
    <dataValidation type="list" allowBlank="1" showInputMessage="1" showErrorMessage="1" sqref="F862">
      <formula1>"I, O, M, D, N"</formula1>
    </dataValidation>
    <dataValidation type="list" allowBlank="1" showInputMessage="1" showErrorMessage="1" sqref="G862">
      <formula1>"Y, N"</formula1>
    </dataValidation>
    <dataValidation type="list" allowBlank="1" showInputMessage="1" showErrorMessage="1" sqref="D863">
      <formula1>FDDValList</formula1>
    </dataValidation>
    <dataValidation type="list" allowBlank="1" showInputMessage="1" showErrorMessage="1" sqref="F863">
      <formula1>"I, O, M, D, N"</formula1>
    </dataValidation>
    <dataValidation type="list" allowBlank="1" showInputMessage="1" showErrorMessage="1" sqref="G863">
      <formula1>"Y, N"</formula1>
    </dataValidation>
    <dataValidation type="list" allowBlank="1" showInputMessage="1" showErrorMessage="1" sqref="D864">
      <formula1>FDDValList</formula1>
    </dataValidation>
    <dataValidation type="list" allowBlank="1" showInputMessage="1" showErrorMessage="1" sqref="F864">
      <formula1>"I, O, M, D, N"</formula1>
    </dataValidation>
    <dataValidation type="list" allowBlank="1" showInputMessage="1" showErrorMessage="1" sqref="G864">
      <formula1>"Y, N"</formula1>
    </dataValidation>
    <dataValidation type="list" allowBlank="1" showInputMessage="1" showErrorMessage="1" sqref="D865">
      <formula1>FDDValList</formula1>
    </dataValidation>
    <dataValidation type="list" allowBlank="1" showInputMessage="1" showErrorMessage="1" sqref="F865">
      <formula1>"I, O, M, D, N"</formula1>
    </dataValidation>
    <dataValidation type="list" allowBlank="1" showInputMessage="1" showErrorMessage="1" sqref="G865">
      <formula1>"Y, N"</formula1>
    </dataValidation>
    <dataValidation type="list" allowBlank="1" showInputMessage="1" showErrorMessage="1" sqref="D866">
      <formula1>FDDValList</formula1>
    </dataValidation>
    <dataValidation type="list" allowBlank="1" showInputMessage="1" showErrorMessage="1" sqref="F866">
      <formula1>"I, O, M, D, N"</formula1>
    </dataValidation>
    <dataValidation type="list" allowBlank="1" showInputMessage="1" showErrorMessage="1" sqref="G866">
      <formula1>"Y, N"</formula1>
    </dataValidation>
    <dataValidation type="list" allowBlank="1" showInputMessage="1" showErrorMessage="1" sqref="D867">
      <formula1>FDDValList</formula1>
    </dataValidation>
    <dataValidation type="list" allowBlank="1" showInputMessage="1" showErrorMessage="1" sqref="F867">
      <formula1>"I, O, M, D, N"</formula1>
    </dataValidation>
    <dataValidation type="list" allowBlank="1" showInputMessage="1" showErrorMessage="1" sqref="G867">
      <formula1>"Y, N"</formula1>
    </dataValidation>
    <dataValidation type="list" allowBlank="1" showInputMessage="1" showErrorMessage="1" sqref="D868">
      <formula1>FDDValList</formula1>
    </dataValidation>
    <dataValidation type="list" allowBlank="1" showInputMessage="1" showErrorMessage="1" sqref="F868">
      <formula1>"I, O, M, D, N"</formula1>
    </dataValidation>
    <dataValidation type="list" allowBlank="1" showInputMessage="1" showErrorMessage="1" sqref="G868">
      <formula1>"Y, N"</formula1>
    </dataValidation>
    <dataValidation type="list" allowBlank="1" showInputMessage="1" showErrorMessage="1" sqref="D869">
      <formula1>FDDValList</formula1>
    </dataValidation>
    <dataValidation type="list" allowBlank="1" showInputMessage="1" showErrorMessage="1" sqref="F869">
      <formula1>"I, O, M, D, N"</formula1>
    </dataValidation>
    <dataValidation type="list" allowBlank="1" showInputMessage="1" showErrorMessage="1" sqref="G869">
      <formula1>"Y, N"</formula1>
    </dataValidation>
    <dataValidation type="list" allowBlank="1" showInputMessage="1" showErrorMessage="1" sqref="D870">
      <formula1>FDDValList</formula1>
    </dataValidation>
    <dataValidation type="list" allowBlank="1" showInputMessage="1" showErrorMessage="1" sqref="F870">
      <formula1>"I, O, M, D, N"</formula1>
    </dataValidation>
    <dataValidation type="list" allowBlank="1" showInputMessage="1" showErrorMessage="1" sqref="G870">
      <formula1>"Y, N"</formula1>
    </dataValidation>
    <dataValidation type="list" allowBlank="1" showInputMessage="1" showErrorMessage="1" sqref="D871">
      <formula1>FDDValList</formula1>
    </dataValidation>
    <dataValidation type="list" allowBlank="1" showInputMessage="1" showErrorMessage="1" sqref="F871">
      <formula1>"I, O, M, D, N"</formula1>
    </dataValidation>
    <dataValidation type="list" allowBlank="1" showInputMessage="1" showErrorMessage="1" sqref="G871">
      <formula1>"Y, N"</formula1>
    </dataValidation>
    <dataValidation type="list" allowBlank="1" showInputMessage="1" showErrorMessage="1" sqref="D872">
      <formula1>FDDValList</formula1>
    </dataValidation>
    <dataValidation type="list" allowBlank="1" showInputMessage="1" showErrorMessage="1" sqref="F872">
      <formula1>"I, O, M, D, N"</formula1>
    </dataValidation>
    <dataValidation type="list" allowBlank="1" showInputMessage="1" showErrorMessage="1" sqref="G872">
      <formula1>"Y, N"</formula1>
    </dataValidation>
    <dataValidation type="list" allowBlank="1" showInputMessage="1" showErrorMessage="1" sqref="D873">
      <formula1>FDDValList</formula1>
    </dataValidation>
    <dataValidation type="list" allowBlank="1" showInputMessage="1" showErrorMessage="1" sqref="F873">
      <formula1>"I, O, M, D, N"</formula1>
    </dataValidation>
    <dataValidation type="list" allowBlank="1" showInputMessage="1" showErrorMessage="1" sqref="G873">
      <formula1>"Y, N"</formula1>
    </dataValidation>
    <dataValidation type="list" allowBlank="1" showInputMessage="1" showErrorMessage="1" sqref="D874">
      <formula1>FDDValList</formula1>
    </dataValidation>
    <dataValidation type="list" allowBlank="1" showInputMessage="1" showErrorMessage="1" sqref="F874">
      <formula1>"I, O, M, D, N"</formula1>
    </dataValidation>
    <dataValidation type="list" allowBlank="1" showInputMessage="1" showErrorMessage="1" sqref="G874">
      <formula1>"Y, N"</formula1>
    </dataValidation>
    <dataValidation type="list" allowBlank="1" showInputMessage="1" showErrorMessage="1" sqref="D875">
      <formula1>FDDValList</formula1>
    </dataValidation>
    <dataValidation type="list" allowBlank="1" showInputMessage="1" showErrorMessage="1" sqref="F875">
      <formula1>"I, O, M, D, N"</formula1>
    </dataValidation>
    <dataValidation type="list" allowBlank="1" showInputMessage="1" showErrorMessage="1" sqref="G875">
      <formula1>"Y, N"</formula1>
    </dataValidation>
    <dataValidation type="list" allowBlank="1" showInputMessage="1" showErrorMessage="1" sqref="D876">
      <formula1>FDDValList</formula1>
    </dataValidation>
    <dataValidation type="list" allowBlank="1" showInputMessage="1" showErrorMessage="1" sqref="F876">
      <formula1>"I, O, M, D, N"</formula1>
    </dataValidation>
    <dataValidation type="list" allowBlank="1" showInputMessage="1" showErrorMessage="1" sqref="G876">
      <formula1>"Y, N"</formula1>
    </dataValidation>
    <dataValidation type="list" allowBlank="1" showInputMessage="1" showErrorMessage="1" sqref="D877">
      <formula1>FDDValList</formula1>
    </dataValidation>
    <dataValidation type="list" allowBlank="1" showInputMessage="1" showErrorMessage="1" sqref="F877">
      <formula1>"I, O, M, D, N"</formula1>
    </dataValidation>
    <dataValidation type="list" allowBlank="1" showInputMessage="1" showErrorMessage="1" sqref="G877">
      <formula1>"Y, N"</formula1>
    </dataValidation>
    <dataValidation type="list" allowBlank="1" showInputMessage="1" showErrorMessage="1" sqref="D878">
      <formula1>FDDValList</formula1>
    </dataValidation>
    <dataValidation type="list" allowBlank="1" showInputMessage="1" showErrorMessage="1" sqref="F878">
      <formula1>"I, O, M, D, N"</formula1>
    </dataValidation>
    <dataValidation type="list" allowBlank="1" showInputMessage="1" showErrorMessage="1" sqref="G878">
      <formula1>"Y, N"</formula1>
    </dataValidation>
    <dataValidation type="list" allowBlank="1" showInputMessage="1" showErrorMessage="1" sqref="D879">
      <formula1>FDDValList</formula1>
    </dataValidation>
    <dataValidation type="list" allowBlank="1" showInputMessage="1" showErrorMessage="1" sqref="F879">
      <formula1>"I, O, M, D, N"</formula1>
    </dataValidation>
    <dataValidation type="list" allowBlank="1" showInputMessage="1" showErrorMessage="1" sqref="G879">
      <formula1>"Y, N"</formula1>
    </dataValidation>
    <dataValidation type="list" allowBlank="1" showInputMessage="1" showErrorMessage="1" sqref="D880">
      <formula1>FDDValList</formula1>
    </dataValidation>
    <dataValidation type="list" allowBlank="1" showInputMessage="1" showErrorMessage="1" sqref="F880">
      <formula1>"I, O, M, D, N"</formula1>
    </dataValidation>
    <dataValidation type="list" allowBlank="1" showInputMessage="1" showErrorMessage="1" sqref="G880">
      <formula1>"Y, N"</formula1>
    </dataValidation>
    <dataValidation type="list" allowBlank="1" showInputMessage="1" showErrorMessage="1" sqref="D881">
      <formula1>FDDValList</formula1>
    </dataValidation>
    <dataValidation type="list" allowBlank="1" showInputMessage="1" showErrorMessage="1" sqref="F881">
      <formula1>"I, O, M, D, N"</formula1>
    </dataValidation>
    <dataValidation type="list" allowBlank="1" showInputMessage="1" showErrorMessage="1" sqref="G881">
      <formula1>"Y, N"</formula1>
    </dataValidation>
    <dataValidation type="list" allowBlank="1" showInputMessage="1" showErrorMessage="1" sqref="D882">
      <formula1>FDDValList</formula1>
    </dataValidation>
    <dataValidation type="list" allowBlank="1" showInputMessage="1" showErrorMessage="1" sqref="F882">
      <formula1>"I, O, M, D, N"</formula1>
    </dataValidation>
    <dataValidation type="list" allowBlank="1" showInputMessage="1" showErrorMessage="1" sqref="G882">
      <formula1>"Y, N"</formula1>
    </dataValidation>
    <dataValidation type="list" allowBlank="1" showInputMessage="1" showErrorMessage="1" sqref="D883">
      <formula1>FDDValList</formula1>
    </dataValidation>
    <dataValidation type="list" allowBlank="1" showInputMessage="1" showErrorMessage="1" sqref="F883">
      <formula1>"I, O, M, D, N"</formula1>
    </dataValidation>
    <dataValidation type="list" allowBlank="1" showInputMessage="1" showErrorMessage="1" sqref="G883">
      <formula1>"Y, N"</formula1>
    </dataValidation>
    <dataValidation type="list" allowBlank="1" showInputMessage="1" showErrorMessage="1" sqref="D884">
      <formula1>FDDValList</formula1>
    </dataValidation>
    <dataValidation type="list" allowBlank="1" showInputMessage="1" showErrorMessage="1" sqref="F884">
      <formula1>"I, O, M, D, N"</formula1>
    </dataValidation>
    <dataValidation type="list" allowBlank="1" showInputMessage="1" showErrorMessage="1" sqref="G884">
      <formula1>"Y, N"</formula1>
    </dataValidation>
    <dataValidation type="list" allowBlank="1" showInputMessage="1" showErrorMessage="1" sqref="D885">
      <formula1>FDDValList</formula1>
    </dataValidation>
    <dataValidation type="list" allowBlank="1" showInputMessage="1" showErrorMessage="1" sqref="F885">
      <formula1>"I, O, M, D, N"</formula1>
    </dataValidation>
    <dataValidation type="list" allowBlank="1" showInputMessage="1" showErrorMessage="1" sqref="G885">
      <formula1>"Y, N"</formula1>
    </dataValidation>
    <dataValidation type="list" allowBlank="1" showInputMessage="1" showErrorMessage="1" sqref="D886">
      <formula1>FDDValList</formula1>
    </dataValidation>
    <dataValidation type="list" allowBlank="1" showInputMessage="1" showErrorMessage="1" sqref="F886">
      <formula1>"I, O, M, D, N"</formula1>
    </dataValidation>
    <dataValidation type="list" allowBlank="1" showInputMessage="1" showErrorMessage="1" sqref="G886">
      <formula1>"Y, N"</formula1>
    </dataValidation>
    <dataValidation type="list" allowBlank="1" showInputMessage="1" showErrorMessage="1" sqref="D887">
      <formula1>FDDValList</formula1>
    </dataValidation>
    <dataValidation type="list" allowBlank="1" showInputMessage="1" showErrorMessage="1" sqref="F887">
      <formula1>"I, O, M, D, N"</formula1>
    </dataValidation>
    <dataValidation type="list" allowBlank="1" showInputMessage="1" showErrorMessage="1" sqref="G887">
      <formula1>"Y, N"</formula1>
    </dataValidation>
    <dataValidation type="list" allowBlank="1" showInputMessage="1" showErrorMessage="1" sqref="D888">
      <formula1>FDDValList</formula1>
    </dataValidation>
    <dataValidation type="list" allowBlank="1" showInputMessage="1" showErrorMessage="1" sqref="F888">
      <formula1>"I, O, M, D, N"</formula1>
    </dataValidation>
    <dataValidation type="list" allowBlank="1" showInputMessage="1" showErrorMessage="1" sqref="G888">
      <formula1>"Y, N"</formula1>
    </dataValidation>
    <dataValidation type="list" allowBlank="1" showInputMessage="1" showErrorMessage="1" sqref="D889">
      <formula1>FDDValList</formula1>
    </dataValidation>
    <dataValidation type="list" allowBlank="1" showInputMessage="1" showErrorMessage="1" sqref="F889">
      <formula1>"I, O, M, D, N"</formula1>
    </dataValidation>
    <dataValidation type="list" allowBlank="1" showInputMessage="1" showErrorMessage="1" sqref="G889">
      <formula1>"Y, N"</formula1>
    </dataValidation>
    <dataValidation type="list" allowBlank="1" showInputMessage="1" showErrorMessage="1" sqref="D890">
      <formula1>FDDValList</formula1>
    </dataValidation>
    <dataValidation type="list" allowBlank="1" showInputMessage="1" showErrorMessage="1" sqref="F890">
      <formula1>"I, O, M, D, N"</formula1>
    </dataValidation>
    <dataValidation type="list" allowBlank="1" showInputMessage="1" showErrorMessage="1" sqref="G890">
      <formula1>"Y, N"</formula1>
    </dataValidation>
    <dataValidation type="list" allowBlank="1" showInputMessage="1" showErrorMessage="1" sqref="D891">
      <formula1>FDDValList</formula1>
    </dataValidation>
    <dataValidation type="list" allowBlank="1" showInputMessage="1" showErrorMessage="1" sqref="F891">
      <formula1>"I, O, M, D, N"</formula1>
    </dataValidation>
    <dataValidation type="list" allowBlank="1" showInputMessage="1" showErrorMessage="1" sqref="G891">
      <formula1>"Y, N"</formula1>
    </dataValidation>
    <dataValidation type="list" allowBlank="1" showInputMessage="1" showErrorMessage="1" sqref="D892">
      <formula1>FDDValList</formula1>
    </dataValidation>
    <dataValidation type="list" allowBlank="1" showInputMessage="1" showErrorMessage="1" sqref="F892">
      <formula1>"I, O, M, D, N"</formula1>
    </dataValidation>
    <dataValidation type="list" allowBlank="1" showInputMessage="1" showErrorMessage="1" sqref="G892">
      <formula1>"Y, N"</formula1>
    </dataValidation>
    <dataValidation type="list" allowBlank="1" showInputMessage="1" showErrorMessage="1" sqref="D893">
      <formula1>FDDValList</formula1>
    </dataValidation>
    <dataValidation type="list" allowBlank="1" showInputMessage="1" showErrorMessage="1" sqref="F893">
      <formula1>"I, O, M, D, N"</formula1>
    </dataValidation>
    <dataValidation type="list" allowBlank="1" showInputMessage="1" showErrorMessage="1" sqref="G893">
      <formula1>"Y, N"</formula1>
    </dataValidation>
    <dataValidation type="list" allowBlank="1" showInputMessage="1" showErrorMessage="1" sqref="D894">
      <formula1>FDDValList</formula1>
    </dataValidation>
    <dataValidation type="list" allowBlank="1" showInputMessage="1" showErrorMessage="1" sqref="F894">
      <formula1>"I, O, M, D, N"</formula1>
    </dataValidation>
    <dataValidation type="list" allowBlank="1" showInputMessage="1" showErrorMessage="1" sqref="G894">
      <formula1>"Y, N"</formula1>
    </dataValidation>
    <dataValidation type="list" allowBlank="1" showInputMessage="1" showErrorMessage="1" sqref="D895">
      <formula1>FDDValList</formula1>
    </dataValidation>
    <dataValidation type="list" allowBlank="1" showInputMessage="1" showErrorMessage="1" sqref="F895">
      <formula1>"I, O, M, D, N"</formula1>
    </dataValidation>
    <dataValidation type="list" allowBlank="1" showInputMessage="1" showErrorMessage="1" sqref="G895">
      <formula1>"Y, N"</formula1>
    </dataValidation>
    <dataValidation type="list" allowBlank="1" showInputMessage="1" showErrorMessage="1" sqref="D896">
      <formula1>FDDValList</formula1>
    </dataValidation>
    <dataValidation type="list" allowBlank="1" showInputMessage="1" showErrorMessage="1" sqref="F896">
      <formula1>"I, O, M, D, N"</formula1>
    </dataValidation>
    <dataValidation type="list" allowBlank="1" showInputMessage="1" showErrorMessage="1" sqref="G896">
      <formula1>"Y, N"</formula1>
    </dataValidation>
    <dataValidation type="list" allowBlank="1" showInputMessage="1" showErrorMessage="1" sqref="D897">
      <formula1>FDDValList</formula1>
    </dataValidation>
    <dataValidation type="list" allowBlank="1" showInputMessage="1" showErrorMessage="1" sqref="F897">
      <formula1>"I, O, M, D, N"</formula1>
    </dataValidation>
    <dataValidation type="list" allowBlank="1" showInputMessage="1" showErrorMessage="1" sqref="G897">
      <formula1>"Y, N"</formula1>
    </dataValidation>
    <dataValidation type="list" allowBlank="1" showInputMessage="1" showErrorMessage="1" sqref="D898">
      <formula1>FDDValList</formula1>
    </dataValidation>
    <dataValidation type="list" allowBlank="1" showInputMessage="1" showErrorMessage="1" sqref="F898">
      <formula1>"I, O, M, D, N"</formula1>
    </dataValidation>
    <dataValidation type="list" allowBlank="1" showInputMessage="1" showErrorMessage="1" sqref="G898">
      <formula1>"Y, N"</formula1>
    </dataValidation>
    <dataValidation type="list" allowBlank="1" showInputMessage="1" showErrorMessage="1" sqref="D899">
      <formula1>FDDValList</formula1>
    </dataValidation>
    <dataValidation type="list" allowBlank="1" showInputMessage="1" showErrorMessage="1" sqref="F899">
      <formula1>"I, O, M, D, N"</formula1>
    </dataValidation>
    <dataValidation type="list" allowBlank="1" showInputMessage="1" showErrorMessage="1" sqref="G899">
      <formula1>"Y, N"</formula1>
    </dataValidation>
    <dataValidation type="list" allowBlank="1" showInputMessage="1" showErrorMessage="1" sqref="D900">
      <formula1>FDDValList</formula1>
    </dataValidation>
    <dataValidation type="list" allowBlank="1" showInputMessage="1" showErrorMessage="1" sqref="F900">
      <formula1>"I, O, M, D, N"</formula1>
    </dataValidation>
    <dataValidation type="list" allowBlank="1" showInputMessage="1" showErrorMessage="1" sqref="G900">
      <formula1>"Y, N"</formula1>
    </dataValidation>
    <dataValidation type="list" allowBlank="1" showInputMessage="1" showErrorMessage="1" sqref="D901">
      <formula1>FDDValList</formula1>
    </dataValidation>
    <dataValidation type="list" allowBlank="1" showInputMessage="1" showErrorMessage="1" sqref="F901">
      <formula1>"I, O, M, D, N"</formula1>
    </dataValidation>
    <dataValidation type="list" allowBlank="1" showInputMessage="1" showErrorMessage="1" sqref="G901">
      <formula1>"Y, N"</formula1>
    </dataValidation>
    <dataValidation type="list" allowBlank="1" showInputMessage="1" showErrorMessage="1" sqref="D902">
      <formula1>FDDValList</formula1>
    </dataValidation>
    <dataValidation type="list" allowBlank="1" showInputMessage="1" showErrorMessage="1" sqref="F902">
      <formula1>"I, O, M, D, N"</formula1>
    </dataValidation>
    <dataValidation type="list" allowBlank="1" showInputMessage="1" showErrorMessage="1" sqref="G902">
      <formula1>"Y, N"</formula1>
    </dataValidation>
    <dataValidation type="list" allowBlank="1" showInputMessage="1" showErrorMessage="1" sqref="D903">
      <formula1>FDDValList</formula1>
    </dataValidation>
    <dataValidation type="list" allowBlank="1" showInputMessage="1" showErrorMessage="1" sqref="F903">
      <formula1>"I, O, M, D, N"</formula1>
    </dataValidation>
    <dataValidation type="list" allowBlank="1" showInputMessage="1" showErrorMessage="1" sqref="G903">
      <formula1>"Y, N"</formula1>
    </dataValidation>
    <dataValidation type="list" allowBlank="1" showInputMessage="1" showErrorMessage="1" sqref="D904">
      <formula1>FDDValList</formula1>
    </dataValidation>
    <dataValidation type="list" allowBlank="1" showInputMessage="1" showErrorMessage="1" sqref="F904">
      <formula1>"I, O, M, D, N"</formula1>
    </dataValidation>
    <dataValidation type="list" allowBlank="1" showInputMessage="1" showErrorMessage="1" sqref="G904">
      <formula1>"Y, N"</formula1>
    </dataValidation>
    <dataValidation type="list" allowBlank="1" showInputMessage="1" showErrorMessage="1" sqref="D905">
      <formula1>FDDValList</formula1>
    </dataValidation>
    <dataValidation type="list" allowBlank="1" showInputMessage="1" showErrorMessage="1" sqref="F905">
      <formula1>"I, O, M, D, N"</formula1>
    </dataValidation>
    <dataValidation type="list" allowBlank="1" showInputMessage="1" showErrorMessage="1" sqref="G905">
      <formula1>"Y, N"</formula1>
    </dataValidation>
    <dataValidation type="list" allowBlank="1" showInputMessage="1" showErrorMessage="1" sqref="D906">
      <formula1>FDDValList</formula1>
    </dataValidation>
    <dataValidation type="list" allowBlank="1" showInputMessage="1" showErrorMessage="1" sqref="F906">
      <formula1>"I, O, M, D, N"</formula1>
    </dataValidation>
    <dataValidation type="list" allowBlank="1" showInputMessage="1" showErrorMessage="1" sqref="G906">
      <formula1>"Y, N"</formula1>
    </dataValidation>
    <dataValidation type="list" allowBlank="1" showInputMessage="1" showErrorMessage="1" sqref="D907">
      <formula1>FDDValList</formula1>
    </dataValidation>
    <dataValidation type="list" allowBlank="1" showInputMessage="1" showErrorMessage="1" sqref="F907">
      <formula1>"I, O, M, D, N"</formula1>
    </dataValidation>
    <dataValidation type="list" allowBlank="1" showInputMessage="1" showErrorMessage="1" sqref="G907">
      <formula1>"Y, N"</formula1>
    </dataValidation>
    <dataValidation type="list" allowBlank="1" showInputMessage="1" showErrorMessage="1" sqref="D908">
      <formula1>FDDValList</formula1>
    </dataValidation>
    <dataValidation type="list" allowBlank="1" showInputMessage="1" showErrorMessage="1" sqref="F908">
      <formula1>"I, O, M, D, N"</formula1>
    </dataValidation>
    <dataValidation type="list" allowBlank="1" showInputMessage="1" showErrorMessage="1" sqref="G908">
      <formula1>"Y, N"</formula1>
    </dataValidation>
    <dataValidation type="list" allowBlank="1" showInputMessage="1" showErrorMessage="1" sqref="D909">
      <formula1>FDDValList</formula1>
    </dataValidation>
    <dataValidation type="list" allowBlank="1" showInputMessage="1" showErrorMessage="1" sqref="F909">
      <formula1>"I, O, M, D, N"</formula1>
    </dataValidation>
    <dataValidation type="list" allowBlank="1" showInputMessage="1" showErrorMessage="1" sqref="G909">
      <formula1>"Y, N"</formula1>
    </dataValidation>
    <dataValidation type="list" allowBlank="1" showInputMessage="1" showErrorMessage="1" sqref="D910">
      <formula1>FDDValList</formula1>
    </dataValidation>
    <dataValidation type="list" allowBlank="1" showInputMessage="1" showErrorMessage="1" sqref="F910">
      <formula1>"I, O, M, D, N"</formula1>
    </dataValidation>
    <dataValidation type="list" allowBlank="1" showInputMessage="1" showErrorMessage="1" sqref="G910">
      <formula1>"Y, N"</formula1>
    </dataValidation>
    <dataValidation type="list" allowBlank="1" showInputMessage="1" showErrorMessage="1" sqref="D911">
      <formula1>FDDValList</formula1>
    </dataValidation>
    <dataValidation type="list" allowBlank="1" showInputMessage="1" showErrorMessage="1" sqref="F911">
      <formula1>"I, O, M, D, N"</formula1>
    </dataValidation>
    <dataValidation type="list" allowBlank="1" showInputMessage="1" showErrorMessage="1" sqref="G911">
      <formula1>"Y, N"</formula1>
    </dataValidation>
    <dataValidation type="list" allowBlank="1" showInputMessage="1" showErrorMessage="1" sqref="D912">
      <formula1>FDDValList</formula1>
    </dataValidation>
    <dataValidation type="list" allowBlank="1" showInputMessage="1" showErrorMessage="1" sqref="F912">
      <formula1>"I, O, M, D, N"</formula1>
    </dataValidation>
    <dataValidation type="list" allowBlank="1" showInputMessage="1" showErrorMessage="1" sqref="G912">
      <formula1>"Y, N"</formula1>
    </dataValidation>
    <dataValidation type="list" allowBlank="1" showInputMessage="1" showErrorMessage="1" sqref="D913">
      <formula1>FDDValList</formula1>
    </dataValidation>
    <dataValidation type="list" allowBlank="1" showInputMessage="1" showErrorMessage="1" sqref="F913">
      <formula1>"I, O, M, D, N"</formula1>
    </dataValidation>
    <dataValidation type="list" allowBlank="1" showInputMessage="1" showErrorMessage="1" sqref="G913">
      <formula1>"Y, N"</formula1>
    </dataValidation>
    <dataValidation type="list" allowBlank="1" showInputMessage="1" showErrorMessage="1" sqref="D914">
      <formula1>FDDValList</formula1>
    </dataValidation>
    <dataValidation type="list" allowBlank="1" showInputMessage="1" showErrorMessage="1" sqref="F914">
      <formula1>"I, O, M, D, N"</formula1>
    </dataValidation>
    <dataValidation type="list" allowBlank="1" showInputMessage="1" showErrorMessage="1" sqref="G914">
      <formula1>"Y, N"</formula1>
    </dataValidation>
    <dataValidation type="list" allowBlank="1" showInputMessage="1" showErrorMessage="1" sqref="D915">
      <formula1>FDDValList</formula1>
    </dataValidation>
    <dataValidation type="list" allowBlank="1" showInputMessage="1" showErrorMessage="1" sqref="F915">
      <formula1>"I, O, M, D, N"</formula1>
    </dataValidation>
    <dataValidation type="list" allowBlank="1" showInputMessage="1" showErrorMessage="1" sqref="G915">
      <formula1>"Y, N"</formula1>
    </dataValidation>
    <dataValidation type="list" allowBlank="1" showInputMessage="1" showErrorMessage="1" sqref="D916">
      <formula1>FDDValList</formula1>
    </dataValidation>
    <dataValidation type="list" allowBlank="1" showInputMessage="1" showErrorMessage="1" sqref="F916">
      <formula1>"I, O, M, D, N"</formula1>
    </dataValidation>
    <dataValidation type="list" allowBlank="1" showInputMessage="1" showErrorMessage="1" sqref="G916">
      <formula1>"Y, N"</formula1>
    </dataValidation>
    <dataValidation type="list" allowBlank="1" showInputMessage="1" showErrorMessage="1" sqref="D917">
      <formula1>FDDValList</formula1>
    </dataValidation>
    <dataValidation type="list" allowBlank="1" showInputMessage="1" showErrorMessage="1" sqref="F917">
      <formula1>"I, O, M, D, N"</formula1>
    </dataValidation>
    <dataValidation type="list" allowBlank="1" showInputMessage="1" showErrorMessage="1" sqref="G917">
      <formula1>"Y, N"</formula1>
    </dataValidation>
    <dataValidation type="list" allowBlank="1" showInputMessage="1" showErrorMessage="1" sqref="D918">
      <formula1>FDDValList</formula1>
    </dataValidation>
    <dataValidation type="list" allowBlank="1" showInputMessage="1" showErrorMessage="1" sqref="F918">
      <formula1>"I, O, M, D, N"</formula1>
    </dataValidation>
    <dataValidation type="list" allowBlank="1" showInputMessage="1" showErrorMessage="1" sqref="G918">
      <formula1>"Y, N"</formula1>
    </dataValidation>
    <dataValidation type="list" allowBlank="1" showInputMessage="1" showErrorMessage="1" sqref="D919">
      <formula1>FDDValList</formula1>
    </dataValidation>
    <dataValidation type="list" allowBlank="1" showInputMessage="1" showErrorMessage="1" sqref="F919">
      <formula1>"I, O, M, D, N"</formula1>
    </dataValidation>
    <dataValidation type="list" allowBlank="1" showInputMessage="1" showErrorMessage="1" sqref="G919">
      <formula1>"Y, N"</formula1>
    </dataValidation>
    <dataValidation type="list" allowBlank="1" showInputMessage="1" showErrorMessage="1" sqref="D920">
      <formula1>FDDValList</formula1>
    </dataValidation>
    <dataValidation type="list" allowBlank="1" showInputMessage="1" showErrorMessage="1" sqref="F920">
      <formula1>"I, O, M, D, N"</formula1>
    </dataValidation>
    <dataValidation type="list" allowBlank="1" showInputMessage="1" showErrorMessage="1" sqref="G920">
      <formula1>"Y, N"</formula1>
    </dataValidation>
    <dataValidation type="list" allowBlank="1" showInputMessage="1" showErrorMessage="1" sqref="D921">
      <formula1>FDDValList</formula1>
    </dataValidation>
    <dataValidation type="list" allowBlank="1" showInputMessage="1" showErrorMessage="1" sqref="F921">
      <formula1>"I, O, M, D, N"</formula1>
    </dataValidation>
    <dataValidation type="list" allowBlank="1" showInputMessage="1" showErrorMessage="1" sqref="G921">
      <formula1>"Y, N"</formula1>
    </dataValidation>
    <dataValidation type="list" allowBlank="1" showInputMessage="1" showErrorMessage="1" sqref="D922">
      <formula1>FDDValList</formula1>
    </dataValidation>
    <dataValidation type="list" allowBlank="1" showInputMessage="1" showErrorMessage="1" sqref="F922">
      <formula1>"I, O, M, D, N"</formula1>
    </dataValidation>
    <dataValidation type="list" allowBlank="1" showInputMessage="1" showErrorMessage="1" sqref="G922">
      <formula1>"Y, N"</formula1>
    </dataValidation>
    <dataValidation type="list" allowBlank="1" showInputMessage="1" showErrorMessage="1" sqref="D923">
      <formula1>FDDValList</formula1>
    </dataValidation>
    <dataValidation type="list" allowBlank="1" showInputMessage="1" showErrorMessage="1" sqref="F923">
      <formula1>"I, O, M, D, N"</formula1>
    </dataValidation>
    <dataValidation type="list" allowBlank="1" showInputMessage="1" showErrorMessage="1" sqref="G923">
      <formula1>"Y, N"</formula1>
    </dataValidation>
    <dataValidation type="list" allowBlank="1" showInputMessage="1" showErrorMessage="1" sqref="D924">
      <formula1>FDDValList</formula1>
    </dataValidation>
    <dataValidation type="list" allowBlank="1" showInputMessage="1" showErrorMessage="1" sqref="F924">
      <formula1>"I, O, M, D, N"</formula1>
    </dataValidation>
    <dataValidation type="list" allowBlank="1" showInputMessage="1" showErrorMessage="1" sqref="G924">
      <formula1>"Y, N"</formula1>
    </dataValidation>
    <dataValidation type="list" allowBlank="1" showInputMessage="1" showErrorMessage="1" sqref="D925">
      <formula1>FDDValList</formula1>
    </dataValidation>
    <dataValidation type="list" allowBlank="1" showInputMessage="1" showErrorMessage="1" sqref="F925">
      <formula1>"I, O, M, D, N"</formula1>
    </dataValidation>
    <dataValidation type="list" allowBlank="1" showInputMessage="1" showErrorMessage="1" sqref="G925">
      <formula1>"Y, N"</formula1>
    </dataValidation>
    <dataValidation type="list" allowBlank="1" showInputMessage="1" showErrorMessage="1" sqref="D926">
      <formula1>FDDValList</formula1>
    </dataValidation>
    <dataValidation type="list" allowBlank="1" showInputMessage="1" showErrorMessage="1" sqref="F926">
      <formula1>"I, O, M, D, N"</formula1>
    </dataValidation>
    <dataValidation type="list" allowBlank="1" showInputMessage="1" showErrorMessage="1" sqref="G926">
      <formula1>"Y, N"</formula1>
    </dataValidation>
    <dataValidation type="list" allowBlank="1" showInputMessage="1" showErrorMessage="1" sqref="D927">
      <formula1>FDDValList</formula1>
    </dataValidation>
    <dataValidation type="list" allowBlank="1" showInputMessage="1" showErrorMessage="1" sqref="F927">
      <formula1>"I, O, M, D, N"</formula1>
    </dataValidation>
    <dataValidation type="list" allowBlank="1" showInputMessage="1" showErrorMessage="1" sqref="G927">
      <formula1>"Y, N"</formula1>
    </dataValidation>
    <dataValidation type="list" allowBlank="1" showInputMessage="1" showErrorMessage="1" sqref="D928">
      <formula1>FDDValList</formula1>
    </dataValidation>
    <dataValidation type="list" allowBlank="1" showInputMessage="1" showErrorMessage="1" sqref="F928">
      <formula1>"I, O, M, D, N"</formula1>
    </dataValidation>
    <dataValidation type="list" allowBlank="1" showInputMessage="1" showErrorMessage="1" sqref="G928">
      <formula1>"Y, N"</formula1>
    </dataValidation>
    <dataValidation type="list" allowBlank="1" showInputMessage="1" showErrorMessage="1" sqref="D929">
      <formula1>FDDValList</formula1>
    </dataValidation>
    <dataValidation type="list" allowBlank="1" showInputMessage="1" showErrorMessage="1" sqref="F929">
      <formula1>"I, O, M, D, N"</formula1>
    </dataValidation>
    <dataValidation type="list" allowBlank="1" showInputMessage="1" showErrorMessage="1" sqref="G929">
      <formula1>"Y, N"</formula1>
    </dataValidation>
    <dataValidation type="list" allowBlank="1" showInputMessage="1" showErrorMessage="1" sqref="D930">
      <formula1>FDDValList</formula1>
    </dataValidation>
    <dataValidation type="list" allowBlank="1" showInputMessage="1" showErrorMessage="1" sqref="F930">
      <formula1>"I, O, M, D, N"</formula1>
    </dataValidation>
    <dataValidation type="list" allowBlank="1" showInputMessage="1" showErrorMessage="1" sqref="G930">
      <formula1>"Y, N"</formula1>
    </dataValidation>
    <dataValidation type="list" allowBlank="1" showInputMessage="1" showErrorMessage="1" sqref="D931">
      <formula1>FDDValList</formula1>
    </dataValidation>
    <dataValidation type="list" allowBlank="1" showInputMessage="1" showErrorMessage="1" sqref="F931">
      <formula1>"I, O, M, D, N"</formula1>
    </dataValidation>
    <dataValidation type="list" allowBlank="1" showInputMessage="1" showErrorMessage="1" sqref="G931">
      <formula1>"Y, N"</formula1>
    </dataValidation>
    <dataValidation type="list" allowBlank="1" showInputMessage="1" showErrorMessage="1" sqref="D932">
      <formula1>FDDValList</formula1>
    </dataValidation>
    <dataValidation type="list" allowBlank="1" showInputMessage="1" showErrorMessage="1" sqref="F932">
      <formula1>"I, O, M, D, N"</formula1>
    </dataValidation>
    <dataValidation type="list" allowBlank="1" showInputMessage="1" showErrorMessage="1" sqref="G932">
      <formula1>"Y, N"</formula1>
    </dataValidation>
    <dataValidation type="list" allowBlank="1" showInputMessage="1" showErrorMessage="1" sqref="D933">
      <formula1>FDDValList</formula1>
    </dataValidation>
    <dataValidation type="list" allowBlank="1" showInputMessage="1" showErrorMessage="1" sqref="F933">
      <formula1>"I, O, M, D, N"</formula1>
    </dataValidation>
    <dataValidation type="list" allowBlank="1" showInputMessage="1" showErrorMessage="1" sqref="G933">
      <formula1>"Y, N"</formula1>
    </dataValidation>
    <dataValidation type="list" allowBlank="1" showInputMessage="1" showErrorMessage="1" sqref="D934">
      <formula1>FDDValList</formula1>
    </dataValidation>
    <dataValidation type="list" allowBlank="1" showInputMessage="1" showErrorMessage="1" sqref="F934">
      <formula1>"I, O, M, D, N"</formula1>
    </dataValidation>
    <dataValidation type="list" allowBlank="1" showInputMessage="1" showErrorMessage="1" sqref="G934">
      <formula1>"Y, N"</formula1>
    </dataValidation>
    <dataValidation type="list" allowBlank="1" showInputMessage="1" showErrorMessage="1" sqref="D935">
      <formula1>FDDValList</formula1>
    </dataValidation>
    <dataValidation type="list" allowBlank="1" showInputMessage="1" showErrorMessage="1" sqref="F935">
      <formula1>"I, O, M, D, N"</formula1>
    </dataValidation>
    <dataValidation type="list" allowBlank="1" showInputMessage="1" showErrorMessage="1" sqref="G935">
      <formula1>"Y, N"</formula1>
    </dataValidation>
    <dataValidation type="list" allowBlank="1" showInputMessage="1" showErrorMessage="1" sqref="D936">
      <formula1>FDDValList</formula1>
    </dataValidation>
    <dataValidation type="list" allowBlank="1" showInputMessage="1" showErrorMessage="1" sqref="F936">
      <formula1>"I, O, M, D, N"</formula1>
    </dataValidation>
    <dataValidation type="list" allowBlank="1" showInputMessage="1" showErrorMessage="1" sqref="G936">
      <formula1>"Y, N"</formula1>
    </dataValidation>
    <dataValidation type="list" allowBlank="1" showInputMessage="1" showErrorMessage="1" sqref="D937">
      <formula1>FDDValList</formula1>
    </dataValidation>
    <dataValidation type="list" allowBlank="1" showInputMessage="1" showErrorMessage="1" sqref="F937">
      <formula1>"I, O, M, D, N"</formula1>
    </dataValidation>
    <dataValidation type="list" allowBlank="1" showInputMessage="1" showErrorMessage="1" sqref="G937">
      <formula1>"Y, N"</formula1>
    </dataValidation>
    <dataValidation type="list" allowBlank="1" showInputMessage="1" showErrorMessage="1" sqref="D938">
      <formula1>FDDValList</formula1>
    </dataValidation>
    <dataValidation type="list" allowBlank="1" showInputMessage="1" showErrorMessage="1" sqref="F938">
      <formula1>"I, O, M, D, N"</formula1>
    </dataValidation>
    <dataValidation type="list" allowBlank="1" showInputMessage="1" showErrorMessage="1" sqref="G938">
      <formula1>"Y, N"</formula1>
    </dataValidation>
    <dataValidation type="list" allowBlank="1" showInputMessage="1" showErrorMessage="1" sqref="D939">
      <formula1>FDDValList</formula1>
    </dataValidation>
    <dataValidation type="list" allowBlank="1" showInputMessage="1" showErrorMessage="1" sqref="F939">
      <formula1>"I, O, M, D, N"</formula1>
    </dataValidation>
    <dataValidation type="list" allowBlank="1" showInputMessage="1" showErrorMessage="1" sqref="G939">
      <formula1>"Y, N"</formula1>
    </dataValidation>
    <dataValidation type="list" allowBlank="1" showInputMessage="1" showErrorMessage="1" sqref="D940">
      <formula1>FDDValList</formula1>
    </dataValidation>
    <dataValidation type="list" allowBlank="1" showInputMessage="1" showErrorMessage="1" sqref="F940">
      <formula1>"I, O, M, D, N"</formula1>
    </dataValidation>
    <dataValidation type="list" allowBlank="1" showInputMessage="1" showErrorMessage="1" sqref="G940">
      <formula1>"Y, N"</formula1>
    </dataValidation>
    <dataValidation type="list" allowBlank="1" showInputMessage="1" showErrorMessage="1" sqref="D941">
      <formula1>FDDValList</formula1>
    </dataValidation>
    <dataValidation type="list" allowBlank="1" showInputMessage="1" showErrorMessage="1" sqref="F941">
      <formula1>"I, O, M, D, N"</formula1>
    </dataValidation>
    <dataValidation type="list" allowBlank="1" showInputMessage="1" showErrorMessage="1" sqref="G941">
      <formula1>"Y, N"</formula1>
    </dataValidation>
    <dataValidation type="list" allowBlank="1" showInputMessage="1" showErrorMessage="1" sqref="D942">
      <formula1>FDDValList</formula1>
    </dataValidation>
    <dataValidation type="list" allowBlank="1" showInputMessage="1" showErrorMessage="1" sqref="F942">
      <formula1>"I, O, M, D, N"</formula1>
    </dataValidation>
    <dataValidation type="list" allowBlank="1" showInputMessage="1" showErrorMessage="1" sqref="G942">
      <formula1>"Y, N"</formula1>
    </dataValidation>
    <dataValidation type="list" allowBlank="1" showInputMessage="1" showErrorMessage="1" sqref="D943">
      <formula1>FDDValList</formula1>
    </dataValidation>
    <dataValidation type="list" allowBlank="1" showInputMessage="1" showErrorMessage="1" sqref="F943">
      <formula1>"I, O, M, D, N"</formula1>
    </dataValidation>
    <dataValidation type="list" allowBlank="1" showInputMessage="1" showErrorMessage="1" sqref="G943">
      <formula1>"Y, N"</formula1>
    </dataValidation>
    <dataValidation type="list" allowBlank="1" showInputMessage="1" showErrorMessage="1" sqref="D944">
      <formula1>FDDValList</formula1>
    </dataValidation>
    <dataValidation type="list" allowBlank="1" showInputMessage="1" showErrorMessage="1" sqref="F944">
      <formula1>"I, O, M, D, N"</formula1>
    </dataValidation>
    <dataValidation type="list" allowBlank="1" showInputMessage="1" showErrorMessage="1" sqref="G944">
      <formula1>"Y, N"</formula1>
    </dataValidation>
    <dataValidation type="list" allowBlank="1" showInputMessage="1" showErrorMessage="1" sqref="D945">
      <formula1>FDDValList</formula1>
    </dataValidation>
    <dataValidation type="list" allowBlank="1" showInputMessage="1" showErrorMessage="1" sqref="F945">
      <formula1>"I, O, M, D, N"</formula1>
    </dataValidation>
    <dataValidation type="list" allowBlank="1" showInputMessage="1" showErrorMessage="1" sqref="G945">
      <formula1>"Y, N"</formula1>
    </dataValidation>
    <dataValidation type="list" allowBlank="1" showInputMessage="1" showErrorMessage="1" sqref="D946">
      <formula1>FDDValList</formula1>
    </dataValidation>
    <dataValidation type="list" allowBlank="1" showInputMessage="1" showErrorMessage="1" sqref="F946">
      <formula1>"I, O, M, D, N"</formula1>
    </dataValidation>
    <dataValidation type="list" allowBlank="1" showInputMessage="1" showErrorMessage="1" sqref="G946">
      <formula1>"Y, N"</formula1>
    </dataValidation>
    <dataValidation type="list" allowBlank="1" showInputMessage="1" showErrorMessage="1" sqref="D947">
      <formula1>FDDValList</formula1>
    </dataValidation>
    <dataValidation type="list" allowBlank="1" showInputMessage="1" showErrorMessage="1" sqref="F947">
      <formula1>"I, O, M, D, N"</formula1>
    </dataValidation>
    <dataValidation type="list" allowBlank="1" showInputMessage="1" showErrorMessage="1" sqref="G947">
      <formula1>"Y, N"</formula1>
    </dataValidation>
    <dataValidation type="list" allowBlank="1" showInputMessage="1" showErrorMessage="1" sqref="D948">
      <formula1>FDDValList</formula1>
    </dataValidation>
    <dataValidation type="list" allowBlank="1" showInputMessage="1" showErrorMessage="1" sqref="F948">
      <formula1>"I, O, M, D, N"</formula1>
    </dataValidation>
    <dataValidation type="list" allowBlank="1" showInputMessage="1" showErrorMessage="1" sqref="G948">
      <formula1>"Y, N"</formula1>
    </dataValidation>
    <dataValidation type="list" allowBlank="1" showInputMessage="1" showErrorMessage="1" sqref="D949">
      <formula1>FDDValList</formula1>
    </dataValidation>
    <dataValidation type="list" allowBlank="1" showInputMessage="1" showErrorMessage="1" sqref="F949">
      <formula1>"I, O, M, D, N"</formula1>
    </dataValidation>
    <dataValidation type="list" allowBlank="1" showInputMessage="1" showErrorMessage="1" sqref="G949">
      <formula1>"Y, N"</formula1>
    </dataValidation>
    <dataValidation type="list" allowBlank="1" showInputMessage="1" showErrorMessage="1" sqref="D950">
      <formula1>FDDValList</formula1>
    </dataValidation>
    <dataValidation type="list" allowBlank="1" showInputMessage="1" showErrorMessage="1" sqref="F950">
      <formula1>"I, O, M, D, N"</formula1>
    </dataValidation>
    <dataValidation type="list" allowBlank="1" showInputMessage="1" showErrorMessage="1" sqref="G950">
      <formula1>"Y, N"</formula1>
    </dataValidation>
    <dataValidation type="list" allowBlank="1" showInputMessage="1" showErrorMessage="1" sqref="D951">
      <formula1>FDDValList</formula1>
    </dataValidation>
    <dataValidation type="list" allowBlank="1" showInputMessage="1" showErrorMessage="1" sqref="F951">
      <formula1>"I, O, M, D, N"</formula1>
    </dataValidation>
    <dataValidation type="list" allowBlank="1" showInputMessage="1" showErrorMessage="1" sqref="G951">
      <formula1>"Y, N"</formula1>
    </dataValidation>
    <dataValidation type="list" allowBlank="1" showInputMessage="1" showErrorMessage="1" sqref="D952">
      <formula1>FDDValList</formula1>
    </dataValidation>
    <dataValidation type="list" allowBlank="1" showInputMessage="1" showErrorMessage="1" sqref="F952">
      <formula1>"I, O, M, D, N"</formula1>
    </dataValidation>
    <dataValidation type="list" allowBlank="1" showInputMessage="1" showErrorMessage="1" sqref="G952">
      <formula1>"Y, N"</formula1>
    </dataValidation>
    <dataValidation type="list" allowBlank="1" showInputMessage="1" showErrorMessage="1" sqref="D953">
      <formula1>FDDValList</formula1>
    </dataValidation>
    <dataValidation type="list" allowBlank="1" showInputMessage="1" showErrorMessage="1" sqref="F953">
      <formula1>"I, O, M, D, N"</formula1>
    </dataValidation>
    <dataValidation type="list" allowBlank="1" showInputMessage="1" showErrorMessage="1" sqref="G953">
      <formula1>"Y, N"</formula1>
    </dataValidation>
    <dataValidation type="list" allowBlank="1" showInputMessage="1" showErrorMessage="1" sqref="D954">
      <formula1>FDDValList</formula1>
    </dataValidation>
    <dataValidation type="list" allowBlank="1" showInputMessage="1" showErrorMessage="1" sqref="F954">
      <formula1>"I, O, M, D, N"</formula1>
    </dataValidation>
    <dataValidation type="list" allowBlank="1" showInputMessage="1" showErrorMessage="1" sqref="G954">
      <formula1>"Y, N"</formula1>
    </dataValidation>
    <dataValidation type="list" allowBlank="1" showInputMessage="1" showErrorMessage="1" sqref="D955">
      <formula1>FDDValList</formula1>
    </dataValidation>
    <dataValidation type="list" allowBlank="1" showInputMessage="1" showErrorMessage="1" sqref="F955">
      <formula1>"I, O, M, D, N"</formula1>
    </dataValidation>
    <dataValidation type="list" allowBlank="1" showInputMessage="1" showErrorMessage="1" sqref="G955">
      <formula1>"Y, N"</formula1>
    </dataValidation>
    <dataValidation type="list" allowBlank="1" showInputMessage="1" showErrorMessage="1" sqref="D956">
      <formula1>FDDValList</formula1>
    </dataValidation>
    <dataValidation type="list" allowBlank="1" showInputMessage="1" showErrorMessage="1" sqref="F956">
      <formula1>"I, O, M, D, N"</formula1>
    </dataValidation>
    <dataValidation type="list" allowBlank="1" showInputMessage="1" showErrorMessage="1" sqref="G956">
      <formula1>"Y, N"</formula1>
    </dataValidation>
    <dataValidation type="list" allowBlank="1" showInputMessage="1" showErrorMessage="1" sqref="D957">
      <formula1>FDDValList</formula1>
    </dataValidation>
    <dataValidation type="list" allowBlank="1" showInputMessage="1" showErrorMessage="1" sqref="F957">
      <formula1>"I, O, M, D, N"</formula1>
    </dataValidation>
    <dataValidation type="list" allowBlank="1" showInputMessage="1" showErrorMessage="1" sqref="G957">
      <formula1>"Y, N"</formula1>
    </dataValidation>
    <dataValidation type="list" allowBlank="1" showInputMessage="1" showErrorMessage="1" sqref="D958">
      <formula1>FDDValList</formula1>
    </dataValidation>
    <dataValidation type="list" allowBlank="1" showInputMessage="1" showErrorMessage="1" sqref="F958">
      <formula1>"I, O, M, D, N"</formula1>
    </dataValidation>
    <dataValidation type="list" allowBlank="1" showInputMessage="1" showErrorMessage="1" sqref="G958">
      <formula1>"Y, N"</formula1>
    </dataValidation>
    <dataValidation type="list" allowBlank="1" showInputMessage="1" showErrorMessage="1" sqref="D959">
      <formula1>FDDValList</formula1>
    </dataValidation>
    <dataValidation type="list" allowBlank="1" showInputMessage="1" showErrorMessage="1" sqref="F959">
      <formula1>"I, O, M, D, N"</formula1>
    </dataValidation>
    <dataValidation type="list" allowBlank="1" showInputMessage="1" showErrorMessage="1" sqref="G959">
      <formula1>"Y, N"</formula1>
    </dataValidation>
    <dataValidation type="list" allowBlank="1" showInputMessage="1" showErrorMessage="1" sqref="D960">
      <formula1>FDDValList</formula1>
    </dataValidation>
    <dataValidation type="list" allowBlank="1" showInputMessage="1" showErrorMessage="1" sqref="F960">
      <formula1>"I, O, M, D, N"</formula1>
    </dataValidation>
    <dataValidation type="list" allowBlank="1" showInputMessage="1" showErrorMessage="1" sqref="G960">
      <formula1>"Y, N"</formula1>
    </dataValidation>
    <dataValidation type="list" allowBlank="1" showInputMessage="1" showErrorMessage="1" sqref="D961">
      <formula1>FDDValList</formula1>
    </dataValidation>
    <dataValidation type="list" allowBlank="1" showInputMessage="1" showErrorMessage="1" sqref="F961">
      <formula1>"I, O, M, D, N"</formula1>
    </dataValidation>
    <dataValidation type="list" allowBlank="1" showInputMessage="1" showErrorMessage="1" sqref="G961">
      <formula1>"Y, N"</formula1>
    </dataValidation>
    <dataValidation type="list" allowBlank="1" showInputMessage="1" showErrorMessage="1" sqref="D962">
      <formula1>FDDValList</formula1>
    </dataValidation>
    <dataValidation type="list" allowBlank="1" showInputMessage="1" showErrorMessage="1" sqref="F962">
      <formula1>"I, O, M, D, N"</formula1>
    </dataValidation>
    <dataValidation type="list" allowBlank="1" showInputMessage="1" showErrorMessage="1" sqref="G962">
      <formula1>"Y, N"</formula1>
    </dataValidation>
    <dataValidation type="list" allowBlank="1" showInputMessage="1" showErrorMessage="1" sqref="D963">
      <formula1>FDDValList</formula1>
    </dataValidation>
    <dataValidation type="list" allowBlank="1" showInputMessage="1" showErrorMessage="1" sqref="F963">
      <formula1>"I, O, M, D, N"</formula1>
    </dataValidation>
    <dataValidation type="list" allowBlank="1" showInputMessage="1" showErrorMessage="1" sqref="G963">
      <formula1>"Y, N"</formula1>
    </dataValidation>
    <dataValidation type="list" allowBlank="1" showInputMessage="1" showErrorMessage="1" sqref="D964">
      <formula1>FDDValList</formula1>
    </dataValidation>
    <dataValidation type="list" allowBlank="1" showInputMessage="1" showErrorMessage="1" sqref="F964">
      <formula1>"I, O, M, D, N"</formula1>
    </dataValidation>
    <dataValidation type="list" allowBlank="1" showInputMessage="1" showErrorMessage="1" sqref="G964">
      <formula1>"Y, N"</formula1>
    </dataValidation>
    <dataValidation type="list" allowBlank="1" showInputMessage="1" showErrorMessage="1" sqref="D965">
      <formula1>FDDValList</formula1>
    </dataValidation>
    <dataValidation type="list" allowBlank="1" showInputMessage="1" showErrorMessage="1" sqref="F965">
      <formula1>"I, O, M, D, N"</formula1>
    </dataValidation>
    <dataValidation type="list" allowBlank="1" showInputMessage="1" showErrorMessage="1" sqref="G965">
      <formula1>"Y, N"</formula1>
    </dataValidation>
    <dataValidation type="list" allowBlank="1" showInputMessage="1" showErrorMessage="1" sqref="D966">
      <formula1>FDDValList</formula1>
    </dataValidation>
    <dataValidation type="list" allowBlank="1" showInputMessage="1" showErrorMessage="1" sqref="F966">
      <formula1>"I, O, M, D, N"</formula1>
    </dataValidation>
    <dataValidation type="list" allowBlank="1" showInputMessage="1" showErrorMessage="1" sqref="G966">
      <formula1>"Y, N"</formula1>
    </dataValidation>
    <dataValidation type="list" allowBlank="1" showInputMessage="1" showErrorMessage="1" sqref="D967">
      <formula1>FDDValList</formula1>
    </dataValidation>
    <dataValidation type="list" allowBlank="1" showInputMessage="1" showErrorMessage="1" sqref="F967">
      <formula1>"I, O, M, D, N"</formula1>
    </dataValidation>
    <dataValidation type="list" allowBlank="1" showInputMessage="1" showErrorMessage="1" sqref="G967">
      <formula1>"Y, N"</formula1>
    </dataValidation>
    <dataValidation type="list" allowBlank="1" showInputMessage="1" showErrorMessage="1" sqref="D968">
      <formula1>FDDValList</formula1>
    </dataValidation>
    <dataValidation type="list" allowBlank="1" showInputMessage="1" showErrorMessage="1" sqref="F968">
      <formula1>"I, O, M, D, N"</formula1>
    </dataValidation>
    <dataValidation type="list" allowBlank="1" showInputMessage="1" showErrorMessage="1" sqref="G968">
      <formula1>"Y, N"</formula1>
    </dataValidation>
    <dataValidation type="list" allowBlank="1" showInputMessage="1" showErrorMessage="1" sqref="D969">
      <formula1>FDDValList</formula1>
    </dataValidation>
    <dataValidation type="list" allowBlank="1" showInputMessage="1" showErrorMessage="1" sqref="F969">
      <formula1>"I, O, M, D, N"</formula1>
    </dataValidation>
    <dataValidation type="list" allowBlank="1" showInputMessage="1" showErrorMessage="1" sqref="G969">
      <formula1>"Y, N"</formula1>
    </dataValidation>
    <dataValidation type="list" allowBlank="1" showInputMessage="1" showErrorMessage="1" sqref="D970">
      <formula1>FDDValList</formula1>
    </dataValidation>
    <dataValidation type="list" allowBlank="1" showInputMessage="1" showErrorMessage="1" sqref="F970">
      <formula1>"I, O, M, D, N"</formula1>
    </dataValidation>
    <dataValidation type="list" allowBlank="1" showInputMessage="1" showErrorMessage="1" sqref="G970">
      <formula1>"Y, N"</formula1>
    </dataValidation>
    <dataValidation type="list" allowBlank="1" showInputMessage="1" showErrorMessage="1" sqref="D971">
      <formula1>FDDValList</formula1>
    </dataValidation>
    <dataValidation type="list" allowBlank="1" showInputMessage="1" showErrorMessage="1" sqref="F971">
      <formula1>"I, O, M, D, N"</formula1>
    </dataValidation>
    <dataValidation type="list" allowBlank="1" showInputMessage="1" showErrorMessage="1" sqref="G971">
      <formula1>"Y, N"</formula1>
    </dataValidation>
    <dataValidation type="list" allowBlank="1" showInputMessage="1" showErrorMessage="1" sqref="D972">
      <formula1>FDDValList</formula1>
    </dataValidation>
    <dataValidation type="list" allowBlank="1" showInputMessage="1" showErrorMessage="1" sqref="F972">
      <formula1>"I, O, M, D, N"</formula1>
    </dataValidation>
    <dataValidation type="list" allowBlank="1" showInputMessage="1" showErrorMessage="1" sqref="G972">
      <formula1>"Y, N"</formula1>
    </dataValidation>
    <dataValidation type="list" allowBlank="1" showInputMessage="1" showErrorMessage="1" sqref="D973">
      <formula1>FDDValList</formula1>
    </dataValidation>
    <dataValidation type="list" allowBlank="1" showInputMessage="1" showErrorMessage="1" sqref="F973">
      <formula1>"I, O, M, D, N"</formula1>
    </dataValidation>
    <dataValidation type="list" allowBlank="1" showInputMessage="1" showErrorMessage="1" sqref="G973">
      <formula1>"Y, N"</formula1>
    </dataValidation>
    <dataValidation type="list" allowBlank="1" showInputMessage="1" showErrorMessage="1" sqref="D974">
      <formula1>FDDValList</formula1>
    </dataValidation>
    <dataValidation type="list" allowBlank="1" showInputMessage="1" showErrorMessage="1" sqref="F974">
      <formula1>"I, O, M, D, N"</formula1>
    </dataValidation>
    <dataValidation type="list" allowBlank="1" showInputMessage="1" showErrorMessage="1" sqref="G974">
      <formula1>"Y, N"</formula1>
    </dataValidation>
    <dataValidation type="list" allowBlank="1" showInputMessage="1" showErrorMessage="1" sqref="D975">
      <formula1>FDDValList</formula1>
    </dataValidation>
    <dataValidation type="list" allowBlank="1" showInputMessage="1" showErrorMessage="1" sqref="F975">
      <formula1>"I, O, M, D, N"</formula1>
    </dataValidation>
    <dataValidation type="list" allowBlank="1" showInputMessage="1" showErrorMessage="1" sqref="G975">
      <formula1>"Y, N"</formula1>
    </dataValidation>
    <dataValidation type="list" allowBlank="1" showInputMessage="1" showErrorMessage="1" sqref="D976">
      <formula1>FDDValList</formula1>
    </dataValidation>
    <dataValidation type="list" allowBlank="1" showInputMessage="1" showErrorMessage="1" sqref="F976">
      <formula1>"I, O, M, D, N"</formula1>
    </dataValidation>
    <dataValidation type="list" allowBlank="1" showInputMessage="1" showErrorMessage="1" sqref="G976">
      <formula1>"Y, N"</formula1>
    </dataValidation>
    <dataValidation type="list" allowBlank="1" showInputMessage="1" showErrorMessage="1" sqref="D977">
      <formula1>FDDValList</formula1>
    </dataValidation>
    <dataValidation type="list" allowBlank="1" showInputMessage="1" showErrorMessage="1" sqref="F977">
      <formula1>"I, O, M, D, N"</formula1>
    </dataValidation>
    <dataValidation type="list" allowBlank="1" showInputMessage="1" showErrorMessage="1" sqref="G977">
      <formula1>"Y, N"</formula1>
    </dataValidation>
    <dataValidation type="list" allowBlank="1" showInputMessage="1" showErrorMessage="1" sqref="D978">
      <formula1>FDDValList</formula1>
    </dataValidation>
    <dataValidation type="list" allowBlank="1" showInputMessage="1" showErrorMessage="1" sqref="F978">
      <formula1>"I, O, M, D, N"</formula1>
    </dataValidation>
    <dataValidation type="list" allowBlank="1" showInputMessage="1" showErrorMessage="1" sqref="G978">
      <formula1>"Y, N"</formula1>
    </dataValidation>
    <dataValidation type="list" allowBlank="1" showInputMessage="1" showErrorMessage="1" sqref="D979">
      <formula1>FDDValList</formula1>
    </dataValidation>
    <dataValidation type="list" allowBlank="1" showInputMessage="1" showErrorMessage="1" sqref="F979">
      <formula1>"I, O, M, D, N"</formula1>
    </dataValidation>
    <dataValidation type="list" allowBlank="1" showInputMessage="1" showErrorMessage="1" sqref="G979">
      <formula1>"Y, N"</formula1>
    </dataValidation>
    <dataValidation type="list" allowBlank="1" showInputMessage="1" showErrorMessage="1" sqref="D980">
      <formula1>FDDValList</formula1>
    </dataValidation>
    <dataValidation type="list" allowBlank="1" showInputMessage="1" showErrorMessage="1" sqref="F980">
      <formula1>"I, O, M, D, N"</formula1>
    </dataValidation>
    <dataValidation type="list" allowBlank="1" showInputMessage="1" showErrorMessage="1" sqref="G980">
      <formula1>"Y, N"</formula1>
    </dataValidation>
    <dataValidation type="list" allowBlank="1" showInputMessage="1" showErrorMessage="1" sqref="D981">
      <formula1>FDDValList</formula1>
    </dataValidation>
    <dataValidation type="list" allowBlank="1" showInputMessage="1" showErrorMessage="1" sqref="F981">
      <formula1>"I, O, M, D, N"</formula1>
    </dataValidation>
    <dataValidation type="list" allowBlank="1" showInputMessage="1" showErrorMessage="1" sqref="G981">
      <formula1>"Y, N"</formula1>
    </dataValidation>
    <dataValidation type="list" allowBlank="1" showInputMessage="1" showErrorMessage="1" sqref="D982">
      <formula1>FDDValList</formula1>
    </dataValidation>
    <dataValidation type="list" allowBlank="1" showInputMessage="1" showErrorMessage="1" sqref="F982">
      <formula1>"I, O, M, D, N"</formula1>
    </dataValidation>
    <dataValidation type="list" allowBlank="1" showInputMessage="1" showErrorMessage="1" sqref="G982">
      <formula1>"Y, N"</formula1>
    </dataValidation>
    <dataValidation type="list" allowBlank="1" showInputMessage="1" showErrorMessage="1" sqref="D983">
      <formula1>FDDValList</formula1>
    </dataValidation>
    <dataValidation type="list" allowBlank="1" showInputMessage="1" showErrorMessage="1" sqref="F983">
      <formula1>"I, O, M, D, N"</formula1>
    </dataValidation>
    <dataValidation type="list" allowBlank="1" showInputMessage="1" showErrorMessage="1" sqref="G983">
      <formula1>"Y, N"</formula1>
    </dataValidation>
    <dataValidation type="list" allowBlank="1" showInputMessage="1" showErrorMessage="1" sqref="D984">
      <formula1>FDDValList</formula1>
    </dataValidation>
    <dataValidation type="list" allowBlank="1" showInputMessage="1" showErrorMessage="1" sqref="F984">
      <formula1>"I, O, M, D, N"</formula1>
    </dataValidation>
    <dataValidation type="list" allowBlank="1" showInputMessage="1" showErrorMessage="1" sqref="G984">
      <formula1>"Y, N"</formula1>
    </dataValidation>
    <dataValidation type="list" allowBlank="1" showInputMessage="1" showErrorMessage="1" sqref="D985">
      <formula1>FDDValList</formula1>
    </dataValidation>
    <dataValidation type="list" allowBlank="1" showInputMessage="1" showErrorMessage="1" sqref="F985">
      <formula1>"I, O, M, D, N"</formula1>
    </dataValidation>
    <dataValidation type="list" allowBlank="1" showInputMessage="1" showErrorMessage="1" sqref="G985">
      <formula1>"Y, N"</formula1>
    </dataValidation>
    <dataValidation type="list" allowBlank="1" showInputMessage="1" showErrorMessage="1" sqref="D986">
      <formula1>FDDValList</formula1>
    </dataValidation>
    <dataValidation type="list" allowBlank="1" showInputMessage="1" showErrorMessage="1" sqref="F986">
      <formula1>"I, O, M, D, N"</formula1>
    </dataValidation>
    <dataValidation type="list" allowBlank="1" showInputMessage="1" showErrorMessage="1" sqref="G986">
      <formula1>"Y, N"</formula1>
    </dataValidation>
    <dataValidation type="list" allowBlank="1" showInputMessage="1" showErrorMessage="1" sqref="D987">
      <formula1>FDDValList</formula1>
    </dataValidation>
    <dataValidation type="list" allowBlank="1" showInputMessage="1" showErrorMessage="1" sqref="F987">
      <formula1>"I, O, M, D, N"</formula1>
    </dataValidation>
    <dataValidation type="list" allowBlank="1" showInputMessage="1" showErrorMessage="1" sqref="G987">
      <formula1>"Y, N"</formula1>
    </dataValidation>
    <dataValidation type="list" allowBlank="1" showInputMessage="1" showErrorMessage="1" sqref="D988">
      <formula1>FDDValList</formula1>
    </dataValidation>
    <dataValidation type="list" allowBlank="1" showInputMessage="1" showErrorMessage="1" sqref="F988">
      <formula1>"I, O, M, D, N"</formula1>
    </dataValidation>
    <dataValidation type="list" allowBlank="1" showInputMessage="1" showErrorMessage="1" sqref="G988">
      <formula1>"Y, N"</formula1>
    </dataValidation>
    <dataValidation type="list" allowBlank="1" showInputMessage="1" showErrorMessage="1" sqref="D989">
      <formula1>FDDValList</formula1>
    </dataValidation>
    <dataValidation type="list" allowBlank="1" showInputMessage="1" showErrorMessage="1" sqref="F989">
      <formula1>"I, O, M, D, N"</formula1>
    </dataValidation>
    <dataValidation type="list" allowBlank="1" showInputMessage="1" showErrorMessage="1" sqref="G989">
      <formula1>"Y, N"</formula1>
    </dataValidation>
    <dataValidation type="list" allowBlank="1" showInputMessage="1" showErrorMessage="1" sqref="D990">
      <formula1>FDDValList</formula1>
    </dataValidation>
    <dataValidation type="list" allowBlank="1" showInputMessage="1" showErrorMessage="1" sqref="F990">
      <formula1>"I, O, M, D, N"</formula1>
    </dataValidation>
    <dataValidation type="list" allowBlank="1" showInputMessage="1" showErrorMessage="1" sqref="G990">
      <formula1>"Y, N"</formula1>
    </dataValidation>
    <dataValidation type="list" allowBlank="1" showInputMessage="1" showErrorMessage="1" sqref="D991">
      <formula1>FDDValList</formula1>
    </dataValidation>
    <dataValidation type="list" allowBlank="1" showInputMessage="1" showErrorMessage="1" sqref="F991">
      <formula1>"I, O, M, D, N"</formula1>
    </dataValidation>
    <dataValidation type="list" allowBlank="1" showInputMessage="1" showErrorMessage="1" sqref="G991">
      <formula1>"Y, N"</formula1>
    </dataValidation>
    <dataValidation type="list" allowBlank="1" showInputMessage="1" showErrorMessage="1" sqref="D992">
      <formula1>FDDValList</formula1>
    </dataValidation>
    <dataValidation type="list" allowBlank="1" showInputMessage="1" showErrorMessage="1" sqref="F992">
      <formula1>"I, O, M, D, N"</formula1>
    </dataValidation>
    <dataValidation type="list" allowBlank="1" showInputMessage="1" showErrorMessage="1" sqref="G992">
      <formula1>"Y, N"</formula1>
    </dataValidation>
    <dataValidation type="list" allowBlank="1" showInputMessage="1" showErrorMessage="1" sqref="D993">
      <formula1>FDDValList</formula1>
    </dataValidation>
    <dataValidation type="list" allowBlank="1" showInputMessage="1" showErrorMessage="1" sqref="F993">
      <formula1>"I, O, M, D, N"</formula1>
    </dataValidation>
    <dataValidation type="list" allowBlank="1" showInputMessage="1" showErrorMessage="1" sqref="G993">
      <formula1>"Y, N"</formula1>
    </dataValidation>
    <dataValidation type="list" allowBlank="1" showInputMessage="1" showErrorMessage="1" sqref="D994">
      <formula1>FDDValList</formula1>
    </dataValidation>
    <dataValidation type="list" allowBlank="1" showInputMessage="1" showErrorMessage="1" sqref="F994">
      <formula1>"I, O, M, D, N"</formula1>
    </dataValidation>
    <dataValidation type="list" allowBlank="1" showInputMessage="1" showErrorMessage="1" sqref="G994">
      <formula1>"Y, N"</formula1>
    </dataValidation>
    <dataValidation type="list" allowBlank="1" showInputMessage="1" showErrorMessage="1" sqref="D995">
      <formula1>FDDValList</formula1>
    </dataValidation>
    <dataValidation type="list" allowBlank="1" showInputMessage="1" showErrorMessage="1" sqref="F995">
      <formula1>"I, O, M, D, N"</formula1>
    </dataValidation>
    <dataValidation type="list" allowBlank="1" showInputMessage="1" showErrorMessage="1" sqref="G995">
      <formula1>"Y, N"</formula1>
    </dataValidation>
    <dataValidation type="list" allowBlank="1" showInputMessage="1" showErrorMessage="1" sqref="D996">
      <formula1>FDDValList</formula1>
    </dataValidation>
    <dataValidation type="list" allowBlank="1" showInputMessage="1" showErrorMessage="1" sqref="F996">
      <formula1>"I, O, M, D, N"</formula1>
    </dataValidation>
    <dataValidation type="list" allowBlank="1" showInputMessage="1" showErrorMessage="1" sqref="G996">
      <formula1>"Y, N"</formula1>
    </dataValidation>
    <dataValidation type="list" allowBlank="1" showInputMessage="1" showErrorMessage="1" sqref="D997">
      <formula1>FDDValList</formula1>
    </dataValidation>
    <dataValidation type="list" allowBlank="1" showInputMessage="1" showErrorMessage="1" sqref="F997">
      <formula1>"I, O, M, D, N"</formula1>
    </dataValidation>
    <dataValidation type="list" allowBlank="1" showInputMessage="1" showErrorMessage="1" sqref="G997">
      <formula1>"Y, N"</formula1>
    </dataValidation>
    <dataValidation type="list" allowBlank="1" showInputMessage="1" showErrorMessage="1" sqref="D998">
      <formula1>FDDValList</formula1>
    </dataValidation>
    <dataValidation type="list" allowBlank="1" showInputMessage="1" showErrorMessage="1" sqref="F998">
      <formula1>"I, O, M, D, N"</formula1>
    </dataValidation>
    <dataValidation type="list" allowBlank="1" showInputMessage="1" showErrorMessage="1" sqref="G998">
      <formula1>"Y, N"</formula1>
    </dataValidation>
    <dataValidation type="list" allowBlank="1" showInputMessage="1" showErrorMessage="1" sqref="D999">
      <formula1>FDDValList</formula1>
    </dataValidation>
    <dataValidation type="list" allowBlank="1" showInputMessage="1" showErrorMessage="1" sqref="F999">
      <formula1>"I, O, M, D, N"</formula1>
    </dataValidation>
    <dataValidation type="list" allowBlank="1" showInputMessage="1" showErrorMessage="1" sqref="G999">
      <formula1>"Y, N"</formula1>
    </dataValidation>
    <dataValidation type="list" allowBlank="1" showInputMessage="1" showErrorMessage="1" sqref="D1000">
      <formula1>FDDValList</formula1>
    </dataValidation>
    <dataValidation type="list" allowBlank="1" showInputMessage="1" showErrorMessage="1" sqref="F1000">
      <formula1>"I, O, M, D, N"</formula1>
    </dataValidation>
    <dataValidation type="list" allowBlank="1" showInputMessage="1" showErrorMessage="1" sqref="G1000">
      <formula1>"Y, N"</formula1>
    </dataValidation>
    <dataValidation type="list" allowBlank="1" showInputMessage="1" showErrorMessage="1" sqref="D1001">
      <formula1>FDDValList</formula1>
    </dataValidation>
    <dataValidation type="list" allowBlank="1" showInputMessage="1" showErrorMessage="1" sqref="F1001">
      <formula1>"I, O, M, D, N"</formula1>
    </dataValidation>
    <dataValidation type="list" allowBlank="1" showInputMessage="1" showErrorMessage="1" sqref="G1001">
      <formula1>"Y, N"</formula1>
    </dataValidation>
    <dataValidation type="list" allowBlank="1" showInputMessage="1" showErrorMessage="1" sqref="D1002">
      <formula1>FDDValList</formula1>
    </dataValidation>
    <dataValidation type="list" allowBlank="1" showInputMessage="1" showErrorMessage="1" sqref="F1002">
      <formula1>"I, O, M, D, N"</formula1>
    </dataValidation>
    <dataValidation type="list" allowBlank="1" showInputMessage="1" showErrorMessage="1" sqref="G1002">
      <formula1>"Y, N"</formula1>
    </dataValidation>
    <dataValidation type="list" allowBlank="1" showInputMessage="1" showErrorMessage="1" sqref="D1003">
      <formula1>FDDValList</formula1>
    </dataValidation>
    <dataValidation type="list" allowBlank="1" showInputMessage="1" showErrorMessage="1" sqref="F1003">
      <formula1>"I, O, M, D, N"</formula1>
    </dataValidation>
    <dataValidation type="list" allowBlank="1" showInputMessage="1" showErrorMessage="1" sqref="G1003">
      <formula1>"Y, N"</formula1>
    </dataValidation>
    <dataValidation type="list" allowBlank="1" showInputMessage="1" showErrorMessage="1" sqref="D1004">
      <formula1>FDDValList</formula1>
    </dataValidation>
    <dataValidation type="list" allowBlank="1" showInputMessage="1" showErrorMessage="1" sqref="F1004">
      <formula1>"I, O, M, D, N"</formula1>
    </dataValidation>
    <dataValidation type="list" allowBlank="1" showInputMessage="1" showErrorMessage="1" sqref="G1004">
      <formula1>"Y, N"</formula1>
    </dataValidation>
    <dataValidation type="list" allowBlank="1" showInputMessage="1" showErrorMessage="1" sqref="D1005">
      <formula1>FDDValList</formula1>
    </dataValidation>
    <dataValidation type="list" allowBlank="1" showInputMessage="1" showErrorMessage="1" sqref="F1005">
      <formula1>"I, O, M, D, N"</formula1>
    </dataValidation>
    <dataValidation type="list" allowBlank="1" showInputMessage="1" showErrorMessage="1" sqref="G1005">
      <formula1>"Y, N"</formula1>
    </dataValidation>
    <dataValidation type="list" allowBlank="1" showInputMessage="1" showErrorMessage="1" sqref="D1006">
      <formula1>FDDValList</formula1>
    </dataValidation>
    <dataValidation type="list" allowBlank="1" showInputMessage="1" showErrorMessage="1" sqref="F1006">
      <formula1>"I, O, M, D, N"</formula1>
    </dataValidation>
    <dataValidation type="list" allowBlank="1" showInputMessage="1" showErrorMessage="1" sqref="G1006">
      <formula1>"Y, N"</formula1>
    </dataValidation>
    <dataValidation type="list" allowBlank="1" showInputMessage="1" showErrorMessage="1" sqref="D1007">
      <formula1>FDDValList</formula1>
    </dataValidation>
    <dataValidation type="list" allowBlank="1" showInputMessage="1" showErrorMessage="1" sqref="F1007">
      <formula1>"I, O, M, D, N"</formula1>
    </dataValidation>
    <dataValidation type="list" allowBlank="1" showInputMessage="1" showErrorMessage="1" sqref="G1007">
      <formula1>"Y, N"</formula1>
    </dataValidation>
    <dataValidation type="list" allowBlank="1" showInputMessage="1" showErrorMessage="1" sqref="D1008">
      <formula1>FDDValList</formula1>
    </dataValidation>
    <dataValidation type="list" allowBlank="1" showInputMessage="1" showErrorMessage="1" sqref="F1008">
      <formula1>"I, O, M, D, N"</formula1>
    </dataValidation>
    <dataValidation type="list" allowBlank="1" showInputMessage="1" showErrorMessage="1" sqref="G1008">
      <formula1>"Y, N"</formula1>
    </dataValidation>
    <dataValidation type="list" allowBlank="1" showInputMessage="1" showErrorMessage="1" sqref="D1009">
      <formula1>FDDValList</formula1>
    </dataValidation>
    <dataValidation type="list" allowBlank="1" showInputMessage="1" showErrorMessage="1" sqref="F1009">
      <formula1>"I, O, M, D, N"</formula1>
    </dataValidation>
    <dataValidation type="list" allowBlank="1" showInputMessage="1" showErrorMessage="1" sqref="G1009">
      <formula1>"Y, N"</formula1>
    </dataValidation>
    <dataValidation type="list" allowBlank="1" showInputMessage="1" showErrorMessage="1" sqref="D1010">
      <formula1>FDDValList</formula1>
    </dataValidation>
    <dataValidation type="list" allowBlank="1" showInputMessage="1" showErrorMessage="1" sqref="F1010">
      <formula1>"I, O, M, D, N"</formula1>
    </dataValidation>
    <dataValidation type="list" allowBlank="1" showInputMessage="1" showErrorMessage="1" sqref="G1010">
      <formula1>"Y, N"</formula1>
    </dataValidation>
    <dataValidation type="list" allowBlank="1" showInputMessage="1" showErrorMessage="1" sqref="D1011">
      <formula1>FDDValList</formula1>
    </dataValidation>
    <dataValidation type="list" allowBlank="1" showInputMessage="1" showErrorMessage="1" sqref="F1011">
      <formula1>"I, O, M, D, N"</formula1>
    </dataValidation>
    <dataValidation type="list" allowBlank="1" showInputMessage="1" showErrorMessage="1" sqref="G1011">
      <formula1>"Y, N"</formula1>
    </dataValidation>
    <dataValidation type="list" allowBlank="1" showInputMessage="1" showErrorMessage="1" sqref="D1012">
      <formula1>FDDValList</formula1>
    </dataValidation>
    <dataValidation type="list" allowBlank="1" showInputMessage="1" showErrorMessage="1" sqref="F1012">
      <formula1>"I, O, M, D, N"</formula1>
    </dataValidation>
    <dataValidation type="list" allowBlank="1" showInputMessage="1" showErrorMessage="1" sqref="G1012">
      <formula1>"Y, N"</formula1>
    </dataValidation>
    <dataValidation type="list" allowBlank="1" showInputMessage="1" showErrorMessage="1" sqref="D1013">
      <formula1>FDDValList</formula1>
    </dataValidation>
    <dataValidation type="list" allowBlank="1" showInputMessage="1" showErrorMessage="1" sqref="F1013">
      <formula1>"I, O, M, D, N"</formula1>
    </dataValidation>
    <dataValidation type="list" allowBlank="1" showInputMessage="1" showErrorMessage="1" sqref="G1013">
      <formula1>"Y, N"</formula1>
    </dataValidation>
    <dataValidation type="list" allowBlank="1" showInputMessage="1" showErrorMessage="1" sqref="D1014">
      <formula1>FDDValList</formula1>
    </dataValidation>
    <dataValidation type="list" allowBlank="1" showInputMessage="1" showErrorMessage="1" sqref="F1014">
      <formula1>"I, O, M, D, N"</formula1>
    </dataValidation>
    <dataValidation type="list" allowBlank="1" showInputMessage="1" showErrorMessage="1" sqref="G1014">
      <formula1>"Y, N"</formula1>
    </dataValidation>
    <dataValidation type="list" allowBlank="1" showInputMessage="1" showErrorMessage="1" sqref="D1015">
      <formula1>FDDValList</formula1>
    </dataValidation>
    <dataValidation type="list" allowBlank="1" showInputMessage="1" showErrorMessage="1" sqref="F1015">
      <formula1>"I, O, M, D, N"</formula1>
    </dataValidation>
    <dataValidation type="list" allowBlank="1" showInputMessage="1" showErrorMessage="1" sqref="G1015">
      <formula1>"Y, N"</formula1>
    </dataValidation>
    <dataValidation type="list" allowBlank="1" showInputMessage="1" showErrorMessage="1" sqref="D1016">
      <formula1>FDDValList</formula1>
    </dataValidation>
    <dataValidation type="list" allowBlank="1" showInputMessage="1" showErrorMessage="1" sqref="F1016">
      <formula1>"I, O, M, D, N"</formula1>
    </dataValidation>
    <dataValidation type="list" allowBlank="1" showInputMessage="1" showErrorMessage="1" sqref="G1016">
      <formula1>"Y, N"</formula1>
    </dataValidation>
    <dataValidation type="list" allowBlank="1" showInputMessage="1" showErrorMessage="1" sqref="D1017">
      <formula1>FDDValList</formula1>
    </dataValidation>
    <dataValidation type="list" allowBlank="1" showInputMessage="1" showErrorMessage="1" sqref="F1017">
      <formula1>"I, O, M, D, N"</formula1>
    </dataValidation>
    <dataValidation type="list" allowBlank="1" showInputMessage="1" showErrorMessage="1" sqref="G1017">
      <formula1>"Y, N"</formula1>
    </dataValidation>
    <dataValidation type="list" allowBlank="1" showInputMessage="1" showErrorMessage="1" sqref="D1018">
      <formula1>FDDValList</formula1>
    </dataValidation>
    <dataValidation type="list" allowBlank="1" showInputMessage="1" showErrorMessage="1" sqref="F1018">
      <formula1>"I, O, M, D, N"</formula1>
    </dataValidation>
    <dataValidation type="list" allowBlank="1" showInputMessage="1" showErrorMessage="1" sqref="G1018">
      <formula1>"Y, N"</formula1>
    </dataValidation>
    <dataValidation type="list" allowBlank="1" showInputMessage="1" showErrorMessage="1" sqref="D1019">
      <formula1>FDDValList</formula1>
    </dataValidation>
    <dataValidation type="list" allowBlank="1" showInputMessage="1" showErrorMessage="1" sqref="F1019">
      <formula1>"I, O, M, D, N"</formula1>
    </dataValidation>
    <dataValidation type="list" allowBlank="1" showInputMessage="1" showErrorMessage="1" sqref="G1019">
      <formula1>"Y, N"</formula1>
    </dataValidation>
    <dataValidation type="list" allowBlank="1" showInputMessage="1" showErrorMessage="1" sqref="D1020">
      <formula1>FDDValList</formula1>
    </dataValidation>
    <dataValidation type="list" allowBlank="1" showInputMessage="1" showErrorMessage="1" sqref="F1020">
      <formula1>"I, O, M, D, N"</formula1>
    </dataValidation>
    <dataValidation type="list" allowBlank="1" showInputMessage="1" showErrorMessage="1" sqref="G1020">
      <formula1>"Y, N"</formula1>
    </dataValidation>
    <dataValidation type="list" allowBlank="1" showInputMessage="1" showErrorMessage="1" sqref="D1021">
      <formula1>FDDValList</formula1>
    </dataValidation>
    <dataValidation type="list" allowBlank="1" showInputMessage="1" showErrorMessage="1" sqref="F1021">
      <formula1>"I, O, M, D, N"</formula1>
    </dataValidation>
    <dataValidation type="list" allowBlank="1" showInputMessage="1" showErrorMessage="1" sqref="G1021">
      <formula1>"Y, N"</formula1>
    </dataValidation>
    <dataValidation type="list" allowBlank="1" showInputMessage="1" showErrorMessage="1" sqref="D1022">
      <formula1>FDDValList</formula1>
    </dataValidation>
    <dataValidation type="list" allowBlank="1" showInputMessage="1" showErrorMessage="1" sqref="F1022">
      <formula1>"I, O, M, D, N"</formula1>
    </dataValidation>
    <dataValidation type="list" allowBlank="1" showInputMessage="1" showErrorMessage="1" sqref="G1022">
      <formula1>"Y, N"</formula1>
    </dataValidation>
    <dataValidation type="list" allowBlank="1" showInputMessage="1" showErrorMessage="1" sqref="D1023">
      <formula1>FDDValList</formula1>
    </dataValidation>
    <dataValidation type="list" allowBlank="1" showInputMessage="1" showErrorMessage="1" sqref="F1023">
      <formula1>"I, O, M, D, N"</formula1>
    </dataValidation>
    <dataValidation type="list" allowBlank="1" showInputMessage="1" showErrorMessage="1" sqref="G1023">
      <formula1>"Y, N"</formula1>
    </dataValidation>
    <dataValidation type="list" allowBlank="1" showInputMessage="1" showErrorMessage="1" sqref="D1024">
      <formula1>FDDValList</formula1>
    </dataValidation>
    <dataValidation type="list" allowBlank="1" showInputMessage="1" showErrorMessage="1" sqref="F1024">
      <formula1>"I, O, M, D, N"</formula1>
    </dataValidation>
    <dataValidation type="list" allowBlank="1" showInputMessage="1" showErrorMessage="1" sqref="G1024">
      <formula1>"Y, N"</formula1>
    </dataValidation>
    <dataValidation type="list" allowBlank="1" showInputMessage="1" showErrorMessage="1" sqref="D1025">
      <formula1>FDDValList</formula1>
    </dataValidation>
    <dataValidation type="list" allowBlank="1" showInputMessage="1" showErrorMessage="1" sqref="F1025">
      <formula1>"I, O, M, D, N"</formula1>
    </dataValidation>
    <dataValidation type="list" allowBlank="1" showInputMessage="1" showErrorMessage="1" sqref="G1025">
      <formula1>"Y, N"</formula1>
    </dataValidation>
    <dataValidation type="list" allowBlank="1" showInputMessage="1" showErrorMessage="1" sqref="D1026">
      <formula1>FDDValList</formula1>
    </dataValidation>
    <dataValidation type="list" allowBlank="1" showInputMessage="1" showErrorMessage="1" sqref="F1026">
      <formula1>"I, O, M, D, N"</formula1>
    </dataValidation>
    <dataValidation type="list" allowBlank="1" showInputMessage="1" showErrorMessage="1" sqref="G1026">
      <formula1>"Y, N"</formula1>
    </dataValidation>
    <dataValidation type="list" allowBlank="1" showInputMessage="1" showErrorMessage="1" sqref="D1027">
      <formula1>FDDValList</formula1>
    </dataValidation>
    <dataValidation type="list" allowBlank="1" showInputMessage="1" showErrorMessage="1" sqref="F1027">
      <formula1>"I, O, M, D, N"</formula1>
    </dataValidation>
    <dataValidation type="list" allowBlank="1" showInputMessage="1" showErrorMessage="1" sqref="G1027">
      <formula1>"Y, N"</formula1>
    </dataValidation>
    <dataValidation type="list" allowBlank="1" showInputMessage="1" showErrorMessage="1" sqref="D1028">
      <formula1>FDDValList</formula1>
    </dataValidation>
    <dataValidation type="list" allowBlank="1" showInputMessage="1" showErrorMessage="1" sqref="F1028">
      <formula1>"I, O, M, D, N"</formula1>
    </dataValidation>
    <dataValidation type="list" allowBlank="1" showInputMessage="1" showErrorMessage="1" sqref="G1028">
      <formula1>"Y, N"</formula1>
    </dataValidation>
    <dataValidation type="list" allowBlank="1" showInputMessage="1" showErrorMessage="1" sqref="D1029">
      <formula1>FDDValList</formula1>
    </dataValidation>
    <dataValidation type="list" allowBlank="1" showInputMessage="1" showErrorMessage="1" sqref="F1029">
      <formula1>"I, O, M, D, N"</formula1>
    </dataValidation>
    <dataValidation type="list" allowBlank="1" showInputMessage="1" showErrorMessage="1" sqref="G1029">
      <formula1>"Y, N"</formula1>
    </dataValidation>
    <dataValidation type="list" allowBlank="1" showInputMessage="1" showErrorMessage="1" sqref="D1030">
      <formula1>FDDValList</formula1>
    </dataValidation>
    <dataValidation type="list" allowBlank="1" showInputMessage="1" showErrorMessage="1" sqref="F1030">
      <formula1>"I, O, M, D, N"</formula1>
    </dataValidation>
    <dataValidation type="list" allowBlank="1" showInputMessage="1" showErrorMessage="1" sqref="G1030">
      <formula1>"Y, N"</formula1>
    </dataValidation>
    <dataValidation type="list" allowBlank="1" showInputMessage="1" showErrorMessage="1" sqref="D1031">
      <formula1>FDDValList</formula1>
    </dataValidation>
    <dataValidation type="list" allowBlank="1" showInputMessage="1" showErrorMessage="1" sqref="F1031">
      <formula1>"I, O, M, D, N"</formula1>
    </dataValidation>
    <dataValidation type="list" allowBlank="1" showInputMessage="1" showErrorMessage="1" sqref="G1031">
      <formula1>"Y, N"</formula1>
    </dataValidation>
    <dataValidation type="list" allowBlank="1" showInputMessage="1" showErrorMessage="1" sqref="D1032">
      <formula1>FDDValList</formula1>
    </dataValidation>
    <dataValidation type="list" allowBlank="1" showInputMessage="1" showErrorMessage="1" sqref="F1032">
      <formula1>"I, O, M, D, N"</formula1>
    </dataValidation>
    <dataValidation type="list" allowBlank="1" showInputMessage="1" showErrorMessage="1" sqref="G1032">
      <formula1>"Y, N"</formula1>
    </dataValidation>
    <dataValidation type="list" allowBlank="1" showInputMessage="1" showErrorMessage="1" sqref="D1033">
      <formula1>FDDValList</formula1>
    </dataValidation>
    <dataValidation type="list" allowBlank="1" showInputMessage="1" showErrorMessage="1" sqref="F1033">
      <formula1>"I, O, M, D, N"</formula1>
    </dataValidation>
    <dataValidation type="list" allowBlank="1" showInputMessage="1" showErrorMessage="1" sqref="G1033">
      <formula1>"Y, N"</formula1>
    </dataValidation>
    <dataValidation type="list" allowBlank="1" showInputMessage="1" showErrorMessage="1" sqref="D1034">
      <formula1>FDDValList</formula1>
    </dataValidation>
    <dataValidation type="list" allowBlank="1" showInputMessage="1" showErrorMessage="1" sqref="F1034">
      <formula1>"I, O, M, D, N"</formula1>
    </dataValidation>
    <dataValidation type="list" allowBlank="1" showInputMessage="1" showErrorMessage="1" sqref="G1034">
      <formula1>"Y, N"</formula1>
    </dataValidation>
    <dataValidation type="list" allowBlank="1" showInputMessage="1" showErrorMessage="1" sqref="D1035">
      <formula1>FDDValList</formula1>
    </dataValidation>
    <dataValidation type="list" allowBlank="1" showInputMessage="1" showErrorMessage="1" sqref="F1035">
      <formula1>"I, O, M, D, N"</formula1>
    </dataValidation>
    <dataValidation type="list" allowBlank="1" showInputMessage="1" showErrorMessage="1" sqref="G1035">
      <formula1>"Y, N"</formula1>
    </dataValidation>
    <dataValidation type="list" allowBlank="1" showInputMessage="1" showErrorMessage="1" sqref="D1036">
      <formula1>FDDValList</formula1>
    </dataValidation>
    <dataValidation type="list" allowBlank="1" showInputMessage="1" showErrorMessage="1" sqref="F1036">
      <formula1>"I, O, M, D, N"</formula1>
    </dataValidation>
    <dataValidation type="list" allowBlank="1" showInputMessage="1" showErrorMessage="1" sqref="G1036">
      <formula1>"Y, N"</formula1>
    </dataValidation>
    <dataValidation type="list" allowBlank="1" showInputMessage="1" showErrorMessage="1" sqref="D1037">
      <formula1>FDDValList</formula1>
    </dataValidation>
    <dataValidation type="list" allowBlank="1" showInputMessage="1" showErrorMessage="1" sqref="F1037">
      <formula1>"I, O, M, D, N"</formula1>
    </dataValidation>
    <dataValidation type="list" allowBlank="1" showInputMessage="1" showErrorMessage="1" sqref="G1037">
      <formula1>"Y, N"</formula1>
    </dataValidation>
    <dataValidation type="list" allowBlank="1" showInputMessage="1" showErrorMessage="1" sqref="D1038">
      <formula1>FDDValList</formula1>
    </dataValidation>
    <dataValidation type="list" allowBlank="1" showInputMessage="1" showErrorMessage="1" sqref="F1038">
      <formula1>"I, O, M, D, N"</formula1>
    </dataValidation>
    <dataValidation type="list" allowBlank="1" showInputMessage="1" showErrorMessage="1" sqref="G1038">
      <formula1>"Y, N"</formula1>
    </dataValidation>
    <dataValidation type="list" allowBlank="1" showInputMessage="1" showErrorMessage="1" sqref="D1039">
      <formula1>FDDValList</formula1>
    </dataValidation>
    <dataValidation type="list" allowBlank="1" showInputMessage="1" showErrorMessage="1" sqref="F1039">
      <formula1>"I, O, M, D, N"</formula1>
    </dataValidation>
    <dataValidation type="list" allowBlank="1" showInputMessage="1" showErrorMessage="1" sqref="G1039">
      <formula1>"Y, N"</formula1>
    </dataValidation>
    <dataValidation type="list" allowBlank="1" showInputMessage="1" showErrorMessage="1" sqref="D1040">
      <formula1>FDDValList</formula1>
    </dataValidation>
    <dataValidation type="list" allowBlank="1" showInputMessage="1" showErrorMessage="1" sqref="F1040">
      <formula1>"I, O, M, D, N"</formula1>
    </dataValidation>
    <dataValidation type="list" allowBlank="1" showInputMessage="1" showErrorMessage="1" sqref="G1040">
      <formula1>"Y, N"</formula1>
    </dataValidation>
    <dataValidation type="list" allowBlank="1" showInputMessage="1" showErrorMessage="1" sqref="D1041">
      <formula1>FDDValList</formula1>
    </dataValidation>
    <dataValidation type="list" allowBlank="1" showInputMessage="1" showErrorMessage="1" sqref="F1041">
      <formula1>"I, O, M, D, N"</formula1>
    </dataValidation>
    <dataValidation type="list" allowBlank="1" showInputMessage="1" showErrorMessage="1" sqref="G1041">
      <formula1>"Y, N"</formula1>
    </dataValidation>
    <dataValidation type="list" allowBlank="1" showInputMessage="1" showErrorMessage="1" sqref="D1042">
      <formula1>FDDValList</formula1>
    </dataValidation>
    <dataValidation type="list" allowBlank="1" showInputMessage="1" showErrorMessage="1" sqref="F1042">
      <formula1>"I, O, M, D, N"</formula1>
    </dataValidation>
    <dataValidation type="list" allowBlank="1" showInputMessage="1" showErrorMessage="1" sqref="G1042">
      <formula1>"Y, N"</formula1>
    </dataValidation>
    <dataValidation type="list" allowBlank="1" showInputMessage="1" showErrorMessage="1" sqref="D1043">
      <formula1>FDDValList</formula1>
    </dataValidation>
    <dataValidation type="list" allowBlank="1" showInputMessage="1" showErrorMessage="1" sqref="F1043">
      <formula1>"I, O, M, D, N"</formula1>
    </dataValidation>
    <dataValidation type="list" allowBlank="1" showInputMessage="1" showErrorMessage="1" sqref="G1043">
      <formula1>"Y, N"</formula1>
    </dataValidation>
    <dataValidation type="list" allowBlank="1" showInputMessage="1" showErrorMessage="1" sqref="D1044">
      <formula1>FDDValList</formula1>
    </dataValidation>
    <dataValidation type="list" allowBlank="1" showInputMessage="1" showErrorMessage="1" sqref="F1044">
      <formula1>"I, O, M, D, N"</formula1>
    </dataValidation>
    <dataValidation type="list" allowBlank="1" showInputMessage="1" showErrorMessage="1" sqref="G1044">
      <formula1>"Y, N"</formula1>
    </dataValidation>
    <dataValidation type="list" allowBlank="1" showInputMessage="1" showErrorMessage="1" sqref="D1045">
      <formula1>FDDValList</formula1>
    </dataValidation>
    <dataValidation type="list" allowBlank="1" showInputMessage="1" showErrorMessage="1" sqref="F1045">
      <formula1>"I, O, M, D, N"</formula1>
    </dataValidation>
    <dataValidation type="list" allowBlank="1" showInputMessage="1" showErrorMessage="1" sqref="G1045">
      <formula1>"Y, N"</formula1>
    </dataValidation>
    <dataValidation type="list" allowBlank="1" showInputMessage="1" showErrorMessage="1" sqref="D1046">
      <formula1>FDDValList</formula1>
    </dataValidation>
    <dataValidation type="list" allowBlank="1" showInputMessage="1" showErrorMessage="1" sqref="F1046">
      <formula1>"I, O, M, D, N"</formula1>
    </dataValidation>
    <dataValidation type="list" allowBlank="1" showInputMessage="1" showErrorMessage="1" sqref="G1046">
      <formula1>"Y, N"</formula1>
    </dataValidation>
    <dataValidation type="list" allowBlank="1" showInputMessage="1" showErrorMessage="1" sqref="D1047">
      <formula1>FDDValList</formula1>
    </dataValidation>
    <dataValidation type="list" allowBlank="1" showInputMessage="1" showErrorMessage="1" sqref="F1047">
      <formula1>"I, O, M, D, N"</formula1>
    </dataValidation>
    <dataValidation type="list" allowBlank="1" showInputMessage="1" showErrorMessage="1" sqref="G1047">
      <formula1>"Y, N"</formula1>
    </dataValidation>
    <dataValidation type="list" allowBlank="1" showInputMessage="1" showErrorMessage="1" sqref="D1048">
      <formula1>FDDValList</formula1>
    </dataValidation>
    <dataValidation type="list" allowBlank="1" showInputMessage="1" showErrorMessage="1" sqref="F1048">
      <formula1>"I, O, M, D, N"</formula1>
    </dataValidation>
    <dataValidation type="list" allowBlank="1" showInputMessage="1" showErrorMessage="1" sqref="G1048">
      <formula1>"Y, N"</formula1>
    </dataValidation>
    <dataValidation type="list" allowBlank="1" showInputMessage="1" showErrorMessage="1" sqref="D1049">
      <formula1>FDDValList</formula1>
    </dataValidation>
    <dataValidation type="list" allowBlank="1" showInputMessage="1" showErrorMessage="1" sqref="F1049">
      <formula1>"I, O, M, D, N"</formula1>
    </dataValidation>
    <dataValidation type="list" allowBlank="1" showInputMessage="1" showErrorMessage="1" sqref="G1049">
      <formula1>"Y, N"</formula1>
    </dataValidation>
    <dataValidation type="list" allowBlank="1" showInputMessage="1" showErrorMessage="1" sqref="D1050">
      <formula1>FDDValList</formula1>
    </dataValidation>
    <dataValidation type="list" allowBlank="1" showInputMessage="1" showErrorMessage="1" sqref="F1050">
      <formula1>"I, O, M, D, N"</formula1>
    </dataValidation>
    <dataValidation type="list" allowBlank="1" showInputMessage="1" showErrorMessage="1" sqref="G1050">
      <formula1>"Y, N"</formula1>
    </dataValidation>
    <dataValidation type="list" allowBlank="1" showInputMessage="1" showErrorMessage="1" sqref="D1051">
      <formula1>FDDValList</formula1>
    </dataValidation>
    <dataValidation type="list" allowBlank="1" showInputMessage="1" showErrorMessage="1" sqref="F1051">
      <formula1>"I, O, M, D, N"</formula1>
    </dataValidation>
    <dataValidation type="list" allowBlank="1" showInputMessage="1" showErrorMessage="1" sqref="G1051">
      <formula1>"Y, N"</formula1>
    </dataValidation>
    <dataValidation type="list" allowBlank="1" showInputMessage="1" showErrorMessage="1" sqref="D1052">
      <formula1>FDDValList</formula1>
    </dataValidation>
    <dataValidation type="list" allowBlank="1" showInputMessage="1" showErrorMessage="1" sqref="F1052">
      <formula1>"I, O, M, D, N"</formula1>
    </dataValidation>
    <dataValidation type="list" allowBlank="1" showInputMessage="1" showErrorMessage="1" sqref="G1052">
      <formula1>"Y, N"</formula1>
    </dataValidation>
    <dataValidation type="list" allowBlank="1" showInputMessage="1" showErrorMessage="1" sqref="D1053">
      <formula1>FDDValList</formula1>
    </dataValidation>
    <dataValidation type="list" allowBlank="1" showInputMessage="1" showErrorMessage="1" sqref="F1053">
      <formula1>"I, O, M, D, N"</formula1>
    </dataValidation>
    <dataValidation type="list" allowBlank="1" showInputMessage="1" showErrorMessage="1" sqref="G1053">
      <formula1>"Y, N"</formula1>
    </dataValidation>
    <dataValidation type="list" allowBlank="1" showInputMessage="1" showErrorMessage="1" sqref="D1054">
      <formula1>FDDValList</formula1>
    </dataValidation>
    <dataValidation type="list" allowBlank="1" showInputMessage="1" showErrorMessage="1" sqref="F1054">
      <formula1>"I, O, M, D, N"</formula1>
    </dataValidation>
    <dataValidation type="list" allowBlank="1" showInputMessage="1" showErrorMessage="1" sqref="G1054">
      <formula1>"Y, N"</formula1>
    </dataValidation>
    <dataValidation type="list" allowBlank="1" showInputMessage="1" showErrorMessage="1" sqref="D1055">
      <formula1>FDDValList</formula1>
    </dataValidation>
    <dataValidation type="list" allowBlank="1" showInputMessage="1" showErrorMessage="1" sqref="F1055">
      <formula1>"I, O, M, D, N"</formula1>
    </dataValidation>
    <dataValidation type="list" allowBlank="1" showInputMessage="1" showErrorMessage="1" sqref="G1055">
      <formula1>"Y, N"</formula1>
    </dataValidation>
    <dataValidation type="list" allowBlank="1" showInputMessage="1" showErrorMessage="1" sqref="D1056">
      <formula1>FDDValList</formula1>
    </dataValidation>
    <dataValidation type="list" allowBlank="1" showInputMessage="1" showErrorMessage="1" sqref="F1056">
      <formula1>"I, O, M, D, N"</formula1>
    </dataValidation>
    <dataValidation type="list" allowBlank="1" showInputMessage="1" showErrorMessage="1" sqref="G1056">
      <formula1>"Y, N"</formula1>
    </dataValidation>
    <dataValidation type="list" allowBlank="1" showInputMessage="1" showErrorMessage="1" sqref="D1057">
      <formula1>FDDValList</formula1>
    </dataValidation>
    <dataValidation type="list" allowBlank="1" showInputMessage="1" showErrorMessage="1" sqref="F1057">
      <formula1>"I, O, M, D, N"</formula1>
    </dataValidation>
    <dataValidation type="list" allowBlank="1" showInputMessage="1" showErrorMessage="1" sqref="G1057">
      <formula1>"Y, N"</formula1>
    </dataValidation>
    <dataValidation type="list" allowBlank="1" showInputMessage="1" showErrorMessage="1" sqref="D1058">
      <formula1>FDDValList</formula1>
    </dataValidation>
    <dataValidation type="list" allowBlank="1" showInputMessage="1" showErrorMessage="1" sqref="F1058">
      <formula1>"I, O, M, D, N"</formula1>
    </dataValidation>
    <dataValidation type="list" allowBlank="1" showInputMessage="1" showErrorMessage="1" sqref="G1058">
      <formula1>"Y, N"</formula1>
    </dataValidation>
    <dataValidation type="list" allowBlank="1" showInputMessage="1" showErrorMessage="1" sqref="D1059">
      <formula1>FDDValList</formula1>
    </dataValidation>
    <dataValidation type="list" allowBlank="1" showInputMessage="1" showErrorMessage="1" sqref="F1059">
      <formula1>"I, O, M, D, N"</formula1>
    </dataValidation>
    <dataValidation type="list" allowBlank="1" showInputMessage="1" showErrorMessage="1" sqref="G1059">
      <formula1>"Y, N"</formula1>
    </dataValidation>
    <dataValidation type="list" allowBlank="1" showInputMessage="1" showErrorMessage="1" sqref="D1060">
      <formula1>FDDValList</formula1>
    </dataValidation>
    <dataValidation type="list" allowBlank="1" showInputMessage="1" showErrorMessage="1" sqref="F1060">
      <formula1>"I, O, M, D, N"</formula1>
    </dataValidation>
    <dataValidation type="list" allowBlank="1" showInputMessage="1" showErrorMessage="1" sqref="G1060">
      <formula1>"Y, N"</formula1>
    </dataValidation>
    <dataValidation type="list" allowBlank="1" showInputMessage="1" showErrorMessage="1" sqref="D1061">
      <formula1>FDDValList</formula1>
    </dataValidation>
    <dataValidation type="list" allowBlank="1" showInputMessage="1" showErrorMessage="1" sqref="F1061">
      <formula1>"I, O, M, D, N"</formula1>
    </dataValidation>
    <dataValidation type="list" allowBlank="1" showInputMessage="1" showErrorMessage="1" sqref="G1061">
      <formula1>"Y, N"</formula1>
    </dataValidation>
    <dataValidation type="list" allowBlank="1" showInputMessage="1" showErrorMessage="1" sqref="D1062">
      <formula1>FDDValList</formula1>
    </dataValidation>
    <dataValidation type="list" allowBlank="1" showInputMessage="1" showErrorMessage="1" sqref="F1062">
      <formula1>"I, O, M, D, N"</formula1>
    </dataValidation>
    <dataValidation type="list" allowBlank="1" showInputMessage="1" showErrorMessage="1" sqref="G1062">
      <formula1>"Y, N"</formula1>
    </dataValidation>
    <dataValidation type="list" allowBlank="1" showInputMessage="1" showErrorMessage="1" sqref="D1063">
      <formula1>FDDValList</formula1>
    </dataValidation>
    <dataValidation type="list" allowBlank="1" showInputMessage="1" showErrorMessage="1" sqref="F1063">
      <formula1>"I, O, M, D, N"</formula1>
    </dataValidation>
    <dataValidation type="list" allowBlank="1" showInputMessage="1" showErrorMessage="1" sqref="G1063">
      <formula1>"Y, N"</formula1>
    </dataValidation>
    <dataValidation type="list" allowBlank="1" showInputMessage="1" showErrorMessage="1" sqref="D1064">
      <formula1>FDDValList</formula1>
    </dataValidation>
    <dataValidation type="list" allowBlank="1" showInputMessage="1" showErrorMessage="1" sqref="F1064">
      <formula1>"I, O, M, D, N"</formula1>
    </dataValidation>
    <dataValidation type="list" allowBlank="1" showInputMessage="1" showErrorMessage="1" sqref="G1064">
      <formula1>"Y, N"</formula1>
    </dataValidation>
    <dataValidation type="list" allowBlank="1" showInputMessage="1" showErrorMessage="1" sqref="D1065">
      <formula1>FDDValList</formula1>
    </dataValidation>
    <dataValidation type="list" allowBlank="1" showInputMessage="1" showErrorMessage="1" sqref="F1065">
      <formula1>"I, O, M, D, N"</formula1>
    </dataValidation>
    <dataValidation type="list" allowBlank="1" showInputMessage="1" showErrorMessage="1" sqref="G1065">
      <formula1>"Y, N"</formula1>
    </dataValidation>
    <dataValidation type="list" allowBlank="1" showInputMessage="1" showErrorMessage="1" sqref="D1066">
      <formula1>FDDValList</formula1>
    </dataValidation>
    <dataValidation type="list" allowBlank="1" showInputMessage="1" showErrorMessage="1" sqref="F1066">
      <formula1>"I, O, M, D, N"</formula1>
    </dataValidation>
    <dataValidation type="list" allowBlank="1" showInputMessage="1" showErrorMessage="1" sqref="G1066">
      <formula1>"Y, N"</formula1>
    </dataValidation>
    <dataValidation type="list" allowBlank="1" showInputMessage="1" showErrorMessage="1" sqref="D1067">
      <formula1>FDDValList</formula1>
    </dataValidation>
    <dataValidation type="list" allowBlank="1" showInputMessage="1" showErrorMessage="1" sqref="F1067">
      <formula1>"I, O, M, D, N"</formula1>
    </dataValidation>
    <dataValidation type="list" allowBlank="1" showInputMessage="1" showErrorMessage="1" sqref="G1067">
      <formula1>"Y, N"</formula1>
    </dataValidation>
    <dataValidation type="list" allowBlank="1" showInputMessage="1" showErrorMessage="1" sqref="D1068">
      <formula1>FDDValList</formula1>
    </dataValidation>
    <dataValidation type="list" allowBlank="1" showInputMessage="1" showErrorMessage="1" sqref="F1068">
      <formula1>"I, O, M, D, N"</formula1>
    </dataValidation>
    <dataValidation type="list" allowBlank="1" showInputMessage="1" showErrorMessage="1" sqref="G1068">
      <formula1>"Y, N"</formula1>
    </dataValidation>
    <dataValidation type="list" allowBlank="1" showInputMessage="1" showErrorMessage="1" sqref="D1069">
      <formula1>FDDValList</formula1>
    </dataValidation>
    <dataValidation type="list" allowBlank="1" showInputMessage="1" showErrorMessage="1" sqref="F1069">
      <formula1>"I, O, M, D, N"</formula1>
    </dataValidation>
    <dataValidation type="list" allowBlank="1" showInputMessage="1" showErrorMessage="1" sqref="G1069">
      <formula1>"Y, N"</formula1>
    </dataValidation>
    <dataValidation type="list" allowBlank="1" showInputMessage="1" showErrorMessage="1" sqref="D1070">
      <formula1>FDDValList</formula1>
    </dataValidation>
    <dataValidation type="list" allowBlank="1" showInputMessage="1" showErrorMessage="1" sqref="F1070">
      <formula1>"I, O, M, D, N"</formula1>
    </dataValidation>
    <dataValidation type="list" allowBlank="1" showInputMessage="1" showErrorMessage="1" sqref="G1070">
      <formula1>"Y, N"</formula1>
    </dataValidation>
    <dataValidation type="list" allowBlank="1" showInputMessage="1" showErrorMessage="1" sqref="D1071">
      <formula1>FDDValList</formula1>
    </dataValidation>
    <dataValidation type="list" allowBlank="1" showInputMessage="1" showErrorMessage="1" sqref="F1071">
      <formula1>"I, O, M, D, N"</formula1>
    </dataValidation>
    <dataValidation type="list" allowBlank="1" showInputMessage="1" showErrorMessage="1" sqref="G1071">
      <formula1>"Y, N"</formula1>
    </dataValidation>
    <dataValidation type="list" allowBlank="1" showInputMessage="1" showErrorMessage="1" sqref="D1072">
      <formula1>FDDValList</formula1>
    </dataValidation>
    <dataValidation type="list" allowBlank="1" showInputMessage="1" showErrorMessage="1" sqref="F1072">
      <formula1>"I, O, M, D, N"</formula1>
    </dataValidation>
    <dataValidation type="list" allowBlank="1" showInputMessage="1" showErrorMessage="1" sqref="G1072">
      <formula1>"Y, N"</formula1>
    </dataValidation>
    <dataValidation type="list" allowBlank="1" showInputMessage="1" showErrorMessage="1" sqref="D1073">
      <formula1>FDDValList</formula1>
    </dataValidation>
    <dataValidation type="list" allowBlank="1" showInputMessage="1" showErrorMessage="1" sqref="F1073">
      <formula1>"I, O, M, D, N"</formula1>
    </dataValidation>
    <dataValidation type="list" allowBlank="1" showInputMessage="1" showErrorMessage="1" sqref="G1073">
      <formula1>"Y, N"</formula1>
    </dataValidation>
    <dataValidation type="list" allowBlank="1" showInputMessage="1" showErrorMessage="1" sqref="D1074">
      <formula1>FDDValList</formula1>
    </dataValidation>
    <dataValidation type="list" allowBlank="1" showInputMessage="1" showErrorMessage="1" sqref="F1074">
      <formula1>"I, O, M, D, N"</formula1>
    </dataValidation>
    <dataValidation type="list" allowBlank="1" showInputMessage="1" showErrorMessage="1" sqref="G1074">
      <formula1>"Y, N"</formula1>
    </dataValidation>
    <dataValidation type="list" allowBlank="1" showInputMessage="1" showErrorMessage="1" sqref="D1075">
      <formula1>FDDValList</formula1>
    </dataValidation>
    <dataValidation type="list" allowBlank="1" showInputMessage="1" showErrorMessage="1" sqref="F1075">
      <formula1>"I, O, M, D, N"</formula1>
    </dataValidation>
    <dataValidation type="list" allowBlank="1" showInputMessage="1" showErrorMessage="1" sqref="G1075">
      <formula1>"Y, N"</formula1>
    </dataValidation>
    <dataValidation type="list" allowBlank="1" showInputMessage="1" showErrorMessage="1" sqref="D1076">
      <formula1>FDDValList</formula1>
    </dataValidation>
    <dataValidation type="list" allowBlank="1" showInputMessage="1" showErrorMessage="1" sqref="F1076">
      <formula1>"I, O, M, D, N"</formula1>
    </dataValidation>
    <dataValidation type="list" allowBlank="1" showInputMessage="1" showErrorMessage="1" sqref="G1076">
      <formula1>"Y, N"</formula1>
    </dataValidation>
    <dataValidation type="list" allowBlank="1" showInputMessage="1" showErrorMessage="1" sqref="D1077">
      <formula1>FDDValList</formula1>
    </dataValidation>
    <dataValidation type="list" allowBlank="1" showInputMessage="1" showErrorMessage="1" sqref="F1077">
      <formula1>"I, O, M, D, N"</formula1>
    </dataValidation>
    <dataValidation type="list" allowBlank="1" showInputMessage="1" showErrorMessage="1" sqref="G1077">
      <formula1>"Y, N"</formula1>
    </dataValidation>
    <dataValidation type="list" allowBlank="1" showInputMessage="1" showErrorMessage="1" sqref="D1078">
      <formula1>FDDValList</formula1>
    </dataValidation>
    <dataValidation type="list" allowBlank="1" showInputMessage="1" showErrorMessage="1" sqref="F1078">
      <formula1>"I, O, M, D, N"</formula1>
    </dataValidation>
    <dataValidation type="list" allowBlank="1" showInputMessage="1" showErrorMessage="1" sqref="G1078">
      <formula1>"Y, N"</formula1>
    </dataValidation>
    <dataValidation type="list" allowBlank="1" showInputMessage="1" showErrorMessage="1" sqref="D1079">
      <formula1>FDDValList</formula1>
    </dataValidation>
    <dataValidation type="list" allowBlank="1" showInputMessage="1" showErrorMessage="1" sqref="F1079">
      <formula1>"I, O, M, D, N"</formula1>
    </dataValidation>
    <dataValidation type="list" allowBlank="1" showInputMessage="1" showErrorMessage="1" sqref="G1079">
      <formula1>"Y, N"</formula1>
    </dataValidation>
    <dataValidation type="list" allowBlank="1" showInputMessage="1" showErrorMessage="1" sqref="D1080">
      <formula1>FDDValList</formula1>
    </dataValidation>
    <dataValidation type="list" allowBlank="1" showInputMessage="1" showErrorMessage="1" sqref="F1080">
      <formula1>"I, O, M, D, N"</formula1>
    </dataValidation>
    <dataValidation type="list" allowBlank="1" showInputMessage="1" showErrorMessage="1" sqref="G1080">
      <formula1>"Y, N"</formula1>
    </dataValidation>
    <dataValidation type="list" allowBlank="1" showInputMessage="1" showErrorMessage="1" sqref="D1081">
      <formula1>FDDValList</formula1>
    </dataValidation>
    <dataValidation type="list" allowBlank="1" showInputMessage="1" showErrorMessage="1" sqref="F1081">
      <formula1>"I, O, M, D, N"</formula1>
    </dataValidation>
    <dataValidation type="list" allowBlank="1" showInputMessage="1" showErrorMessage="1" sqref="G1081">
      <formula1>"Y, N"</formula1>
    </dataValidation>
    <dataValidation type="list" allowBlank="1" showInputMessage="1" showErrorMessage="1" sqref="D1082">
      <formula1>FDDValList</formula1>
    </dataValidation>
    <dataValidation type="list" allowBlank="1" showInputMessage="1" showErrorMessage="1" sqref="F1082">
      <formula1>"I, O, M, D, N"</formula1>
    </dataValidation>
    <dataValidation type="list" allowBlank="1" showInputMessage="1" showErrorMessage="1" sqref="G1082">
      <formula1>"Y, N"</formula1>
    </dataValidation>
    <dataValidation type="list" allowBlank="1" showInputMessage="1" showErrorMessage="1" sqref="D1083">
      <formula1>FDDValList</formula1>
    </dataValidation>
    <dataValidation type="list" allowBlank="1" showInputMessage="1" showErrorMessage="1" sqref="F1083">
      <formula1>"I, O, M, D, N"</formula1>
    </dataValidation>
    <dataValidation type="list" allowBlank="1" showInputMessage="1" showErrorMessage="1" sqref="G1083">
      <formula1>"Y, N"</formula1>
    </dataValidation>
    <dataValidation type="list" allowBlank="1" showInputMessage="1" showErrorMessage="1" sqref="D1084">
      <formula1>FDDValList</formula1>
    </dataValidation>
    <dataValidation type="list" allowBlank="1" showInputMessage="1" showErrorMessage="1" sqref="F1084">
      <formula1>"I, O, M, D, N"</formula1>
    </dataValidation>
    <dataValidation type="list" allowBlank="1" showInputMessage="1" showErrorMessage="1" sqref="G1084">
      <formula1>"Y, N"</formula1>
    </dataValidation>
    <dataValidation type="list" allowBlank="1" showInputMessage="1" showErrorMessage="1" sqref="D1085">
      <formula1>FDDValList</formula1>
    </dataValidation>
    <dataValidation type="list" allowBlank="1" showInputMessage="1" showErrorMessage="1" sqref="F1085">
      <formula1>"I, O, M, D, N"</formula1>
    </dataValidation>
    <dataValidation type="list" allowBlank="1" showInputMessage="1" showErrorMessage="1" sqref="G1085">
      <formula1>"Y, N"</formula1>
    </dataValidation>
    <dataValidation type="list" allowBlank="1" showInputMessage="1" showErrorMessage="1" sqref="D1086">
      <formula1>FDDValList</formula1>
    </dataValidation>
    <dataValidation type="list" allowBlank="1" showInputMessage="1" showErrorMessage="1" sqref="F1086">
      <formula1>"I, O, M, D, N"</formula1>
    </dataValidation>
    <dataValidation type="list" allowBlank="1" showInputMessage="1" showErrorMessage="1" sqref="G1086">
      <formula1>"Y, N"</formula1>
    </dataValidation>
    <dataValidation type="list" allowBlank="1" showInputMessage="1" showErrorMessage="1" sqref="D1087">
      <formula1>FDDValList</formula1>
    </dataValidation>
    <dataValidation type="list" allowBlank="1" showInputMessage="1" showErrorMessage="1" sqref="F1087">
      <formula1>"I, O, M, D, N"</formula1>
    </dataValidation>
    <dataValidation type="list" allowBlank="1" showInputMessage="1" showErrorMessage="1" sqref="G1087">
      <formula1>"Y, N"</formula1>
    </dataValidation>
    <dataValidation type="list" allowBlank="1" showInputMessage="1" showErrorMessage="1" sqref="D1088">
      <formula1>FDDValList</formula1>
    </dataValidation>
    <dataValidation type="list" allowBlank="1" showInputMessage="1" showErrorMessage="1" sqref="F1088">
      <formula1>"I, O, M, D, N"</formula1>
    </dataValidation>
    <dataValidation type="list" allowBlank="1" showInputMessage="1" showErrorMessage="1" sqref="G1088">
      <formula1>"Y, N"</formula1>
    </dataValidation>
    <dataValidation type="list" allowBlank="1" showInputMessage="1" showErrorMessage="1" sqref="D1089">
      <formula1>FDDValList</formula1>
    </dataValidation>
    <dataValidation type="list" allowBlank="1" showInputMessage="1" showErrorMessage="1" sqref="F1089">
      <formula1>"I, O, M, D, N"</formula1>
    </dataValidation>
    <dataValidation type="list" allowBlank="1" showInputMessage="1" showErrorMessage="1" sqref="G1089">
      <formula1>"Y, N"</formula1>
    </dataValidation>
    <dataValidation type="list" allowBlank="1" showInputMessage="1" showErrorMessage="1" sqref="D1090">
      <formula1>FDDValList</formula1>
    </dataValidation>
    <dataValidation type="list" allowBlank="1" showInputMessage="1" showErrorMessage="1" sqref="F1090">
      <formula1>"I, O, M, D, N"</formula1>
    </dataValidation>
    <dataValidation type="list" allowBlank="1" showInputMessage="1" showErrorMessage="1" sqref="G1090">
      <formula1>"Y, N"</formula1>
    </dataValidation>
    <dataValidation type="list" allowBlank="1" showInputMessage="1" showErrorMessage="1" sqref="D1091">
      <formula1>FDDValList</formula1>
    </dataValidation>
    <dataValidation type="list" allowBlank="1" showInputMessage="1" showErrorMessage="1" sqref="F1091">
      <formula1>"I, O, M, D, N"</formula1>
    </dataValidation>
    <dataValidation type="list" allowBlank="1" showInputMessage="1" showErrorMessage="1" sqref="G1091">
      <formula1>"Y, N"</formula1>
    </dataValidation>
    <dataValidation type="list" allowBlank="1" showInputMessage="1" showErrorMessage="1" sqref="D1092">
      <formula1>FDDValList</formula1>
    </dataValidation>
    <dataValidation type="list" allowBlank="1" showInputMessage="1" showErrorMessage="1" sqref="F1092">
      <formula1>"I, O, M, D, N"</formula1>
    </dataValidation>
    <dataValidation type="list" allowBlank="1" showInputMessage="1" showErrorMessage="1" sqref="G1092">
      <formula1>"Y, N"</formula1>
    </dataValidation>
    <dataValidation type="list" allowBlank="1" showInputMessage="1" showErrorMessage="1" sqref="D1093">
      <formula1>FDDValList</formula1>
    </dataValidation>
    <dataValidation type="list" allowBlank="1" showInputMessage="1" showErrorMessage="1" sqref="F1093">
      <formula1>"I, O, M, D, N"</formula1>
    </dataValidation>
    <dataValidation type="list" allowBlank="1" showInputMessage="1" showErrorMessage="1" sqref="G1093">
      <formula1>"Y, N"</formula1>
    </dataValidation>
    <dataValidation type="list" allowBlank="1" showInputMessage="1" showErrorMessage="1" sqref="D1094">
      <formula1>FDDValList</formula1>
    </dataValidation>
    <dataValidation type="list" allowBlank="1" showInputMessage="1" showErrorMessage="1" sqref="F1094">
      <formula1>"I, O, M, D, N"</formula1>
    </dataValidation>
    <dataValidation type="list" allowBlank="1" showInputMessage="1" showErrorMessage="1" sqref="G1094">
      <formula1>"Y, N"</formula1>
    </dataValidation>
    <dataValidation type="list" allowBlank="1" showInputMessage="1" showErrorMessage="1" sqref="D1095">
      <formula1>FDDValList</formula1>
    </dataValidation>
    <dataValidation type="list" allowBlank="1" showInputMessage="1" showErrorMessage="1" sqref="F1095">
      <formula1>"I, O, M, D, N"</formula1>
    </dataValidation>
    <dataValidation type="list" allowBlank="1" showInputMessage="1" showErrorMessage="1" sqref="G1095">
      <formula1>"Y, N"</formula1>
    </dataValidation>
    <dataValidation type="list" allowBlank="1" showInputMessage="1" showErrorMessage="1" sqref="D1096">
      <formula1>FDDValList</formula1>
    </dataValidation>
    <dataValidation type="list" allowBlank="1" showInputMessage="1" showErrorMessage="1" sqref="F1096">
      <formula1>"I, O, M, D, N"</formula1>
    </dataValidation>
    <dataValidation type="list" allowBlank="1" showInputMessage="1" showErrorMessage="1" sqref="G1096">
      <formula1>"Y, N"</formula1>
    </dataValidation>
    <dataValidation type="list" allowBlank="1" showInputMessage="1" showErrorMessage="1" sqref="D1097">
      <formula1>FDDValList</formula1>
    </dataValidation>
    <dataValidation type="list" allowBlank="1" showInputMessage="1" showErrorMessage="1" sqref="F1097">
      <formula1>"I, O, M, D, N"</formula1>
    </dataValidation>
    <dataValidation type="list" allowBlank="1" showInputMessage="1" showErrorMessage="1" sqref="G1097">
      <formula1>"Y, N"</formula1>
    </dataValidation>
    <dataValidation type="list" allowBlank="1" showInputMessage="1" showErrorMessage="1" sqref="D1098">
      <formula1>FDDValList</formula1>
    </dataValidation>
    <dataValidation type="list" allowBlank="1" showInputMessage="1" showErrorMessage="1" sqref="F1098">
      <formula1>"I, O, M, D, N"</formula1>
    </dataValidation>
    <dataValidation type="list" allowBlank="1" showInputMessage="1" showErrorMessage="1" sqref="G1098">
      <formula1>"Y, N"</formula1>
    </dataValidation>
    <dataValidation type="list" allowBlank="1" showInputMessage="1" showErrorMessage="1" sqref="D1099">
      <formula1>FDDValList</formula1>
    </dataValidation>
    <dataValidation type="list" allowBlank="1" showInputMessage="1" showErrorMessage="1" sqref="F1099">
      <formula1>"I, O, M, D, N"</formula1>
    </dataValidation>
    <dataValidation type="list" allowBlank="1" showInputMessage="1" showErrorMessage="1" sqref="G1099">
      <formula1>"Y, N"</formula1>
    </dataValidation>
    <dataValidation type="list" allowBlank="1" showInputMessage="1" showErrorMessage="1" sqref="D1100">
      <formula1>FDDValList</formula1>
    </dataValidation>
    <dataValidation type="list" allowBlank="1" showInputMessage="1" showErrorMessage="1" sqref="F1100">
      <formula1>"I, O, M, D, N"</formula1>
    </dataValidation>
    <dataValidation type="list" allowBlank="1" showInputMessage="1" showErrorMessage="1" sqref="G1100">
      <formula1>"Y, N"</formula1>
    </dataValidation>
    <dataValidation type="list" allowBlank="1" showInputMessage="1" showErrorMessage="1" sqref="D1101">
      <formula1>FDDValList</formula1>
    </dataValidation>
    <dataValidation type="list" allowBlank="1" showInputMessage="1" showErrorMessage="1" sqref="F1101">
      <formula1>"I, O, M, D, N"</formula1>
    </dataValidation>
    <dataValidation type="list" allowBlank="1" showInputMessage="1" showErrorMessage="1" sqref="G1101">
      <formula1>"Y, N"</formula1>
    </dataValidation>
    <dataValidation type="list" allowBlank="1" showInputMessage="1" showErrorMessage="1" sqref="D1102">
      <formula1>FDDValList</formula1>
    </dataValidation>
    <dataValidation type="list" allowBlank="1" showInputMessage="1" showErrorMessage="1" sqref="F1102">
      <formula1>"I, O, M, D, N"</formula1>
    </dataValidation>
    <dataValidation type="list" allowBlank="1" showInputMessage="1" showErrorMessage="1" sqref="G1102">
      <formula1>"Y, N"</formula1>
    </dataValidation>
    <dataValidation type="list" allowBlank="1" showInputMessage="1" showErrorMessage="1" sqref="D1103">
      <formula1>FDDValList</formula1>
    </dataValidation>
    <dataValidation type="list" allowBlank="1" showInputMessage="1" showErrorMessage="1" sqref="F1103">
      <formula1>"I, O, M, D, N"</formula1>
    </dataValidation>
    <dataValidation type="list" allowBlank="1" showInputMessage="1" showErrorMessage="1" sqref="G1103">
      <formula1>"Y, N"</formula1>
    </dataValidation>
    <dataValidation type="list" allowBlank="1" showInputMessage="1" showErrorMessage="1" sqref="D1104">
      <formula1>FDDValList</formula1>
    </dataValidation>
    <dataValidation type="list" allowBlank="1" showInputMessage="1" showErrorMessage="1" sqref="F1104">
      <formula1>"I, O, M, D, N"</formula1>
    </dataValidation>
    <dataValidation type="list" allowBlank="1" showInputMessage="1" showErrorMessage="1" sqref="G1104">
      <formula1>"Y, N"</formula1>
    </dataValidation>
    <dataValidation type="list" allowBlank="1" showInputMessage="1" showErrorMessage="1" sqref="D1105">
      <formula1>FDDValList</formula1>
    </dataValidation>
    <dataValidation type="list" allowBlank="1" showInputMessage="1" showErrorMessage="1" sqref="F1105">
      <formula1>"I, O, M, D, N"</formula1>
    </dataValidation>
    <dataValidation type="list" allowBlank="1" showInputMessage="1" showErrorMessage="1" sqref="G1105">
      <formula1>"Y, N"</formula1>
    </dataValidation>
    <dataValidation type="list" allowBlank="1" showInputMessage="1" showErrorMessage="1" sqref="D1106">
      <formula1>FDDValList</formula1>
    </dataValidation>
    <dataValidation type="list" allowBlank="1" showInputMessage="1" showErrorMessage="1" sqref="F1106">
      <formula1>"I, O, M, D, N"</formula1>
    </dataValidation>
    <dataValidation type="list" allowBlank="1" showInputMessage="1" showErrorMessage="1" sqref="G1106">
      <formula1>"Y, N"</formula1>
    </dataValidation>
    <dataValidation type="list" allowBlank="1" showInputMessage="1" showErrorMessage="1" sqref="D1107">
      <formula1>FDDValList</formula1>
    </dataValidation>
    <dataValidation type="list" allowBlank="1" showInputMessage="1" showErrorMessage="1" sqref="F1107">
      <formula1>"I, O, M, D, N"</formula1>
    </dataValidation>
    <dataValidation type="list" allowBlank="1" showInputMessage="1" showErrorMessage="1" sqref="G1107">
      <formula1>"Y, N"</formula1>
    </dataValidation>
    <dataValidation type="list" allowBlank="1" showInputMessage="1" showErrorMessage="1" sqref="D1108">
      <formula1>FDDValList</formula1>
    </dataValidation>
    <dataValidation type="list" allowBlank="1" showInputMessage="1" showErrorMessage="1" sqref="F1108">
      <formula1>"I, O, M, D, N"</formula1>
    </dataValidation>
    <dataValidation type="list" allowBlank="1" showInputMessage="1" showErrorMessage="1" sqref="G1108">
      <formula1>"Y, N"</formula1>
    </dataValidation>
    <dataValidation type="list" allowBlank="1" showInputMessage="1" showErrorMessage="1" sqref="D1109">
      <formula1>FDDValList</formula1>
    </dataValidation>
    <dataValidation type="list" allowBlank="1" showInputMessage="1" showErrorMessage="1" sqref="F1109">
      <formula1>"I, O, M, D, N"</formula1>
    </dataValidation>
    <dataValidation type="list" allowBlank="1" showInputMessage="1" showErrorMessage="1" sqref="G1109">
      <formula1>"Y, N"</formula1>
    </dataValidation>
    <dataValidation type="list" allowBlank="1" showInputMessage="1" showErrorMessage="1" sqref="D1110">
      <formula1>FDDValList</formula1>
    </dataValidation>
    <dataValidation type="list" allowBlank="1" showInputMessage="1" showErrorMessage="1" sqref="F1110">
      <formula1>"I, O, M, D, N"</formula1>
    </dataValidation>
    <dataValidation type="list" allowBlank="1" showInputMessage="1" showErrorMessage="1" sqref="G1110">
      <formula1>"Y, N"</formula1>
    </dataValidation>
    <dataValidation type="list" allowBlank="1" showInputMessage="1" showErrorMessage="1" sqref="D1111">
      <formula1>FDDValList</formula1>
    </dataValidation>
    <dataValidation type="list" allowBlank="1" showInputMessage="1" showErrorMessage="1" sqref="F1111">
      <formula1>"I, O, M, D, N"</formula1>
    </dataValidation>
    <dataValidation type="list" allowBlank="1" showInputMessage="1" showErrorMessage="1" sqref="G1111">
      <formula1>"Y, N"</formula1>
    </dataValidation>
    <dataValidation type="list" allowBlank="1" showInputMessage="1" showErrorMessage="1" sqref="D1112">
      <formula1>FDDValList</formula1>
    </dataValidation>
    <dataValidation type="list" allowBlank="1" showInputMessage="1" showErrorMessage="1" sqref="F1112">
      <formula1>"I, O, M, D, N"</formula1>
    </dataValidation>
    <dataValidation type="list" allowBlank="1" showInputMessage="1" showErrorMessage="1" sqref="G1112">
      <formula1>"Y, N"</formula1>
    </dataValidation>
    <dataValidation type="list" allowBlank="1" showInputMessage="1" showErrorMessage="1" sqref="D1113">
      <formula1>FDDValList</formula1>
    </dataValidation>
    <dataValidation type="list" allowBlank="1" showInputMessage="1" showErrorMessage="1" sqref="F1113">
      <formula1>"I, O, M, D, N"</formula1>
    </dataValidation>
    <dataValidation type="list" allowBlank="1" showInputMessage="1" showErrorMessage="1" sqref="G1113">
      <formula1>"Y, N"</formula1>
    </dataValidation>
    <dataValidation type="list" allowBlank="1" showInputMessage="1" showErrorMessage="1" sqref="D1114">
      <formula1>FDDValList</formula1>
    </dataValidation>
    <dataValidation type="list" allowBlank="1" showInputMessage="1" showErrorMessage="1" sqref="F1114">
      <formula1>"I, O, M, D, N"</formula1>
    </dataValidation>
    <dataValidation type="list" allowBlank="1" showInputMessage="1" showErrorMessage="1" sqref="G1114">
      <formula1>"Y, N"</formula1>
    </dataValidation>
    <dataValidation type="list" allowBlank="1" showInputMessage="1" showErrorMessage="1" sqref="D1115">
      <formula1>FDDValList</formula1>
    </dataValidation>
    <dataValidation type="list" allowBlank="1" showInputMessage="1" showErrorMessage="1" sqref="F1115">
      <formula1>"I, O, M, D, N"</formula1>
    </dataValidation>
    <dataValidation type="list" allowBlank="1" showInputMessage="1" showErrorMessage="1" sqref="G1115">
      <formula1>"Y, N"</formula1>
    </dataValidation>
    <dataValidation type="list" allowBlank="1" showInputMessage="1" showErrorMessage="1" sqref="D1116">
      <formula1>FDDValList</formula1>
    </dataValidation>
    <dataValidation type="list" allowBlank="1" showInputMessage="1" showErrorMessage="1" sqref="F1116">
      <formula1>"I, O, M, D, N"</formula1>
    </dataValidation>
    <dataValidation type="list" allowBlank="1" showInputMessage="1" showErrorMessage="1" sqref="G1116">
      <formula1>"Y, N"</formula1>
    </dataValidation>
    <dataValidation type="list" allowBlank="1" showInputMessage="1" showErrorMessage="1" sqref="D1117">
      <formula1>FDDValList</formula1>
    </dataValidation>
    <dataValidation type="list" allowBlank="1" showInputMessage="1" showErrorMessage="1" sqref="F1117">
      <formula1>"I, O, M, D, N"</formula1>
    </dataValidation>
    <dataValidation type="list" allowBlank="1" showInputMessage="1" showErrorMessage="1" sqref="G1117">
      <formula1>"Y, N"</formula1>
    </dataValidation>
    <dataValidation type="list" allowBlank="1" showInputMessage="1" showErrorMessage="1" sqref="D1118">
      <formula1>FDDValList</formula1>
    </dataValidation>
    <dataValidation type="list" allowBlank="1" showInputMessage="1" showErrorMessage="1" sqref="F1118">
      <formula1>"I, O, M, D, N"</formula1>
    </dataValidation>
    <dataValidation type="list" allowBlank="1" showInputMessage="1" showErrorMessage="1" sqref="G1118">
      <formula1>"Y, N"</formula1>
    </dataValidation>
    <dataValidation type="list" allowBlank="1" showInputMessage="1" showErrorMessage="1" sqref="D1119">
      <formula1>FDDValList</formula1>
    </dataValidation>
    <dataValidation type="list" allowBlank="1" showInputMessage="1" showErrorMessage="1" sqref="F1119">
      <formula1>"I, O, M, D, N"</formula1>
    </dataValidation>
    <dataValidation type="list" allowBlank="1" showInputMessage="1" showErrorMessage="1" sqref="G1119">
      <formula1>"Y, N"</formula1>
    </dataValidation>
    <dataValidation type="list" allowBlank="1" showInputMessage="1" showErrorMessage="1" sqref="D1120">
      <formula1>FDDValList</formula1>
    </dataValidation>
    <dataValidation type="list" allowBlank="1" showInputMessage="1" showErrorMessage="1" sqref="F1120">
      <formula1>"I, O, M, D, N"</formula1>
    </dataValidation>
    <dataValidation type="list" allowBlank="1" showInputMessage="1" showErrorMessage="1" sqref="G1120">
      <formula1>"Y, N"</formula1>
    </dataValidation>
    <dataValidation type="list" allowBlank="1" showInputMessage="1" showErrorMessage="1" sqref="D1121">
      <formula1>FDDValList</formula1>
    </dataValidation>
    <dataValidation type="list" allowBlank="1" showInputMessage="1" showErrorMessage="1" sqref="F1121">
      <formula1>"I, O, M, D, N"</formula1>
    </dataValidation>
    <dataValidation type="list" allowBlank="1" showInputMessage="1" showErrorMessage="1" sqref="G1121">
      <formula1>"Y, N"</formula1>
    </dataValidation>
    <dataValidation type="list" allowBlank="1" showInputMessage="1" showErrorMessage="1" sqref="D1122">
      <formula1>FDDValList</formula1>
    </dataValidation>
    <dataValidation type="list" allowBlank="1" showInputMessage="1" showErrorMessage="1" sqref="F1122">
      <formula1>"I, O, M, D, N"</formula1>
    </dataValidation>
    <dataValidation type="list" allowBlank="1" showInputMessage="1" showErrorMessage="1" sqref="G1122">
      <formula1>"Y, N"</formula1>
    </dataValidation>
    <dataValidation type="list" allowBlank="1" showInputMessage="1" showErrorMessage="1" sqref="D1123">
      <formula1>FDDValList</formula1>
    </dataValidation>
    <dataValidation type="list" allowBlank="1" showInputMessage="1" showErrorMessage="1" sqref="F1123">
      <formula1>"I, O, M, D, N"</formula1>
    </dataValidation>
    <dataValidation type="list" allowBlank="1" showInputMessage="1" showErrorMessage="1" sqref="G1123">
      <formula1>"Y, N"</formula1>
    </dataValidation>
    <dataValidation type="list" allowBlank="1" showInputMessage="1" showErrorMessage="1" sqref="D1124">
      <formula1>FDDValList</formula1>
    </dataValidation>
    <dataValidation type="list" allowBlank="1" showInputMessage="1" showErrorMessage="1" sqref="F1124">
      <formula1>"I, O, M, D, N"</formula1>
    </dataValidation>
    <dataValidation type="list" allowBlank="1" showInputMessage="1" showErrorMessage="1" sqref="G1124">
      <formula1>"Y, N"</formula1>
    </dataValidation>
    <dataValidation type="list" allowBlank="1" showInputMessage="1" showErrorMessage="1" sqref="D1125">
      <formula1>FDDValList</formula1>
    </dataValidation>
    <dataValidation type="list" allowBlank="1" showInputMessage="1" showErrorMessage="1" sqref="F1125">
      <formula1>"I, O, M, D, N"</formula1>
    </dataValidation>
    <dataValidation type="list" allowBlank="1" showInputMessage="1" showErrorMessage="1" sqref="G1125">
      <formula1>"Y, N"</formula1>
    </dataValidation>
    <dataValidation type="list" allowBlank="1" showInputMessage="1" showErrorMessage="1" sqref="D1126">
      <formula1>FDDValList</formula1>
    </dataValidation>
    <dataValidation type="list" allowBlank="1" showInputMessage="1" showErrorMessage="1" sqref="F1126">
      <formula1>"I, O, M, D, N"</formula1>
    </dataValidation>
    <dataValidation type="list" allowBlank="1" showInputMessage="1" showErrorMessage="1" sqref="G1126">
      <formula1>"Y, N"</formula1>
    </dataValidation>
    <dataValidation type="list" allowBlank="1" showInputMessage="1" showErrorMessage="1" sqref="D1127">
      <formula1>FDDValList</formula1>
    </dataValidation>
    <dataValidation type="list" allowBlank="1" showInputMessage="1" showErrorMessage="1" sqref="F1127">
      <formula1>"I, O, M, D, N"</formula1>
    </dataValidation>
    <dataValidation type="list" allowBlank="1" showInputMessage="1" showErrorMessage="1" sqref="G1127">
      <formula1>"Y, N"</formula1>
    </dataValidation>
    <dataValidation type="list" allowBlank="1" showInputMessage="1" showErrorMessage="1" sqref="D1128">
      <formula1>FDDValList</formula1>
    </dataValidation>
    <dataValidation type="list" allowBlank="1" showInputMessage="1" showErrorMessage="1" sqref="F1128">
      <formula1>"I, O, M, D, N"</formula1>
    </dataValidation>
    <dataValidation type="list" allowBlank="1" showInputMessage="1" showErrorMessage="1" sqref="G1128">
      <formula1>"Y, N"</formula1>
    </dataValidation>
    <dataValidation type="list" allowBlank="1" showInputMessage="1" showErrorMessage="1" sqref="D1129">
      <formula1>FDDValList</formula1>
    </dataValidation>
    <dataValidation type="list" allowBlank="1" showInputMessage="1" showErrorMessage="1" sqref="F1129">
      <formula1>"I, O, M, D, N"</formula1>
    </dataValidation>
    <dataValidation type="list" allowBlank="1" showInputMessage="1" showErrorMessage="1" sqref="G1129">
      <formula1>"Y, N"</formula1>
    </dataValidation>
    <dataValidation type="list" allowBlank="1" showInputMessage="1" showErrorMessage="1" sqref="D1130">
      <formula1>FDDValList</formula1>
    </dataValidation>
    <dataValidation type="list" allowBlank="1" showInputMessage="1" showErrorMessage="1" sqref="F1130">
      <formula1>"I, O, M, D, N"</formula1>
    </dataValidation>
    <dataValidation type="list" allowBlank="1" showInputMessage="1" showErrorMessage="1" sqref="G1130">
      <formula1>"Y, N"</formula1>
    </dataValidation>
    <dataValidation type="list" allowBlank="1" showInputMessage="1" showErrorMessage="1" sqref="D1131">
      <formula1>FDDValList</formula1>
    </dataValidation>
    <dataValidation type="list" allowBlank="1" showInputMessage="1" showErrorMessage="1" sqref="F1131">
      <formula1>"I, O, M, D, N"</formula1>
    </dataValidation>
    <dataValidation type="list" allowBlank="1" showInputMessage="1" showErrorMessage="1" sqref="G1131">
      <formula1>"Y, N"</formula1>
    </dataValidation>
    <dataValidation type="list" allowBlank="1" showInputMessage="1" showErrorMessage="1" sqref="D1132">
      <formula1>FDDValList</formula1>
    </dataValidation>
    <dataValidation type="list" allowBlank="1" showInputMessage="1" showErrorMessage="1" sqref="F1132">
      <formula1>"I, O, M, D, N"</formula1>
    </dataValidation>
    <dataValidation type="list" allowBlank="1" showInputMessage="1" showErrorMessage="1" sqref="G1132">
      <formula1>"Y, N"</formula1>
    </dataValidation>
    <dataValidation type="list" allowBlank="1" showInputMessage="1" showErrorMessage="1" sqref="D1133">
      <formula1>FDDValList</formula1>
    </dataValidation>
    <dataValidation type="list" allowBlank="1" showInputMessage="1" showErrorMessage="1" sqref="F1133">
      <formula1>"I, O, M, D, N"</formula1>
    </dataValidation>
    <dataValidation type="list" allowBlank="1" showInputMessage="1" showErrorMessage="1" sqref="G1133">
      <formula1>"Y, N"</formula1>
    </dataValidation>
    <dataValidation type="list" allowBlank="1" showInputMessage="1" showErrorMessage="1" sqref="D1134">
      <formula1>FDDValList</formula1>
    </dataValidation>
    <dataValidation type="list" allowBlank="1" showInputMessage="1" showErrorMessage="1" sqref="F1134">
      <formula1>"I, O, M, D, N"</formula1>
    </dataValidation>
    <dataValidation type="list" allowBlank="1" showInputMessage="1" showErrorMessage="1" sqref="G1134">
      <formula1>"Y, N"</formula1>
    </dataValidation>
    <dataValidation type="list" allowBlank="1" showInputMessage="1" showErrorMessage="1" sqref="D1135">
      <formula1>FDDValList</formula1>
    </dataValidation>
    <dataValidation type="list" allowBlank="1" showInputMessage="1" showErrorMessage="1" sqref="F1135">
      <formula1>"I, O, M, D, N"</formula1>
    </dataValidation>
    <dataValidation type="list" allowBlank="1" showInputMessage="1" showErrorMessage="1" sqref="G1135">
      <formula1>"Y, N"</formula1>
    </dataValidation>
    <dataValidation type="list" allowBlank="1" showInputMessage="1" showErrorMessage="1" sqref="D1136">
      <formula1>FDDValList</formula1>
    </dataValidation>
    <dataValidation type="list" allowBlank="1" showInputMessage="1" showErrorMessage="1" sqref="F1136">
      <formula1>"I, O, M, D, N"</formula1>
    </dataValidation>
    <dataValidation type="list" allowBlank="1" showInputMessage="1" showErrorMessage="1" sqref="G1136">
      <formula1>"Y, N"</formula1>
    </dataValidation>
    <dataValidation type="list" allowBlank="1" showInputMessage="1" showErrorMessage="1" sqref="D1137">
      <formula1>FDDValList</formula1>
    </dataValidation>
    <dataValidation type="list" allowBlank="1" showInputMessage="1" showErrorMessage="1" sqref="F1137">
      <formula1>"I, O, M, D, N"</formula1>
    </dataValidation>
    <dataValidation type="list" allowBlank="1" showInputMessage="1" showErrorMessage="1" sqref="G1137">
      <formula1>"Y, N"</formula1>
    </dataValidation>
    <dataValidation type="list" allowBlank="1" showInputMessage="1" showErrorMessage="1" sqref="D1138">
      <formula1>FDDValList</formula1>
    </dataValidation>
    <dataValidation type="list" allowBlank="1" showInputMessage="1" showErrorMessage="1" sqref="F1138">
      <formula1>"I, O, M, D, N"</formula1>
    </dataValidation>
    <dataValidation type="list" allowBlank="1" showInputMessage="1" showErrorMessage="1" sqref="G1138">
      <formula1>"Y, N"</formula1>
    </dataValidation>
    <dataValidation type="list" allowBlank="1" showInputMessage="1" showErrorMessage="1" sqref="D1139">
      <formula1>FDDValList</formula1>
    </dataValidation>
    <dataValidation type="list" allowBlank="1" showInputMessage="1" showErrorMessage="1" sqref="F1139">
      <formula1>"I, O, M, D, N"</formula1>
    </dataValidation>
    <dataValidation type="list" allowBlank="1" showInputMessage="1" showErrorMessage="1" sqref="G1139">
      <formula1>"Y, N"</formula1>
    </dataValidation>
    <dataValidation type="list" allowBlank="1" showInputMessage="1" showErrorMessage="1" sqref="D1140">
      <formula1>FDDValList</formula1>
    </dataValidation>
    <dataValidation type="list" allowBlank="1" showInputMessage="1" showErrorMessage="1" sqref="F1140">
      <formula1>"I, O, M, D, N"</formula1>
    </dataValidation>
    <dataValidation type="list" allowBlank="1" showInputMessage="1" showErrorMessage="1" sqref="G1140">
      <formula1>"Y, N"</formula1>
    </dataValidation>
    <dataValidation type="list" allowBlank="1" showInputMessage="1" showErrorMessage="1" sqref="D1141">
      <formula1>FDDValList</formula1>
    </dataValidation>
    <dataValidation type="list" allowBlank="1" showInputMessage="1" showErrorMessage="1" sqref="F1141">
      <formula1>"I, O, M, D, N"</formula1>
    </dataValidation>
    <dataValidation type="list" allowBlank="1" showInputMessage="1" showErrorMessage="1" sqref="G1141">
      <formula1>"Y, N"</formula1>
    </dataValidation>
    <dataValidation type="list" allowBlank="1" showInputMessage="1" showErrorMessage="1" sqref="D1142">
      <formula1>FDDValList</formula1>
    </dataValidation>
    <dataValidation type="list" allowBlank="1" showInputMessage="1" showErrorMessage="1" sqref="F1142">
      <formula1>"I, O, M, D, N"</formula1>
    </dataValidation>
    <dataValidation type="list" allowBlank="1" showInputMessage="1" showErrorMessage="1" sqref="G1142">
      <formula1>"Y, N"</formula1>
    </dataValidation>
    <dataValidation type="list" allowBlank="1" showInputMessage="1" showErrorMessage="1" sqref="D1143">
      <formula1>FDDValList</formula1>
    </dataValidation>
    <dataValidation type="list" allowBlank="1" showInputMessage="1" showErrorMessage="1" sqref="F1143">
      <formula1>"I, O, M, D, N"</formula1>
    </dataValidation>
    <dataValidation type="list" allowBlank="1" showInputMessage="1" showErrorMessage="1" sqref="G1143">
      <formula1>"Y, N"</formula1>
    </dataValidation>
    <dataValidation type="list" allowBlank="1" showInputMessage="1" showErrorMessage="1" sqref="D1144">
      <formula1>FDDValList</formula1>
    </dataValidation>
    <dataValidation type="list" allowBlank="1" showInputMessage="1" showErrorMessage="1" sqref="F1144">
      <formula1>"I, O, M, D, N"</formula1>
    </dataValidation>
    <dataValidation type="list" allowBlank="1" showInputMessage="1" showErrorMessage="1" sqref="G1144">
      <formula1>"Y, N"</formula1>
    </dataValidation>
    <dataValidation type="list" allowBlank="1" showInputMessage="1" showErrorMessage="1" sqref="D1145">
      <formula1>FDDValList</formula1>
    </dataValidation>
    <dataValidation type="list" allowBlank="1" showInputMessage="1" showErrorMessage="1" sqref="F1145">
      <formula1>"I, O, M, D, N"</formula1>
    </dataValidation>
    <dataValidation type="list" allowBlank="1" showInputMessage="1" showErrorMessage="1" sqref="G1145">
      <formula1>"Y, N"</formula1>
    </dataValidation>
    <dataValidation type="list" allowBlank="1" showInputMessage="1" showErrorMessage="1" sqref="D1146">
      <formula1>FDDValList</formula1>
    </dataValidation>
    <dataValidation type="list" allowBlank="1" showInputMessage="1" showErrorMessage="1" sqref="F1146">
      <formula1>"I, O, M, D, N"</formula1>
    </dataValidation>
    <dataValidation type="list" allowBlank="1" showInputMessage="1" showErrorMessage="1" sqref="G1146">
      <formula1>"Y, N"</formula1>
    </dataValidation>
    <dataValidation type="list" allowBlank="1" showInputMessage="1" showErrorMessage="1" sqref="D1147">
      <formula1>FDDValList</formula1>
    </dataValidation>
    <dataValidation type="list" allowBlank="1" showInputMessage="1" showErrorMessage="1" sqref="F1147">
      <formula1>"I, O, M, D, N"</formula1>
    </dataValidation>
    <dataValidation type="list" allowBlank="1" showInputMessage="1" showErrorMessage="1" sqref="G1147">
      <formula1>"Y, N"</formula1>
    </dataValidation>
    <dataValidation type="list" allowBlank="1" showInputMessage="1" showErrorMessage="1" sqref="D1148">
      <formula1>FDDValList</formula1>
    </dataValidation>
    <dataValidation type="list" allowBlank="1" showInputMessage="1" showErrorMessage="1" sqref="F1148">
      <formula1>"I, O, M, D, N"</formula1>
    </dataValidation>
    <dataValidation type="list" allowBlank="1" showInputMessage="1" showErrorMessage="1" sqref="G1148">
      <formula1>"Y, N"</formula1>
    </dataValidation>
    <dataValidation type="list" allowBlank="1" showInputMessage="1" showErrorMessage="1" sqref="D1149">
      <formula1>FDDValList</formula1>
    </dataValidation>
    <dataValidation type="list" allowBlank="1" showInputMessage="1" showErrorMessage="1" sqref="F1149">
      <formula1>"I, O, M, D, N"</formula1>
    </dataValidation>
    <dataValidation type="list" allowBlank="1" showInputMessage="1" showErrorMessage="1" sqref="G1149">
      <formula1>"Y, N"</formula1>
    </dataValidation>
    <dataValidation type="list" allowBlank="1" showInputMessage="1" showErrorMessage="1" sqref="D1150">
      <formula1>FDDValList</formula1>
    </dataValidation>
    <dataValidation type="list" allowBlank="1" showInputMessage="1" showErrorMessage="1" sqref="F1150">
      <formula1>"I, O, M, D, N"</formula1>
    </dataValidation>
    <dataValidation type="list" allowBlank="1" showInputMessage="1" showErrorMessage="1" sqref="G1150">
      <formula1>"Y, N"</formula1>
    </dataValidation>
    <dataValidation type="list" allowBlank="1" showInputMessage="1" showErrorMessage="1" sqref="D1151">
      <formula1>FDDValList</formula1>
    </dataValidation>
    <dataValidation type="list" allowBlank="1" showInputMessage="1" showErrorMessage="1" sqref="F1151">
      <formula1>"I, O, M, D, N"</formula1>
    </dataValidation>
    <dataValidation type="list" allowBlank="1" showInputMessage="1" showErrorMessage="1" sqref="G1151">
      <formula1>"Y, N"</formula1>
    </dataValidation>
    <dataValidation type="list" allowBlank="1" showInputMessage="1" showErrorMessage="1" sqref="D1152">
      <formula1>FDDValList</formula1>
    </dataValidation>
    <dataValidation type="list" allowBlank="1" showInputMessage="1" showErrorMessage="1" sqref="F1152">
      <formula1>"I, O, M, D, N"</formula1>
    </dataValidation>
    <dataValidation type="list" allowBlank="1" showInputMessage="1" showErrorMessage="1" sqref="G1152">
      <formula1>"Y, N"</formula1>
    </dataValidation>
    <dataValidation type="list" allowBlank="1" showInputMessage="1" showErrorMessage="1" sqref="D1153">
      <formula1>FDDValList</formula1>
    </dataValidation>
    <dataValidation type="list" allowBlank="1" showInputMessage="1" showErrorMessage="1" sqref="F1153">
      <formula1>"I, O, M, D, N"</formula1>
    </dataValidation>
    <dataValidation type="list" allowBlank="1" showInputMessage="1" showErrorMessage="1" sqref="G1153">
      <formula1>"Y, N"</formula1>
    </dataValidation>
    <dataValidation type="list" allowBlank="1" showInputMessage="1" showErrorMessage="1" sqref="D1154">
      <formula1>FDDValList</formula1>
    </dataValidation>
    <dataValidation type="list" allowBlank="1" showInputMessage="1" showErrorMessage="1" sqref="F1154">
      <formula1>"I, O, M, D, N"</formula1>
    </dataValidation>
    <dataValidation type="list" allowBlank="1" showInputMessage="1" showErrorMessage="1" sqref="G1154">
      <formula1>"Y, N"</formula1>
    </dataValidation>
    <dataValidation type="list" allowBlank="1" showInputMessage="1" showErrorMessage="1" sqref="D1155">
      <formula1>FDDValList</formula1>
    </dataValidation>
    <dataValidation type="list" allowBlank="1" showInputMessage="1" showErrorMessage="1" sqref="F1155">
      <formula1>"I, O, M, D, N"</formula1>
    </dataValidation>
    <dataValidation type="list" allowBlank="1" showInputMessage="1" showErrorMessage="1" sqref="G1155">
      <formula1>"Y, N"</formula1>
    </dataValidation>
    <dataValidation type="list" allowBlank="1" showInputMessage="1" showErrorMessage="1" sqref="D1156">
      <formula1>FDDValList</formula1>
    </dataValidation>
    <dataValidation type="list" allowBlank="1" showInputMessage="1" showErrorMessage="1" sqref="F1156">
      <formula1>"I, O, M, D, N"</formula1>
    </dataValidation>
    <dataValidation type="list" allowBlank="1" showInputMessage="1" showErrorMessage="1" sqref="G1156">
      <formula1>"Y, N"</formula1>
    </dataValidation>
    <dataValidation type="list" allowBlank="1" showInputMessage="1" showErrorMessage="1" sqref="D1157">
      <formula1>FDDValList</formula1>
    </dataValidation>
    <dataValidation type="list" allowBlank="1" showInputMessage="1" showErrorMessage="1" sqref="F1157">
      <formula1>"I, O, M, D, N"</formula1>
    </dataValidation>
    <dataValidation type="list" allowBlank="1" showInputMessage="1" showErrorMessage="1" sqref="G1157">
      <formula1>"Y, N"</formula1>
    </dataValidation>
    <dataValidation type="list" allowBlank="1" showInputMessage="1" showErrorMessage="1" sqref="D1158">
      <formula1>FDDValList</formula1>
    </dataValidation>
    <dataValidation type="list" allowBlank="1" showInputMessage="1" showErrorMessage="1" sqref="F1158">
      <formula1>"I, O, M, D, N"</formula1>
    </dataValidation>
    <dataValidation type="list" allowBlank="1" showInputMessage="1" showErrorMessage="1" sqref="G1158">
      <formula1>"Y, N"</formula1>
    </dataValidation>
    <dataValidation type="list" allowBlank="1" showInputMessage="1" showErrorMessage="1" sqref="D1159">
      <formula1>FDDValList</formula1>
    </dataValidation>
    <dataValidation type="list" allowBlank="1" showInputMessage="1" showErrorMessage="1" sqref="F1159">
      <formula1>"I, O, M, D, N"</formula1>
    </dataValidation>
    <dataValidation type="list" allowBlank="1" showInputMessage="1" showErrorMessage="1" sqref="G1159">
      <formula1>"Y, N"</formula1>
    </dataValidation>
    <dataValidation type="list" allowBlank="1" showInputMessage="1" showErrorMessage="1" sqref="D1160">
      <formula1>FDDValList</formula1>
    </dataValidation>
    <dataValidation type="list" allowBlank="1" showInputMessage="1" showErrorMessage="1" sqref="F1160">
      <formula1>"I, O, M, D, N"</formula1>
    </dataValidation>
    <dataValidation type="list" allowBlank="1" showInputMessage="1" showErrorMessage="1" sqref="G1160">
      <formula1>"Y, N"</formula1>
    </dataValidation>
    <dataValidation type="list" allowBlank="1" showInputMessage="1" showErrorMessage="1" sqref="D1161">
      <formula1>FDDValList</formula1>
    </dataValidation>
    <dataValidation type="list" allowBlank="1" showInputMessage="1" showErrorMessage="1" sqref="F1161">
      <formula1>"I, O, M, D, N"</formula1>
    </dataValidation>
    <dataValidation type="list" allowBlank="1" showInputMessage="1" showErrorMessage="1" sqref="G1161">
      <formula1>"Y, N"</formula1>
    </dataValidation>
    <dataValidation type="list" allowBlank="1" showInputMessage="1" showErrorMessage="1" sqref="D1162">
      <formula1>FDDValList</formula1>
    </dataValidation>
    <dataValidation type="list" allowBlank="1" showInputMessage="1" showErrorMessage="1" sqref="F1162">
      <formula1>"I, O, M, D, N"</formula1>
    </dataValidation>
    <dataValidation type="list" allowBlank="1" showInputMessage="1" showErrorMessage="1" sqref="G1162">
      <formula1>"Y, N"</formula1>
    </dataValidation>
    <dataValidation type="list" allowBlank="1" showInputMessage="1" showErrorMessage="1" sqref="D1163">
      <formula1>FDDValList</formula1>
    </dataValidation>
    <dataValidation type="list" allowBlank="1" showInputMessage="1" showErrorMessage="1" sqref="F1163">
      <formula1>"I, O, M, D, N"</formula1>
    </dataValidation>
    <dataValidation type="list" allowBlank="1" showInputMessage="1" showErrorMessage="1" sqref="G1163">
      <formula1>"Y, N"</formula1>
    </dataValidation>
    <dataValidation type="list" allowBlank="1" showInputMessage="1" showErrorMessage="1" sqref="D1164">
      <formula1>FDDValList</formula1>
    </dataValidation>
    <dataValidation type="list" allowBlank="1" showInputMessage="1" showErrorMessage="1" sqref="F1164">
      <formula1>"I, O, M, D, N"</formula1>
    </dataValidation>
    <dataValidation type="list" allowBlank="1" showInputMessage="1" showErrorMessage="1" sqref="G1164">
      <formula1>"Y, N"</formula1>
    </dataValidation>
    <dataValidation type="list" allowBlank="1" showInputMessage="1" showErrorMessage="1" sqref="D1165">
      <formula1>FDDValList</formula1>
    </dataValidation>
    <dataValidation type="list" allowBlank="1" showInputMessage="1" showErrorMessage="1" sqref="F1165">
      <formula1>"I, O, M, D, N"</formula1>
    </dataValidation>
    <dataValidation type="list" allowBlank="1" showInputMessage="1" showErrorMessage="1" sqref="G1165">
      <formula1>"Y, N"</formula1>
    </dataValidation>
    <dataValidation type="list" allowBlank="1" showInputMessage="1" showErrorMessage="1" sqref="D1166">
      <formula1>FDDValList</formula1>
    </dataValidation>
    <dataValidation type="list" allowBlank="1" showInputMessage="1" showErrorMessage="1" sqref="F1166">
      <formula1>"I, O, M, D, N"</formula1>
    </dataValidation>
    <dataValidation type="list" allowBlank="1" showInputMessage="1" showErrorMessage="1" sqref="G1166">
      <formula1>"Y, N"</formula1>
    </dataValidation>
    <dataValidation type="list" allowBlank="1" showInputMessage="1" showErrorMessage="1" sqref="D1167">
      <formula1>FDDValList</formula1>
    </dataValidation>
    <dataValidation type="list" allowBlank="1" showInputMessage="1" showErrorMessage="1" sqref="F1167">
      <formula1>"I, O, M, D, N"</formula1>
    </dataValidation>
    <dataValidation type="list" allowBlank="1" showInputMessage="1" showErrorMessage="1" sqref="G1167">
      <formula1>"Y, N"</formula1>
    </dataValidation>
    <dataValidation type="list" allowBlank="1" showInputMessage="1" showErrorMessage="1" sqref="D1168">
      <formula1>FDDValList</formula1>
    </dataValidation>
    <dataValidation type="list" allowBlank="1" showInputMessage="1" showErrorMessage="1" sqref="F1168">
      <formula1>"I, O, M, D, N"</formula1>
    </dataValidation>
    <dataValidation type="list" allowBlank="1" showInputMessage="1" showErrorMessage="1" sqref="G1168">
      <formula1>"Y, N"</formula1>
    </dataValidation>
    <dataValidation type="list" allowBlank="1" showInputMessage="1" showErrorMessage="1" sqref="D1169">
      <formula1>FDDValList</formula1>
    </dataValidation>
    <dataValidation type="list" allowBlank="1" showInputMessage="1" showErrorMessage="1" sqref="F1169">
      <formula1>"I, O, M, D, N"</formula1>
    </dataValidation>
    <dataValidation type="list" allowBlank="1" showInputMessage="1" showErrorMessage="1" sqref="G1169">
      <formula1>"Y, N"</formula1>
    </dataValidation>
    <dataValidation type="list" allowBlank="1" showInputMessage="1" showErrorMessage="1" sqref="D1170">
      <formula1>FDDValList</formula1>
    </dataValidation>
    <dataValidation type="list" allowBlank="1" showInputMessage="1" showErrorMessage="1" sqref="F1170">
      <formula1>"I, O, M, D, N"</formula1>
    </dataValidation>
    <dataValidation type="list" allowBlank="1" showInputMessage="1" showErrorMessage="1" sqref="G1170">
      <formula1>"Y, N"</formula1>
    </dataValidation>
    <dataValidation type="list" allowBlank="1" showInputMessage="1" showErrorMessage="1" sqref="D1171">
      <formula1>FDDValList</formula1>
    </dataValidation>
    <dataValidation type="list" allowBlank="1" showInputMessage="1" showErrorMessage="1" sqref="F1171">
      <formula1>"I, O, M, D, N"</formula1>
    </dataValidation>
    <dataValidation type="list" allowBlank="1" showInputMessage="1" showErrorMessage="1" sqref="G1171">
      <formula1>"Y, N"</formula1>
    </dataValidation>
    <dataValidation type="list" allowBlank="1" showInputMessage="1" showErrorMessage="1" sqref="D1172">
      <formula1>FDDValList</formula1>
    </dataValidation>
    <dataValidation type="list" allowBlank="1" showInputMessage="1" showErrorMessage="1" sqref="F1172">
      <formula1>"I, O, M, D, N"</formula1>
    </dataValidation>
    <dataValidation type="list" allowBlank="1" showInputMessage="1" showErrorMessage="1" sqref="G1172">
      <formula1>"Y, N"</formula1>
    </dataValidation>
    <dataValidation type="list" allowBlank="1" showInputMessage="1" showErrorMessage="1" sqref="D1173">
      <formula1>FDDValList</formula1>
    </dataValidation>
    <dataValidation type="list" allowBlank="1" showInputMessage="1" showErrorMessage="1" sqref="F1173">
      <formula1>"I, O, M, D, N"</formula1>
    </dataValidation>
    <dataValidation type="list" allowBlank="1" showInputMessage="1" showErrorMessage="1" sqref="G1173">
      <formula1>"Y, N"</formula1>
    </dataValidation>
    <dataValidation type="list" allowBlank="1" showInputMessage="1" showErrorMessage="1" sqref="D1174">
      <formula1>FDDValList</formula1>
    </dataValidation>
    <dataValidation type="list" allowBlank="1" showInputMessage="1" showErrorMessage="1" sqref="F1174">
      <formula1>"I, O, M, D, N"</formula1>
    </dataValidation>
    <dataValidation type="list" allowBlank="1" showInputMessage="1" showErrorMessage="1" sqref="G1174">
      <formula1>"Y, N"</formula1>
    </dataValidation>
    <dataValidation type="list" allowBlank="1" showInputMessage="1" showErrorMessage="1" sqref="D1175">
      <formula1>FDDValList</formula1>
    </dataValidation>
    <dataValidation type="list" allowBlank="1" showInputMessage="1" showErrorMessage="1" sqref="F1175">
      <formula1>"I, O, M, D, N"</formula1>
    </dataValidation>
    <dataValidation type="list" allowBlank="1" showInputMessage="1" showErrorMessage="1" sqref="G1175">
      <formula1>"Y, N"</formula1>
    </dataValidation>
    <dataValidation type="list" allowBlank="1" showInputMessage="1" showErrorMessage="1" sqref="D1176">
      <formula1>FDDValList</formula1>
    </dataValidation>
    <dataValidation type="list" allowBlank="1" showInputMessage="1" showErrorMessage="1" sqref="F1176">
      <formula1>"I, O, M, D, N"</formula1>
    </dataValidation>
    <dataValidation type="list" allowBlank="1" showInputMessage="1" showErrorMessage="1" sqref="G1176">
      <formula1>"Y, N"</formula1>
    </dataValidation>
    <dataValidation type="list" allowBlank="1" showInputMessage="1" showErrorMessage="1" sqref="D1177">
      <formula1>FDDValList</formula1>
    </dataValidation>
    <dataValidation type="list" allowBlank="1" showInputMessage="1" showErrorMessage="1" sqref="F1177">
      <formula1>"I, O, M, D, N"</formula1>
    </dataValidation>
    <dataValidation type="list" allowBlank="1" showInputMessage="1" showErrorMessage="1" sqref="G1177">
      <formula1>"Y, N"</formula1>
    </dataValidation>
    <dataValidation type="list" allowBlank="1" showInputMessage="1" showErrorMessage="1" sqref="D1178">
      <formula1>FDDValList</formula1>
    </dataValidation>
    <dataValidation type="list" allowBlank="1" showInputMessage="1" showErrorMessage="1" sqref="F1178">
      <formula1>"I, O, M, D, N"</formula1>
    </dataValidation>
    <dataValidation type="list" allowBlank="1" showInputMessage="1" showErrorMessage="1" sqref="G1178">
      <formula1>"Y, N"</formula1>
    </dataValidation>
    <dataValidation type="list" allowBlank="1" showInputMessage="1" showErrorMessage="1" sqref="D1179">
      <formula1>FDDValList</formula1>
    </dataValidation>
    <dataValidation type="list" allowBlank="1" showInputMessage="1" showErrorMessage="1" sqref="F1179">
      <formula1>"I, O, M, D, N"</formula1>
    </dataValidation>
    <dataValidation type="list" allowBlank="1" showInputMessage="1" showErrorMessage="1" sqref="G1179">
      <formula1>"Y, N"</formula1>
    </dataValidation>
    <dataValidation type="list" allowBlank="1" showInputMessage="1" showErrorMessage="1" sqref="D1180">
      <formula1>FDDValList</formula1>
    </dataValidation>
    <dataValidation type="list" allowBlank="1" showInputMessage="1" showErrorMessage="1" sqref="F1180">
      <formula1>"I, O, M, D, N"</formula1>
    </dataValidation>
    <dataValidation type="list" allowBlank="1" showInputMessage="1" showErrorMessage="1" sqref="G1180">
      <formula1>"Y, N"</formula1>
    </dataValidation>
    <dataValidation type="list" allowBlank="1" showInputMessage="1" showErrorMessage="1" sqref="D1181">
      <formula1>FDDValList</formula1>
    </dataValidation>
    <dataValidation type="list" allowBlank="1" showInputMessage="1" showErrorMessage="1" sqref="F1181">
      <formula1>"I, O, M, D, N"</formula1>
    </dataValidation>
    <dataValidation type="list" allowBlank="1" showInputMessage="1" showErrorMessage="1" sqref="G1181">
      <formula1>"Y, N"</formula1>
    </dataValidation>
    <dataValidation type="list" allowBlank="1" showInputMessage="1" showErrorMessage="1" sqref="D1182">
      <formula1>FDDValList</formula1>
    </dataValidation>
    <dataValidation type="list" allowBlank="1" showInputMessage="1" showErrorMessage="1" sqref="F1182">
      <formula1>"I, O, M, D, N"</formula1>
    </dataValidation>
    <dataValidation type="list" allowBlank="1" showInputMessage="1" showErrorMessage="1" sqref="G1182">
      <formula1>"Y, N"</formula1>
    </dataValidation>
    <dataValidation type="list" allowBlank="1" showInputMessage="1" showErrorMessage="1" sqref="D1183">
      <formula1>FDDValList</formula1>
    </dataValidation>
    <dataValidation type="list" allowBlank="1" showInputMessage="1" showErrorMessage="1" sqref="F1183">
      <formula1>"I, O, M, D, N"</formula1>
    </dataValidation>
    <dataValidation type="list" allowBlank="1" showInputMessage="1" showErrorMessage="1" sqref="G1183">
      <formula1>"Y, N"</formula1>
    </dataValidation>
    <dataValidation type="list" allowBlank="1" showInputMessage="1" showErrorMessage="1" sqref="D1184">
      <formula1>FDDValList</formula1>
    </dataValidation>
    <dataValidation type="list" allowBlank="1" showInputMessage="1" showErrorMessage="1" sqref="F1184">
      <formula1>"I, O, M, D, N"</formula1>
    </dataValidation>
    <dataValidation type="list" allowBlank="1" showInputMessage="1" showErrorMessage="1" sqref="G1184">
      <formula1>"Y, N"</formula1>
    </dataValidation>
    <dataValidation type="list" allowBlank="1" showInputMessage="1" showErrorMessage="1" sqref="D1185">
      <formula1>FDDValList</formula1>
    </dataValidation>
    <dataValidation type="list" allowBlank="1" showInputMessage="1" showErrorMessage="1" sqref="F1185">
      <formula1>"I, O, M, D, N"</formula1>
    </dataValidation>
    <dataValidation type="list" allowBlank="1" showInputMessage="1" showErrorMessage="1" sqref="G1185">
      <formula1>"Y, N"</formula1>
    </dataValidation>
    <dataValidation type="list" allowBlank="1" showInputMessage="1" showErrorMessage="1" sqref="D1186">
      <formula1>FDDValList</formula1>
    </dataValidation>
    <dataValidation type="list" allowBlank="1" showInputMessage="1" showErrorMessage="1" sqref="F1186">
      <formula1>"I, O, M, D, N"</formula1>
    </dataValidation>
    <dataValidation type="list" allowBlank="1" showInputMessage="1" showErrorMessage="1" sqref="G1186">
      <formula1>"Y, N"</formula1>
    </dataValidation>
    <dataValidation type="list" allowBlank="1" showInputMessage="1" showErrorMessage="1" sqref="D1187">
      <formula1>FDDValList</formula1>
    </dataValidation>
    <dataValidation type="list" allowBlank="1" showInputMessage="1" showErrorMessage="1" sqref="F1187">
      <formula1>"I, O, M, D, N"</formula1>
    </dataValidation>
    <dataValidation type="list" allowBlank="1" showInputMessage="1" showErrorMessage="1" sqref="G1187">
      <formula1>"Y, N"</formula1>
    </dataValidation>
    <dataValidation type="list" allowBlank="1" showInputMessage="1" showErrorMessage="1" sqref="D1188">
      <formula1>FDDValList</formula1>
    </dataValidation>
    <dataValidation type="list" allowBlank="1" showInputMessage="1" showErrorMessage="1" sqref="F1188">
      <formula1>"I, O, M, D, N"</formula1>
    </dataValidation>
    <dataValidation type="list" allowBlank="1" showInputMessage="1" showErrorMessage="1" sqref="G1188">
      <formula1>"Y, N"</formula1>
    </dataValidation>
    <dataValidation type="list" allowBlank="1" showInputMessage="1" showErrorMessage="1" sqref="D1189">
      <formula1>FDDValList</formula1>
    </dataValidation>
    <dataValidation type="list" allowBlank="1" showInputMessage="1" showErrorMessage="1" sqref="F1189">
      <formula1>"I, O, M, D, N"</formula1>
    </dataValidation>
    <dataValidation type="list" allowBlank="1" showInputMessage="1" showErrorMessage="1" sqref="G1189">
      <formula1>"Y, N"</formula1>
    </dataValidation>
    <dataValidation type="list" allowBlank="1" showInputMessage="1" showErrorMessage="1" sqref="D1190">
      <formula1>FDDValList</formula1>
    </dataValidation>
    <dataValidation type="list" allowBlank="1" showInputMessage="1" showErrorMessage="1" sqref="F1190">
      <formula1>"I, O, M, D, N"</formula1>
    </dataValidation>
    <dataValidation type="list" allowBlank="1" showInputMessage="1" showErrorMessage="1" sqref="G1190">
      <formula1>"Y, N"</formula1>
    </dataValidation>
    <dataValidation type="list" allowBlank="1" showInputMessage="1" showErrorMessage="1" sqref="D1191">
      <formula1>FDDValList</formula1>
    </dataValidation>
    <dataValidation type="list" allowBlank="1" showInputMessage="1" showErrorMessage="1" sqref="F1191">
      <formula1>"I, O, M, D, N"</formula1>
    </dataValidation>
    <dataValidation type="list" allowBlank="1" showInputMessage="1" showErrorMessage="1" sqref="G1191">
      <formula1>"Y, N"</formula1>
    </dataValidation>
    <dataValidation type="list" allowBlank="1" showInputMessage="1" showErrorMessage="1" sqref="D1192">
      <formula1>FDDValList</formula1>
    </dataValidation>
    <dataValidation type="list" allowBlank="1" showInputMessage="1" showErrorMessage="1" sqref="F1192">
      <formula1>"I, O, M, D, N"</formula1>
    </dataValidation>
    <dataValidation type="list" allowBlank="1" showInputMessage="1" showErrorMessage="1" sqref="G1192">
      <formula1>"Y, N"</formula1>
    </dataValidation>
    <dataValidation type="list" allowBlank="1" showInputMessage="1" showErrorMessage="1" sqref="D1193">
      <formula1>FDDValList</formula1>
    </dataValidation>
    <dataValidation type="list" allowBlank="1" showInputMessage="1" showErrorMessage="1" sqref="F1193">
      <formula1>"I, O, M, D, N"</formula1>
    </dataValidation>
    <dataValidation type="list" allowBlank="1" showInputMessage="1" showErrorMessage="1" sqref="G1193">
      <formula1>"Y, N"</formula1>
    </dataValidation>
    <dataValidation type="list" allowBlank="1" showInputMessage="1" showErrorMessage="1" sqref="D1194">
      <formula1>FDDValList</formula1>
    </dataValidation>
    <dataValidation type="list" allowBlank="1" showInputMessage="1" showErrorMessage="1" sqref="F1194">
      <formula1>"I, O, M, D, N"</formula1>
    </dataValidation>
    <dataValidation type="list" allowBlank="1" showInputMessage="1" showErrorMessage="1" sqref="G1194">
      <formula1>"Y, N"</formula1>
    </dataValidation>
    <dataValidation type="list" allowBlank="1" showInputMessage="1" showErrorMessage="1" sqref="D1195">
      <formula1>FDDValList</formula1>
    </dataValidation>
    <dataValidation type="list" allowBlank="1" showInputMessage="1" showErrorMessage="1" sqref="F1195">
      <formula1>"I, O, M, D, N"</formula1>
    </dataValidation>
    <dataValidation type="list" allowBlank="1" showInputMessage="1" showErrorMessage="1" sqref="G1195">
      <formula1>"Y, N"</formula1>
    </dataValidation>
    <dataValidation type="list" allowBlank="1" showInputMessage="1" showErrorMessage="1" sqref="D1196">
      <formula1>FDDValList</formula1>
    </dataValidation>
    <dataValidation type="list" allowBlank="1" showInputMessage="1" showErrorMessage="1" sqref="F1196">
      <formula1>"I, O, M, D, N"</formula1>
    </dataValidation>
    <dataValidation type="list" allowBlank="1" showInputMessage="1" showErrorMessage="1" sqref="G1196">
      <formula1>"Y, N"</formula1>
    </dataValidation>
    <dataValidation type="list" allowBlank="1" showInputMessage="1" showErrorMessage="1" sqref="D1197">
      <formula1>FDDValList</formula1>
    </dataValidation>
    <dataValidation type="list" allowBlank="1" showInputMessage="1" showErrorMessage="1" sqref="F1197">
      <formula1>"I, O, M, D, N"</formula1>
    </dataValidation>
    <dataValidation type="list" allowBlank="1" showInputMessage="1" showErrorMessage="1" sqref="G1197">
      <formula1>"Y, N"</formula1>
    </dataValidation>
    <dataValidation type="list" allowBlank="1" showInputMessage="1" showErrorMessage="1" sqref="D1198">
      <formula1>FDDValList</formula1>
    </dataValidation>
    <dataValidation type="list" allowBlank="1" showInputMessage="1" showErrorMessage="1" sqref="F1198">
      <formula1>"I, O, M, D, N"</formula1>
    </dataValidation>
    <dataValidation type="list" allowBlank="1" showInputMessage="1" showErrorMessage="1" sqref="G1198">
      <formula1>"Y, N"</formula1>
    </dataValidation>
    <dataValidation type="list" allowBlank="1" showInputMessage="1" showErrorMessage="1" sqref="D1199">
      <formula1>FDDValList</formula1>
    </dataValidation>
    <dataValidation type="list" allowBlank="1" showInputMessage="1" showErrorMessage="1" sqref="F1199">
      <formula1>"I, O, M, D, N"</formula1>
    </dataValidation>
    <dataValidation type="list" allowBlank="1" showInputMessage="1" showErrorMessage="1" sqref="G1199">
      <formula1>"Y, N"</formula1>
    </dataValidation>
    <dataValidation type="list" allowBlank="1" showInputMessage="1" showErrorMessage="1" sqref="D1200">
      <formula1>FDDValList</formula1>
    </dataValidation>
    <dataValidation type="list" allowBlank="1" showInputMessage="1" showErrorMessage="1" sqref="F1200">
      <formula1>"I, O, M, D, N"</formula1>
    </dataValidation>
    <dataValidation type="list" allowBlank="1" showInputMessage="1" showErrorMessage="1" sqref="G1200">
      <formula1>"Y, N"</formula1>
    </dataValidation>
    <dataValidation type="list" allowBlank="1" showInputMessage="1" showErrorMessage="1" sqref="D1201">
      <formula1>FDDValList</formula1>
    </dataValidation>
    <dataValidation type="list" allowBlank="1" showInputMessage="1" showErrorMessage="1" sqref="F1201">
      <formula1>"I, O, M, D, N"</formula1>
    </dataValidation>
    <dataValidation type="list" allowBlank="1" showInputMessage="1" showErrorMessage="1" sqref="G1201">
      <formula1>"Y, N"</formula1>
    </dataValidation>
    <dataValidation type="list" allowBlank="1" showInputMessage="1" showErrorMessage="1" sqref="D1202">
      <formula1>FDDValList</formula1>
    </dataValidation>
    <dataValidation type="list" allowBlank="1" showInputMessage="1" showErrorMessage="1" sqref="F1202">
      <formula1>"I, O, M, D, N"</formula1>
    </dataValidation>
    <dataValidation type="list" allowBlank="1" showInputMessage="1" showErrorMessage="1" sqref="G1202">
      <formula1>"Y, N"</formula1>
    </dataValidation>
    <dataValidation type="list" allowBlank="1" showInputMessage="1" showErrorMessage="1" sqref="D1203">
      <formula1>FDDValList</formula1>
    </dataValidation>
    <dataValidation type="list" allowBlank="1" showInputMessage="1" showErrorMessage="1" sqref="F1203">
      <formula1>"I, O, M, D, N"</formula1>
    </dataValidation>
    <dataValidation type="list" allowBlank="1" showInputMessage="1" showErrorMessage="1" sqref="G1203">
      <formula1>"Y, N"</formula1>
    </dataValidation>
    <dataValidation type="list" allowBlank="1" showInputMessage="1" showErrorMessage="1" sqref="D1204">
      <formula1>FDDValList</formula1>
    </dataValidation>
    <dataValidation type="list" allowBlank="1" showInputMessage="1" showErrorMessage="1" sqref="F1204">
      <formula1>"I, O, M, D, N"</formula1>
    </dataValidation>
    <dataValidation type="list" allowBlank="1" showInputMessage="1" showErrorMessage="1" sqref="G1204">
      <formula1>"Y, N"</formula1>
    </dataValidation>
    <dataValidation type="list" allowBlank="1" showInputMessage="1" showErrorMessage="1" sqref="D1205">
      <formula1>FDDValList</formula1>
    </dataValidation>
    <dataValidation type="list" allowBlank="1" showInputMessage="1" showErrorMessage="1" sqref="F1205">
      <formula1>"I, O, M, D, N"</formula1>
    </dataValidation>
    <dataValidation type="list" allowBlank="1" showInputMessage="1" showErrorMessage="1" sqref="G1205">
      <formula1>"Y, N"</formula1>
    </dataValidation>
    <dataValidation type="list" allowBlank="1" showInputMessage="1" showErrorMessage="1" sqref="D1206">
      <formula1>FDDValList</formula1>
    </dataValidation>
    <dataValidation type="list" allowBlank="1" showInputMessage="1" showErrorMessage="1" sqref="F1206">
      <formula1>"I, O, M, D, N"</formula1>
    </dataValidation>
    <dataValidation type="list" allowBlank="1" showInputMessage="1" showErrorMessage="1" sqref="G1206">
      <formula1>"Y, N"</formula1>
    </dataValidation>
    <dataValidation type="list" allowBlank="1" showInputMessage="1" showErrorMessage="1" sqref="D1207">
      <formula1>FDDValList</formula1>
    </dataValidation>
    <dataValidation type="list" allowBlank="1" showInputMessage="1" showErrorMessage="1" sqref="F1207">
      <formula1>"I, O, M, D, N"</formula1>
    </dataValidation>
    <dataValidation type="list" allowBlank="1" showInputMessage="1" showErrorMessage="1" sqref="G1207">
      <formula1>"Y, N"</formula1>
    </dataValidation>
    <dataValidation type="list" allowBlank="1" showInputMessage="1" showErrorMessage="1" sqref="D1208">
      <formula1>FDDValList</formula1>
    </dataValidation>
    <dataValidation type="list" allowBlank="1" showInputMessage="1" showErrorMessage="1" sqref="F1208">
      <formula1>"I, O, M, D, N"</formula1>
    </dataValidation>
    <dataValidation type="list" allowBlank="1" showInputMessage="1" showErrorMessage="1" sqref="G1208">
      <formula1>"Y, N"</formula1>
    </dataValidation>
    <dataValidation type="list" allowBlank="1" showInputMessage="1" showErrorMessage="1" sqref="D1209">
      <formula1>FDDValList</formula1>
    </dataValidation>
    <dataValidation type="list" allowBlank="1" showInputMessage="1" showErrorMessage="1" sqref="F1209">
      <formula1>"I, O, M, D, N"</formula1>
    </dataValidation>
    <dataValidation type="list" allowBlank="1" showInputMessage="1" showErrorMessage="1" sqref="G1209">
      <formula1>"Y, N"</formula1>
    </dataValidation>
    <dataValidation type="list" allowBlank="1" showInputMessage="1" showErrorMessage="1" sqref="D1210">
      <formula1>FDDValList</formula1>
    </dataValidation>
    <dataValidation type="list" allowBlank="1" showInputMessage="1" showErrorMessage="1" sqref="F1210">
      <formula1>"I, O, M, D, N"</formula1>
    </dataValidation>
    <dataValidation type="list" allowBlank="1" showInputMessage="1" showErrorMessage="1" sqref="G1210">
      <formula1>"Y, N"</formula1>
    </dataValidation>
    <dataValidation type="list" allowBlank="1" showInputMessage="1" showErrorMessage="1" sqref="D1211">
      <formula1>FDDValList</formula1>
    </dataValidation>
    <dataValidation type="list" allowBlank="1" showInputMessage="1" showErrorMessage="1" sqref="F1211">
      <formula1>"I, O, M, D, N"</formula1>
    </dataValidation>
    <dataValidation type="list" allowBlank="1" showInputMessage="1" showErrorMessage="1" sqref="G1211">
      <formula1>"Y, N"</formula1>
    </dataValidation>
    <dataValidation type="list" allowBlank="1" showInputMessage="1" showErrorMessage="1" sqref="D1212">
      <formula1>FDDValList</formula1>
    </dataValidation>
    <dataValidation type="list" allowBlank="1" showInputMessage="1" showErrorMessage="1" sqref="F1212">
      <formula1>"I, O, M, D, N"</formula1>
    </dataValidation>
    <dataValidation type="list" allowBlank="1" showInputMessage="1" showErrorMessage="1" sqref="G1212">
      <formula1>"Y, N"</formula1>
    </dataValidation>
    <dataValidation type="list" allowBlank="1" showInputMessage="1" showErrorMessage="1" sqref="D1213">
      <formula1>FDDValList</formula1>
    </dataValidation>
    <dataValidation type="list" allowBlank="1" showInputMessage="1" showErrorMessage="1" sqref="F1213">
      <formula1>"I, O, M, D, N"</formula1>
    </dataValidation>
    <dataValidation type="list" allowBlank="1" showInputMessage="1" showErrorMessage="1" sqref="G1213">
      <formula1>"Y, N"</formula1>
    </dataValidation>
    <dataValidation type="list" allowBlank="1" showInputMessage="1" showErrorMessage="1" sqref="D1214">
      <formula1>FDDValList</formula1>
    </dataValidation>
    <dataValidation type="list" allowBlank="1" showInputMessage="1" showErrorMessage="1" sqref="F1214">
      <formula1>"I, O, M, D, N"</formula1>
    </dataValidation>
    <dataValidation type="list" allowBlank="1" showInputMessage="1" showErrorMessage="1" sqref="G1214">
      <formula1>"Y, N"</formula1>
    </dataValidation>
    <dataValidation type="list" allowBlank="1" showInputMessage="1" showErrorMessage="1" sqref="D1215">
      <formula1>FDDValList</formula1>
    </dataValidation>
    <dataValidation type="list" allowBlank="1" showInputMessage="1" showErrorMessage="1" sqref="F1215">
      <formula1>"I, O, M, D, N"</formula1>
    </dataValidation>
    <dataValidation type="list" allowBlank="1" showInputMessage="1" showErrorMessage="1" sqref="G1215">
      <formula1>"Y, N"</formula1>
    </dataValidation>
    <dataValidation type="list" allowBlank="1" showInputMessage="1" showErrorMessage="1" sqref="D1216">
      <formula1>FDDValList</formula1>
    </dataValidation>
    <dataValidation type="list" allowBlank="1" showInputMessage="1" showErrorMessage="1" sqref="F1216">
      <formula1>"I, O, M, D, N"</formula1>
    </dataValidation>
    <dataValidation type="list" allowBlank="1" showInputMessage="1" showErrorMessage="1" sqref="G1216">
      <formula1>"Y, N"</formula1>
    </dataValidation>
    <dataValidation type="list" allowBlank="1" showInputMessage="1" showErrorMessage="1" sqref="D1217">
      <formula1>FDDValList</formula1>
    </dataValidation>
    <dataValidation type="list" allowBlank="1" showInputMessage="1" showErrorMessage="1" sqref="F1217">
      <formula1>"I, O, M, D, N"</formula1>
    </dataValidation>
    <dataValidation type="list" allowBlank="1" showInputMessage="1" showErrorMessage="1" sqref="G1217">
      <formula1>"Y, N"</formula1>
    </dataValidation>
    <dataValidation type="list" allowBlank="1" showInputMessage="1" showErrorMessage="1" sqref="D1218">
      <formula1>FDDValList</formula1>
    </dataValidation>
    <dataValidation type="list" allowBlank="1" showInputMessage="1" showErrorMessage="1" sqref="F1218">
      <formula1>"I, O, M, D, N"</formula1>
    </dataValidation>
    <dataValidation type="list" allowBlank="1" showInputMessage="1" showErrorMessage="1" sqref="G1218">
      <formula1>"Y, N"</formula1>
    </dataValidation>
    <dataValidation type="list" allowBlank="1" showInputMessage="1" showErrorMessage="1" sqref="D1219">
      <formula1>FDDValList</formula1>
    </dataValidation>
    <dataValidation type="list" allowBlank="1" showInputMessage="1" showErrorMessage="1" sqref="F1219">
      <formula1>"I, O, M, D, N"</formula1>
    </dataValidation>
    <dataValidation type="list" allowBlank="1" showInputMessage="1" showErrorMessage="1" sqref="G1219">
      <formula1>"Y, N"</formula1>
    </dataValidation>
    <dataValidation type="list" allowBlank="1" showInputMessage="1" showErrorMessage="1" sqref="D1220">
      <formula1>FDDValList</formula1>
    </dataValidation>
    <dataValidation type="list" allowBlank="1" showInputMessage="1" showErrorMessage="1" sqref="F1220">
      <formula1>"I, O, M, D, N"</formula1>
    </dataValidation>
    <dataValidation type="list" allowBlank="1" showInputMessage="1" showErrorMessage="1" sqref="G1220">
      <formula1>"Y, N"</formula1>
    </dataValidation>
    <dataValidation type="list" allowBlank="1" showInputMessage="1" showErrorMessage="1" sqref="D1221">
      <formula1>FDDValList</formula1>
    </dataValidation>
    <dataValidation type="list" allowBlank="1" showInputMessage="1" showErrorMessage="1" sqref="F1221">
      <formula1>"I, O, M, D, N"</formula1>
    </dataValidation>
    <dataValidation type="list" allowBlank="1" showInputMessage="1" showErrorMessage="1" sqref="G1221">
      <formula1>"Y, N"</formula1>
    </dataValidation>
    <dataValidation type="list" allowBlank="1" showInputMessage="1" showErrorMessage="1" sqref="D1222">
      <formula1>FDDValList</formula1>
    </dataValidation>
    <dataValidation type="list" allowBlank="1" showInputMessage="1" showErrorMessage="1" sqref="F1222">
      <formula1>"I, O, M, D, N"</formula1>
    </dataValidation>
    <dataValidation type="list" allowBlank="1" showInputMessage="1" showErrorMessage="1" sqref="G1222">
      <formula1>"Y, N"</formula1>
    </dataValidation>
    <dataValidation type="list" allowBlank="1" showInputMessage="1" showErrorMessage="1" sqref="D1223">
      <formula1>FDDValList</formula1>
    </dataValidation>
    <dataValidation type="list" allowBlank="1" showInputMessage="1" showErrorMessage="1" sqref="F1223">
      <formula1>"I, O, M, D, N"</formula1>
    </dataValidation>
    <dataValidation type="list" allowBlank="1" showInputMessage="1" showErrorMessage="1" sqref="G1223">
      <formula1>"Y, N"</formula1>
    </dataValidation>
    <dataValidation type="list" allowBlank="1" showInputMessage="1" showErrorMessage="1" sqref="D1224">
      <formula1>FDDValList</formula1>
    </dataValidation>
    <dataValidation type="list" allowBlank="1" showInputMessage="1" showErrorMessage="1" sqref="F1224">
      <formula1>"I, O, M, D, N"</formula1>
    </dataValidation>
    <dataValidation type="list" allowBlank="1" showInputMessage="1" showErrorMessage="1" sqref="G1224">
      <formula1>"Y, N"</formula1>
    </dataValidation>
    <dataValidation type="list" allowBlank="1" showInputMessage="1" showErrorMessage="1" sqref="D1225">
      <formula1>FDDValList</formula1>
    </dataValidation>
    <dataValidation type="list" allowBlank="1" showInputMessage="1" showErrorMessage="1" sqref="F1225">
      <formula1>"I, O, M, D, N"</formula1>
    </dataValidation>
    <dataValidation type="list" allowBlank="1" showInputMessage="1" showErrorMessage="1" sqref="G1225">
      <formula1>"Y, N"</formula1>
    </dataValidation>
    <dataValidation type="list" allowBlank="1" showInputMessage="1" showErrorMessage="1" sqref="D1226">
      <formula1>FDDValList</formula1>
    </dataValidation>
    <dataValidation type="list" allowBlank="1" showInputMessage="1" showErrorMessage="1" sqref="F1226">
      <formula1>"I, O, M, D, N"</formula1>
    </dataValidation>
    <dataValidation type="list" allowBlank="1" showInputMessage="1" showErrorMessage="1" sqref="G1226">
      <formula1>"Y, N"</formula1>
    </dataValidation>
    <dataValidation type="list" allowBlank="1" showInputMessage="1" showErrorMessage="1" sqref="D1227">
      <formula1>FDDValList</formula1>
    </dataValidation>
    <dataValidation type="list" allowBlank="1" showInputMessage="1" showErrorMessage="1" sqref="F1227">
      <formula1>"I, O, M, D, N"</formula1>
    </dataValidation>
    <dataValidation type="list" allowBlank="1" showInputMessage="1" showErrorMessage="1" sqref="G1227">
      <formula1>"Y, N"</formula1>
    </dataValidation>
    <dataValidation type="list" allowBlank="1" showInputMessage="1" showErrorMessage="1" sqref="D1228">
      <formula1>FDDValList</formula1>
    </dataValidation>
    <dataValidation type="list" allowBlank="1" showInputMessage="1" showErrorMessage="1" sqref="F1228">
      <formula1>"I, O, M, D, N"</formula1>
    </dataValidation>
    <dataValidation type="list" allowBlank="1" showInputMessage="1" showErrorMessage="1" sqref="G1228">
      <formula1>"Y, N"</formula1>
    </dataValidation>
    <dataValidation type="list" allowBlank="1" showInputMessage="1" showErrorMessage="1" sqref="D1229">
      <formula1>FDDValList</formula1>
    </dataValidation>
    <dataValidation type="list" allowBlank="1" showInputMessage="1" showErrorMessage="1" sqref="F1229">
      <formula1>"I, O, M, D, N"</formula1>
    </dataValidation>
    <dataValidation type="list" allowBlank="1" showInputMessage="1" showErrorMessage="1" sqref="G1229">
      <formula1>"Y, N"</formula1>
    </dataValidation>
    <dataValidation type="list" allowBlank="1" showInputMessage="1" showErrorMessage="1" sqref="D1230">
      <formula1>FDDValList</formula1>
    </dataValidation>
    <dataValidation type="list" allowBlank="1" showInputMessage="1" showErrorMessage="1" sqref="F1230">
      <formula1>"I, O, M, D, N"</formula1>
    </dataValidation>
    <dataValidation type="list" allowBlank="1" showInputMessage="1" showErrorMessage="1" sqref="G1230">
      <formula1>"Y, N"</formula1>
    </dataValidation>
    <dataValidation type="list" allowBlank="1" showInputMessage="1" showErrorMessage="1" sqref="D1231">
      <formula1>FDDValList</formula1>
    </dataValidation>
    <dataValidation type="list" allowBlank="1" showInputMessage="1" showErrorMessage="1" sqref="F1231">
      <formula1>"I, O, M, D, N"</formula1>
    </dataValidation>
    <dataValidation type="list" allowBlank="1" showInputMessage="1" showErrorMessage="1" sqref="G1231">
      <formula1>"Y, N"</formula1>
    </dataValidation>
    <dataValidation type="list" allowBlank="1" showInputMessage="1" showErrorMessage="1" sqref="D1232">
      <formula1>FDDValList</formula1>
    </dataValidation>
    <dataValidation type="list" allowBlank="1" showInputMessage="1" showErrorMessage="1" sqref="F1232">
      <formula1>"I, O, M, D, N"</formula1>
    </dataValidation>
    <dataValidation type="list" allowBlank="1" showInputMessage="1" showErrorMessage="1" sqref="G1232">
      <formula1>"Y, N"</formula1>
    </dataValidation>
    <dataValidation type="list" allowBlank="1" showInputMessage="1" showErrorMessage="1" sqref="D1233">
      <formula1>FDDValList</formula1>
    </dataValidation>
    <dataValidation type="list" allowBlank="1" showInputMessage="1" showErrorMessage="1" sqref="F1233">
      <formula1>"I, O, M, D, N"</formula1>
    </dataValidation>
    <dataValidation type="list" allowBlank="1" showInputMessage="1" showErrorMessage="1" sqref="G1233">
      <formula1>"Y, N"</formula1>
    </dataValidation>
    <dataValidation type="list" allowBlank="1" showInputMessage="1" showErrorMessage="1" sqref="D1234">
      <formula1>FDDValList</formula1>
    </dataValidation>
    <dataValidation type="list" allowBlank="1" showInputMessage="1" showErrorMessage="1" sqref="F1234">
      <formula1>"I, O, M, D, N"</formula1>
    </dataValidation>
    <dataValidation type="list" allowBlank="1" showInputMessage="1" showErrorMessage="1" sqref="G1234">
      <formula1>"Y, N"</formula1>
    </dataValidation>
    <dataValidation type="list" allowBlank="1" showInputMessage="1" showErrorMessage="1" sqref="D1235">
      <formula1>FDDValList</formula1>
    </dataValidation>
    <dataValidation type="list" allowBlank="1" showInputMessage="1" showErrorMessage="1" sqref="F1235">
      <formula1>"I, O, M, D, N"</formula1>
    </dataValidation>
    <dataValidation type="list" allowBlank="1" showInputMessage="1" showErrorMessage="1" sqref="G1235">
      <formula1>"Y, N"</formula1>
    </dataValidation>
    <dataValidation type="list" allowBlank="1" showInputMessage="1" showErrorMessage="1" sqref="D1236">
      <formula1>FDDValList</formula1>
    </dataValidation>
    <dataValidation type="list" allowBlank="1" showInputMessage="1" showErrorMessage="1" sqref="F1236">
      <formula1>"I, O, M, D, N"</formula1>
    </dataValidation>
    <dataValidation type="list" allowBlank="1" showInputMessage="1" showErrorMessage="1" sqref="G1236">
      <formula1>"Y, N"</formula1>
    </dataValidation>
    <dataValidation type="list" allowBlank="1" showInputMessage="1" showErrorMessage="1" sqref="D1237">
      <formula1>FDDValList</formula1>
    </dataValidation>
    <dataValidation type="list" allowBlank="1" showInputMessage="1" showErrorMessage="1" sqref="F1237">
      <formula1>"I, O, M, D, N"</formula1>
    </dataValidation>
    <dataValidation type="list" allowBlank="1" showInputMessage="1" showErrorMessage="1" sqref="G1237">
      <formula1>"Y, N"</formula1>
    </dataValidation>
    <dataValidation type="list" allowBlank="1" showInputMessage="1" showErrorMessage="1" sqref="D1238">
      <formula1>FDDValList</formula1>
    </dataValidation>
    <dataValidation type="list" allowBlank="1" showInputMessage="1" showErrorMessage="1" sqref="F1238">
      <formula1>"I, O, M, D, N"</formula1>
    </dataValidation>
    <dataValidation type="list" allowBlank="1" showInputMessage="1" showErrorMessage="1" sqref="G1238">
      <formula1>"Y, N"</formula1>
    </dataValidation>
    <dataValidation type="list" allowBlank="1" showInputMessage="1" showErrorMessage="1" sqref="D1239">
      <formula1>FDDValList</formula1>
    </dataValidation>
    <dataValidation type="list" allowBlank="1" showInputMessage="1" showErrorMessage="1" sqref="F1239">
      <formula1>"I, O, M, D, N"</formula1>
    </dataValidation>
    <dataValidation type="list" allowBlank="1" showInputMessage="1" showErrorMessage="1" sqref="G1239">
      <formula1>"Y, N"</formula1>
    </dataValidation>
    <dataValidation type="list" allowBlank="1" showInputMessage="1" showErrorMessage="1" sqref="D1240">
      <formula1>FDDValList</formula1>
    </dataValidation>
    <dataValidation type="list" allowBlank="1" showInputMessage="1" showErrorMessage="1" sqref="F1240">
      <formula1>"I, O, M, D, N"</formula1>
    </dataValidation>
    <dataValidation type="list" allowBlank="1" showInputMessage="1" showErrorMessage="1" sqref="G1240">
      <formula1>"Y, N"</formula1>
    </dataValidation>
    <dataValidation type="list" allowBlank="1" showInputMessage="1" showErrorMessage="1" sqref="D1241">
      <formula1>FDDValList</formula1>
    </dataValidation>
    <dataValidation type="list" allowBlank="1" showInputMessage="1" showErrorMessage="1" sqref="F1241">
      <formula1>"I, O, M, D, N"</formula1>
    </dataValidation>
    <dataValidation type="list" allowBlank="1" showInputMessage="1" showErrorMessage="1" sqref="G1241">
      <formula1>"Y, N"</formula1>
    </dataValidation>
    <dataValidation type="list" allowBlank="1" showInputMessage="1" showErrorMessage="1" sqref="D1242">
      <formula1>FDDValList</formula1>
    </dataValidation>
    <dataValidation type="list" allowBlank="1" showInputMessage="1" showErrorMessage="1" sqref="F1242">
      <formula1>"I, O, M, D, N"</formula1>
    </dataValidation>
    <dataValidation type="list" allowBlank="1" showInputMessage="1" showErrorMessage="1" sqref="G1242">
      <formula1>"Y, N"</formula1>
    </dataValidation>
    <dataValidation type="list" allowBlank="1" showInputMessage="1" showErrorMessage="1" sqref="D1243">
      <formula1>FDDValList</formula1>
    </dataValidation>
    <dataValidation type="list" allowBlank="1" showInputMessage="1" showErrorMessage="1" sqref="F1243">
      <formula1>"I, O, M, D, N"</formula1>
    </dataValidation>
    <dataValidation type="list" allowBlank="1" showInputMessage="1" showErrorMessage="1" sqref="G1243">
      <formula1>"Y, N"</formula1>
    </dataValidation>
    <dataValidation type="list" allowBlank="1" showInputMessage="1" showErrorMessage="1" sqref="D1244">
      <formula1>FDDValList</formula1>
    </dataValidation>
    <dataValidation type="list" allowBlank="1" showInputMessage="1" showErrorMessage="1" sqref="F1244">
      <formula1>"I, O, M, D, N"</formula1>
    </dataValidation>
    <dataValidation type="list" allowBlank="1" showInputMessage="1" showErrorMessage="1" sqref="G1244">
      <formula1>"Y, N"</formula1>
    </dataValidation>
    <dataValidation type="list" allowBlank="1" showInputMessage="1" showErrorMessage="1" sqref="D1245">
      <formula1>FDDValList</formula1>
    </dataValidation>
    <dataValidation type="list" allowBlank="1" showInputMessage="1" showErrorMessage="1" sqref="F1245">
      <formula1>"I, O, M, D, N"</formula1>
    </dataValidation>
    <dataValidation type="list" allowBlank="1" showInputMessage="1" showErrorMessage="1" sqref="G1245">
      <formula1>"Y, N"</formula1>
    </dataValidation>
    <dataValidation type="list" allowBlank="1" showInputMessage="1" showErrorMessage="1" sqref="D1246">
      <formula1>FDDValList</formula1>
    </dataValidation>
    <dataValidation type="list" allowBlank="1" showInputMessage="1" showErrorMessage="1" sqref="F1246">
      <formula1>"I, O, M, D, N"</formula1>
    </dataValidation>
    <dataValidation type="list" allowBlank="1" showInputMessage="1" showErrorMessage="1" sqref="G1246">
      <formula1>"Y, N"</formula1>
    </dataValidation>
    <dataValidation type="list" allowBlank="1" showInputMessage="1" showErrorMessage="1" sqref="D1247">
      <formula1>FDDValList</formula1>
    </dataValidation>
    <dataValidation type="list" allowBlank="1" showInputMessage="1" showErrorMessage="1" sqref="F1247">
      <formula1>"I, O, M, D, N"</formula1>
    </dataValidation>
    <dataValidation type="list" allowBlank="1" showInputMessage="1" showErrorMessage="1" sqref="G1247">
      <formula1>"Y, N"</formula1>
    </dataValidation>
    <dataValidation type="list" allowBlank="1" showInputMessage="1" showErrorMessage="1" sqref="D1248">
      <formula1>FDDValList</formula1>
    </dataValidation>
    <dataValidation type="list" allowBlank="1" showInputMessage="1" showErrorMessage="1" sqref="F1248">
      <formula1>"I, O, M, D, N"</formula1>
    </dataValidation>
    <dataValidation type="list" allowBlank="1" showInputMessage="1" showErrorMessage="1" sqref="G1248">
      <formula1>"Y, N"</formula1>
    </dataValidation>
    <dataValidation type="list" allowBlank="1" showInputMessage="1" showErrorMessage="1" sqref="D1249">
      <formula1>FDDValList</formula1>
    </dataValidation>
    <dataValidation type="list" allowBlank="1" showInputMessage="1" showErrorMessage="1" sqref="F1249">
      <formula1>"I, O, M, D, N"</formula1>
    </dataValidation>
    <dataValidation type="list" allowBlank="1" showInputMessage="1" showErrorMessage="1" sqref="G1249">
      <formula1>"Y, N"</formula1>
    </dataValidation>
    <dataValidation type="list" allowBlank="1" showInputMessage="1" showErrorMessage="1" sqref="D1250">
      <formula1>FDDValList</formula1>
    </dataValidation>
    <dataValidation type="list" allowBlank="1" showInputMessage="1" showErrorMessage="1" sqref="F1250">
      <formula1>"I, O, M, D, N"</formula1>
    </dataValidation>
    <dataValidation type="list" allowBlank="1" showInputMessage="1" showErrorMessage="1" sqref="G1250">
      <formula1>"Y, N"</formula1>
    </dataValidation>
    <dataValidation type="list" allowBlank="1" showInputMessage="1" showErrorMessage="1" sqref="D1251">
      <formula1>FDDValList</formula1>
    </dataValidation>
    <dataValidation type="list" allowBlank="1" showInputMessage="1" showErrorMessage="1" sqref="F1251">
      <formula1>"I, O, M, D, N"</formula1>
    </dataValidation>
    <dataValidation type="list" allowBlank="1" showInputMessage="1" showErrorMessage="1" sqref="G1251">
      <formula1>"Y, N"</formula1>
    </dataValidation>
    <dataValidation type="list" allowBlank="1" showInputMessage="1" showErrorMessage="1" sqref="D1252">
      <formula1>FDDValList</formula1>
    </dataValidation>
    <dataValidation type="list" allowBlank="1" showInputMessage="1" showErrorMessage="1" sqref="F1252">
      <formula1>"I, O, M, D, N"</formula1>
    </dataValidation>
    <dataValidation type="list" allowBlank="1" showInputMessage="1" showErrorMessage="1" sqref="G1252">
      <formula1>"Y, N"</formula1>
    </dataValidation>
    <dataValidation type="list" allowBlank="1" showInputMessage="1" showErrorMessage="1" sqref="D1253">
      <formula1>FDDValList</formula1>
    </dataValidation>
    <dataValidation type="list" allowBlank="1" showInputMessage="1" showErrorMessage="1" sqref="F1253">
      <formula1>"I, O, M, D, N"</formula1>
    </dataValidation>
    <dataValidation type="list" allowBlank="1" showInputMessage="1" showErrorMessage="1" sqref="G1253">
      <formula1>"Y, N"</formula1>
    </dataValidation>
    <dataValidation type="list" allowBlank="1" showInputMessage="1" showErrorMessage="1" sqref="D1254">
      <formula1>FDDValList</formula1>
    </dataValidation>
    <dataValidation type="list" allowBlank="1" showInputMessage="1" showErrorMessage="1" sqref="F1254">
      <formula1>"I, O, M, D, N"</formula1>
    </dataValidation>
    <dataValidation type="list" allowBlank="1" showInputMessage="1" showErrorMessage="1" sqref="G1254">
      <formula1>"Y, N"</formula1>
    </dataValidation>
    <dataValidation type="list" allowBlank="1" showInputMessage="1" showErrorMessage="1" sqref="D1255">
      <formula1>FDDValList</formula1>
    </dataValidation>
    <dataValidation type="list" allowBlank="1" showInputMessage="1" showErrorMessage="1" sqref="F1255">
      <formula1>"I, O, M, D, N"</formula1>
    </dataValidation>
    <dataValidation type="list" allowBlank="1" showInputMessage="1" showErrorMessage="1" sqref="G1255">
      <formula1>"Y, N"</formula1>
    </dataValidation>
    <dataValidation type="list" allowBlank="1" showInputMessage="1" showErrorMessage="1" sqref="D1256">
      <formula1>FDDValList</formula1>
    </dataValidation>
    <dataValidation type="list" allowBlank="1" showInputMessage="1" showErrorMessage="1" sqref="F1256">
      <formula1>"I, O, M, D, N"</formula1>
    </dataValidation>
    <dataValidation type="list" allowBlank="1" showInputMessage="1" showErrorMessage="1" sqref="G1256">
      <formula1>"Y, N"</formula1>
    </dataValidation>
    <dataValidation type="list" allowBlank="1" showInputMessage="1" showErrorMessage="1" sqref="D1257">
      <formula1>FDDValList</formula1>
    </dataValidation>
    <dataValidation type="list" allowBlank="1" showInputMessage="1" showErrorMessage="1" sqref="F1257">
      <formula1>"I, O, M, D, N"</formula1>
    </dataValidation>
    <dataValidation type="list" allowBlank="1" showInputMessage="1" showErrorMessage="1" sqref="G1257">
      <formula1>"Y, N"</formula1>
    </dataValidation>
    <dataValidation type="list" allowBlank="1" showInputMessage="1" showErrorMessage="1" sqref="D1258">
      <formula1>FDDValList</formula1>
    </dataValidation>
    <dataValidation type="list" allowBlank="1" showInputMessage="1" showErrorMessage="1" sqref="F1258">
      <formula1>"I, O, M, D, N"</formula1>
    </dataValidation>
    <dataValidation type="list" allowBlank="1" showInputMessage="1" showErrorMessage="1" sqref="G1258">
      <formula1>"Y, N"</formula1>
    </dataValidation>
    <dataValidation type="list" allowBlank="1" showInputMessage="1" showErrorMessage="1" sqref="D1259">
      <formula1>FDDValList</formula1>
    </dataValidation>
    <dataValidation type="list" allowBlank="1" showInputMessage="1" showErrorMessage="1" sqref="F1259">
      <formula1>"I, O, M, D, N"</formula1>
    </dataValidation>
    <dataValidation type="list" allowBlank="1" showInputMessage="1" showErrorMessage="1" sqref="G1259">
      <formula1>"Y, N"</formula1>
    </dataValidation>
    <dataValidation type="list" allowBlank="1" showInputMessage="1" showErrorMessage="1" sqref="D1260">
      <formula1>FDDValList</formula1>
    </dataValidation>
    <dataValidation type="list" allowBlank="1" showInputMessage="1" showErrorMessage="1" sqref="F1260">
      <formula1>"I, O, M, D, N"</formula1>
    </dataValidation>
    <dataValidation type="list" allowBlank="1" showInputMessage="1" showErrorMessage="1" sqref="G1260">
      <formula1>"Y, N"</formula1>
    </dataValidation>
    <dataValidation type="list" allowBlank="1" showInputMessage="1" showErrorMessage="1" sqref="D1261">
      <formula1>FDDValList</formula1>
    </dataValidation>
    <dataValidation type="list" allowBlank="1" showInputMessage="1" showErrorMessage="1" sqref="F1261">
      <formula1>"I, O, M, D, N"</formula1>
    </dataValidation>
    <dataValidation type="list" allowBlank="1" showInputMessage="1" showErrorMessage="1" sqref="G1261">
      <formula1>"Y, N"</formula1>
    </dataValidation>
    <dataValidation type="list" allowBlank="1" showInputMessage="1" showErrorMessage="1" sqref="D1262">
      <formula1>FDDValList</formula1>
    </dataValidation>
    <dataValidation type="list" allowBlank="1" showInputMessage="1" showErrorMessage="1" sqref="F1262">
      <formula1>"I, O, M, D, N"</formula1>
    </dataValidation>
    <dataValidation type="list" allowBlank="1" showInputMessage="1" showErrorMessage="1" sqref="G1262">
      <formula1>"Y, N"</formula1>
    </dataValidation>
    <dataValidation type="list" allowBlank="1" showInputMessage="1" showErrorMessage="1" sqref="D1263">
      <formula1>FDDValList</formula1>
    </dataValidation>
    <dataValidation type="list" allowBlank="1" showInputMessage="1" showErrorMessage="1" sqref="F1263">
      <formula1>"I, O, M, D, N"</formula1>
    </dataValidation>
    <dataValidation type="list" allowBlank="1" showInputMessage="1" showErrorMessage="1" sqref="G1263">
      <formula1>"Y, N"</formula1>
    </dataValidation>
    <dataValidation type="list" allowBlank="1" showInputMessage="1" showErrorMessage="1" sqref="D1264">
      <formula1>FDDValList</formula1>
    </dataValidation>
    <dataValidation type="list" allowBlank="1" showInputMessage="1" showErrorMessage="1" sqref="F1264">
      <formula1>"I, O, M, D, N"</formula1>
    </dataValidation>
    <dataValidation type="list" allowBlank="1" showInputMessage="1" showErrorMessage="1" sqref="G1264">
      <formula1>"Y, N"</formula1>
    </dataValidation>
    <dataValidation type="list" allowBlank="1" showInputMessage="1" showErrorMessage="1" sqref="D1265">
      <formula1>FDDValList</formula1>
    </dataValidation>
    <dataValidation type="list" allowBlank="1" showInputMessage="1" showErrorMessage="1" sqref="F1265">
      <formula1>"I, O, M, D, N"</formula1>
    </dataValidation>
    <dataValidation type="list" allowBlank="1" showInputMessage="1" showErrorMessage="1" sqref="G1265">
      <formula1>"Y, N"</formula1>
    </dataValidation>
    <dataValidation type="list" allowBlank="1" showInputMessage="1" showErrorMessage="1" sqref="D1266">
      <formula1>FDDValList</formula1>
    </dataValidation>
    <dataValidation type="list" allowBlank="1" showInputMessage="1" showErrorMessage="1" sqref="F1266">
      <formula1>"I, O, M, D, N"</formula1>
    </dataValidation>
    <dataValidation type="list" allowBlank="1" showInputMessage="1" showErrorMessage="1" sqref="G1266">
      <formula1>"Y, N"</formula1>
    </dataValidation>
    <dataValidation type="list" allowBlank="1" showInputMessage="1" showErrorMessage="1" sqref="D1267">
      <formula1>FDDValList</formula1>
    </dataValidation>
    <dataValidation type="list" allowBlank="1" showInputMessage="1" showErrorMessage="1" sqref="F1267">
      <formula1>"I, O, M, D, N"</formula1>
    </dataValidation>
    <dataValidation type="list" allowBlank="1" showInputMessage="1" showErrorMessage="1" sqref="G1267">
      <formula1>"Y, N"</formula1>
    </dataValidation>
    <dataValidation type="list" allowBlank="1" showInputMessage="1" showErrorMessage="1" sqref="D1268">
      <formula1>FDDValList</formula1>
    </dataValidation>
    <dataValidation type="list" allowBlank="1" showInputMessage="1" showErrorMessage="1" sqref="F1268">
      <formula1>"I, O, M, D, N"</formula1>
    </dataValidation>
    <dataValidation type="list" allowBlank="1" showInputMessage="1" showErrorMessage="1" sqref="G1268">
      <formula1>"Y, N"</formula1>
    </dataValidation>
    <dataValidation type="list" allowBlank="1" showInputMessage="1" showErrorMessage="1" sqref="D1269">
      <formula1>FDDValList</formula1>
    </dataValidation>
    <dataValidation type="list" allowBlank="1" showInputMessage="1" showErrorMessage="1" sqref="F1269">
      <formula1>"I, O, M, D, N"</formula1>
    </dataValidation>
    <dataValidation type="list" allowBlank="1" showInputMessage="1" showErrorMessage="1" sqref="G1269">
      <formula1>"Y, N"</formula1>
    </dataValidation>
    <dataValidation type="list" allowBlank="1" showInputMessage="1" showErrorMessage="1" sqref="D1270">
      <formula1>FDDValList</formula1>
    </dataValidation>
    <dataValidation type="list" allowBlank="1" showInputMessage="1" showErrorMessage="1" sqref="F1270">
      <formula1>"I, O, M, D, N"</formula1>
    </dataValidation>
    <dataValidation type="list" allowBlank="1" showInputMessage="1" showErrorMessage="1" sqref="G1270">
      <formula1>"Y, N"</formula1>
    </dataValidation>
    <dataValidation type="list" allowBlank="1" showInputMessage="1" showErrorMessage="1" sqref="D1271">
      <formula1>FDDValList</formula1>
    </dataValidation>
    <dataValidation type="list" allowBlank="1" showInputMessage="1" showErrorMessage="1" sqref="F1271">
      <formula1>"I, O, M, D, N"</formula1>
    </dataValidation>
    <dataValidation type="list" allowBlank="1" showInputMessage="1" showErrorMessage="1" sqref="G1271">
      <formula1>"Y, N"</formula1>
    </dataValidation>
    <dataValidation type="list" allowBlank="1" showInputMessage="1" showErrorMessage="1" sqref="D1272">
      <formula1>FDDValList</formula1>
    </dataValidation>
    <dataValidation type="list" allowBlank="1" showInputMessage="1" showErrorMessage="1" sqref="F1272">
      <formula1>"I, O, M, D, N"</formula1>
    </dataValidation>
    <dataValidation type="list" allowBlank="1" showInputMessage="1" showErrorMessage="1" sqref="G1272">
      <formula1>"Y, N"</formula1>
    </dataValidation>
    <dataValidation type="list" allowBlank="1" showInputMessage="1" showErrorMessage="1" sqref="D1273">
      <formula1>FDDValList</formula1>
    </dataValidation>
    <dataValidation type="list" allowBlank="1" showInputMessage="1" showErrorMessage="1" sqref="F1273">
      <formula1>"I, O, M, D, N"</formula1>
    </dataValidation>
    <dataValidation type="list" allowBlank="1" showInputMessage="1" showErrorMessage="1" sqref="G1273">
      <formula1>"Y, N"</formula1>
    </dataValidation>
    <dataValidation type="list" allowBlank="1" showInputMessage="1" showErrorMessage="1" sqref="D1274">
      <formula1>FDDValList</formula1>
    </dataValidation>
    <dataValidation type="list" allowBlank="1" showInputMessage="1" showErrorMessage="1" sqref="F1274">
      <formula1>"I, O, M, D, N"</formula1>
    </dataValidation>
    <dataValidation type="list" allowBlank="1" showInputMessage="1" showErrorMessage="1" sqref="G1274">
      <formula1>"Y, N"</formula1>
    </dataValidation>
    <dataValidation type="list" allowBlank="1" showInputMessage="1" showErrorMessage="1" sqref="D1275">
      <formula1>FDDValList</formula1>
    </dataValidation>
    <dataValidation type="list" allowBlank="1" showInputMessage="1" showErrorMessage="1" sqref="F1275">
      <formula1>"I, O, M, D, N"</formula1>
    </dataValidation>
    <dataValidation type="list" allowBlank="1" showInputMessage="1" showErrorMessage="1" sqref="G1275">
      <formula1>"Y, N"</formula1>
    </dataValidation>
    <dataValidation type="list" allowBlank="1" showInputMessage="1" showErrorMessage="1" sqref="D1276">
      <formula1>FDDValList</formula1>
    </dataValidation>
    <dataValidation type="list" allowBlank="1" showInputMessage="1" showErrorMessage="1" sqref="F1276">
      <formula1>"I, O, M, D, N"</formula1>
    </dataValidation>
    <dataValidation type="list" allowBlank="1" showInputMessage="1" showErrorMessage="1" sqref="G1276">
      <formula1>"Y, N"</formula1>
    </dataValidation>
    <dataValidation type="list" allowBlank="1" showInputMessage="1" showErrorMessage="1" sqref="D1277">
      <formula1>FDDValList</formula1>
    </dataValidation>
    <dataValidation type="list" allowBlank="1" showInputMessage="1" showErrorMessage="1" sqref="F1277">
      <formula1>"I, O, M, D, N"</formula1>
    </dataValidation>
    <dataValidation type="list" allowBlank="1" showInputMessage="1" showErrorMessage="1" sqref="G1277">
      <formula1>"Y, N"</formula1>
    </dataValidation>
    <dataValidation type="list" allowBlank="1" showInputMessage="1" showErrorMessage="1" sqref="D1278">
      <formula1>FDDValList</formula1>
    </dataValidation>
    <dataValidation type="list" allowBlank="1" showInputMessage="1" showErrorMessage="1" sqref="F1278">
      <formula1>"I, O, M, D, N"</formula1>
    </dataValidation>
    <dataValidation type="list" allowBlank="1" showInputMessage="1" showErrorMessage="1" sqref="G1278">
      <formula1>"Y, N"</formula1>
    </dataValidation>
    <dataValidation type="list" allowBlank="1" showInputMessage="1" showErrorMessage="1" sqref="D1279">
      <formula1>FDDValList</formula1>
    </dataValidation>
    <dataValidation type="list" allowBlank="1" showInputMessage="1" showErrorMessage="1" sqref="F1279">
      <formula1>"I, O, M, D, N"</formula1>
    </dataValidation>
    <dataValidation type="list" allowBlank="1" showInputMessage="1" showErrorMessage="1" sqref="G1279">
      <formula1>"Y, N"</formula1>
    </dataValidation>
    <dataValidation type="list" allowBlank="1" showInputMessage="1" showErrorMessage="1" sqref="D1280">
      <formula1>FDDValList</formula1>
    </dataValidation>
    <dataValidation type="list" allowBlank="1" showInputMessage="1" showErrorMessage="1" sqref="F1280">
      <formula1>"I, O, M, D, N"</formula1>
    </dataValidation>
    <dataValidation type="list" allowBlank="1" showInputMessage="1" showErrorMessage="1" sqref="G1280">
      <formula1>"Y, N"</formula1>
    </dataValidation>
    <dataValidation type="list" allowBlank="1" showInputMessage="1" showErrorMessage="1" sqref="D1281">
      <formula1>FDDValList</formula1>
    </dataValidation>
    <dataValidation type="list" allowBlank="1" showInputMessage="1" showErrorMessage="1" sqref="F1281">
      <formula1>"I, O, M, D, N"</formula1>
    </dataValidation>
    <dataValidation type="list" allowBlank="1" showInputMessage="1" showErrorMessage="1" sqref="G1281">
      <formula1>"Y, N"</formula1>
    </dataValidation>
    <dataValidation type="list" allowBlank="1" showInputMessage="1" showErrorMessage="1" sqref="D1282">
      <formula1>FDDValList</formula1>
    </dataValidation>
    <dataValidation type="list" allowBlank="1" showInputMessage="1" showErrorMessage="1" sqref="F1282">
      <formula1>"I, O, M, D, N"</formula1>
    </dataValidation>
    <dataValidation type="list" allowBlank="1" showInputMessage="1" showErrorMessage="1" sqref="G1282">
      <formula1>"Y, N"</formula1>
    </dataValidation>
    <dataValidation type="list" allowBlank="1" showInputMessage="1" showErrorMessage="1" sqref="D1283">
      <formula1>FDDValList</formula1>
    </dataValidation>
    <dataValidation type="list" allowBlank="1" showInputMessage="1" showErrorMessage="1" sqref="F1283">
      <formula1>"I, O, M, D, N"</formula1>
    </dataValidation>
    <dataValidation type="list" allowBlank="1" showInputMessage="1" showErrorMessage="1" sqref="G1283">
      <formula1>"Y, N"</formula1>
    </dataValidation>
    <dataValidation type="list" allowBlank="1" showInputMessage="1" showErrorMessage="1" sqref="D1284">
      <formula1>FDDValList</formula1>
    </dataValidation>
    <dataValidation type="list" allowBlank="1" showInputMessage="1" showErrorMessage="1" sqref="F1284">
      <formula1>"I, O, M, D, N"</formula1>
    </dataValidation>
    <dataValidation type="list" allowBlank="1" showInputMessage="1" showErrorMessage="1" sqref="G1284">
      <formula1>"Y, N"</formula1>
    </dataValidation>
    <dataValidation type="list" allowBlank="1" showInputMessage="1" showErrorMessage="1" sqref="D1285">
      <formula1>FDDValList</formula1>
    </dataValidation>
    <dataValidation type="list" allowBlank="1" showInputMessage="1" showErrorMessage="1" sqref="F1285">
      <formula1>"I, O, M, D, N"</formula1>
    </dataValidation>
    <dataValidation type="list" allowBlank="1" showInputMessage="1" showErrorMessage="1" sqref="G1285">
      <formula1>"Y, N"</formula1>
    </dataValidation>
    <dataValidation type="list" allowBlank="1" showInputMessage="1" showErrorMessage="1" sqref="D1286">
      <formula1>FDDValList</formula1>
    </dataValidation>
    <dataValidation type="list" allowBlank="1" showInputMessage="1" showErrorMessage="1" sqref="F1286">
      <formula1>"I, O, M, D, N"</formula1>
    </dataValidation>
    <dataValidation type="list" allowBlank="1" showInputMessage="1" showErrorMessage="1" sqref="G1286">
      <formula1>"Y, N"</formula1>
    </dataValidation>
    <dataValidation type="list" allowBlank="1" showInputMessage="1" showErrorMessage="1" sqref="D1287">
      <formula1>FDDValList</formula1>
    </dataValidation>
    <dataValidation type="list" allowBlank="1" showInputMessage="1" showErrorMessage="1" sqref="F1287">
      <formula1>"I, O, M, D, N"</formula1>
    </dataValidation>
    <dataValidation type="list" allowBlank="1" showInputMessage="1" showErrorMessage="1" sqref="G1287">
      <formula1>"Y, N"</formula1>
    </dataValidation>
    <dataValidation type="list" allowBlank="1" showInputMessage="1" showErrorMessage="1" sqref="D1288">
      <formula1>FDDValList</formula1>
    </dataValidation>
    <dataValidation type="list" allowBlank="1" showInputMessage="1" showErrorMessage="1" sqref="F1288">
      <formula1>"I, O, M, D, N"</formula1>
    </dataValidation>
    <dataValidation type="list" allowBlank="1" showInputMessage="1" showErrorMessage="1" sqref="G1288">
      <formula1>"Y, N"</formula1>
    </dataValidation>
    <dataValidation type="list" allowBlank="1" showInputMessage="1" showErrorMessage="1" sqref="D1289">
      <formula1>FDDValList</formula1>
    </dataValidation>
    <dataValidation type="list" allowBlank="1" showInputMessage="1" showErrorMessage="1" sqref="F1289">
      <formula1>"I, O, M, D, N"</formula1>
    </dataValidation>
    <dataValidation type="list" allowBlank="1" showInputMessage="1" showErrorMessage="1" sqref="G1289">
      <formula1>"Y, N"</formula1>
    </dataValidation>
    <dataValidation type="list" allowBlank="1" showInputMessage="1" showErrorMessage="1" sqref="D1290">
      <formula1>FDDValList</formula1>
    </dataValidation>
    <dataValidation type="list" allowBlank="1" showInputMessage="1" showErrorMessage="1" sqref="F1290">
      <formula1>"I, O, M, D, N"</formula1>
    </dataValidation>
    <dataValidation type="list" allowBlank="1" showInputMessage="1" showErrorMessage="1" sqref="G1290">
      <formula1>"Y, N"</formula1>
    </dataValidation>
    <dataValidation type="list" allowBlank="1" showInputMessage="1" showErrorMessage="1" sqref="D1291">
      <formula1>FDDValList</formula1>
    </dataValidation>
    <dataValidation type="list" allowBlank="1" showInputMessage="1" showErrorMessage="1" sqref="F1291">
      <formula1>"I, O, M, D, N"</formula1>
    </dataValidation>
    <dataValidation type="list" allowBlank="1" showInputMessage="1" showErrorMessage="1" sqref="G1291">
      <formula1>"Y, N"</formula1>
    </dataValidation>
    <dataValidation type="list" allowBlank="1" showInputMessage="1" showErrorMessage="1" sqref="D1292">
      <formula1>FDDValList</formula1>
    </dataValidation>
    <dataValidation type="list" allowBlank="1" showInputMessage="1" showErrorMessage="1" sqref="F1292">
      <formula1>"I, O, M, D, N"</formula1>
    </dataValidation>
    <dataValidation type="list" allowBlank="1" showInputMessage="1" showErrorMessage="1" sqref="G1292">
      <formula1>"Y, N"</formula1>
    </dataValidation>
    <dataValidation type="list" allowBlank="1" showInputMessage="1" showErrorMessage="1" sqref="D1293">
      <formula1>FDDValList</formula1>
    </dataValidation>
    <dataValidation type="list" allowBlank="1" showInputMessage="1" showErrorMessage="1" sqref="F1293">
      <formula1>"I, O, M, D, N"</formula1>
    </dataValidation>
    <dataValidation type="list" allowBlank="1" showInputMessage="1" showErrorMessage="1" sqref="G1293">
      <formula1>"Y, N"</formula1>
    </dataValidation>
    <dataValidation type="list" allowBlank="1" showInputMessage="1" showErrorMessage="1" sqref="D1294">
      <formula1>FDDValList</formula1>
    </dataValidation>
    <dataValidation type="list" allowBlank="1" showInputMessage="1" showErrorMessage="1" sqref="F1294">
      <formula1>"I, O, M, D, N"</formula1>
    </dataValidation>
    <dataValidation type="list" allowBlank="1" showInputMessage="1" showErrorMessage="1" sqref="G1294">
      <formula1>"Y, N"</formula1>
    </dataValidation>
    <dataValidation type="list" allowBlank="1" showInputMessage="1" showErrorMessage="1" sqref="D1295">
      <formula1>FDDValList</formula1>
    </dataValidation>
    <dataValidation type="list" allowBlank="1" showInputMessage="1" showErrorMessage="1" sqref="F1295">
      <formula1>"I, O, M, D, N"</formula1>
    </dataValidation>
    <dataValidation type="list" allowBlank="1" showInputMessage="1" showErrorMessage="1" sqref="G1295">
      <formula1>"Y, N"</formula1>
    </dataValidation>
    <dataValidation type="list" allowBlank="1" showInputMessage="1" showErrorMessage="1" sqref="D1296">
      <formula1>FDDValList</formula1>
    </dataValidation>
    <dataValidation type="list" allowBlank="1" showInputMessage="1" showErrorMessage="1" sqref="F1296">
      <formula1>"I, O, M, D, N"</formula1>
    </dataValidation>
    <dataValidation type="list" allowBlank="1" showInputMessage="1" showErrorMessage="1" sqref="G1296">
      <formula1>"Y, N"</formula1>
    </dataValidation>
    <dataValidation type="list" allowBlank="1" showInputMessage="1" showErrorMessage="1" sqref="D1297">
      <formula1>FDDValList</formula1>
    </dataValidation>
    <dataValidation type="list" allowBlank="1" showInputMessage="1" showErrorMessage="1" sqref="F1297">
      <formula1>"I, O, M, D, N"</formula1>
    </dataValidation>
    <dataValidation type="list" allowBlank="1" showInputMessage="1" showErrorMessage="1" sqref="G1297">
      <formula1>"Y, N"</formula1>
    </dataValidation>
    <dataValidation type="list" allowBlank="1" showInputMessage="1" showErrorMessage="1" sqref="D1298">
      <formula1>FDDValList</formula1>
    </dataValidation>
    <dataValidation type="list" allowBlank="1" showInputMessage="1" showErrorMessage="1" sqref="F1298">
      <formula1>"I, O, M, D, N"</formula1>
    </dataValidation>
    <dataValidation type="list" allowBlank="1" showInputMessage="1" showErrorMessage="1" sqref="G1298">
      <formula1>"Y, N"</formula1>
    </dataValidation>
    <dataValidation type="list" allowBlank="1" showInputMessage="1" showErrorMessage="1" sqref="D1299">
      <formula1>FDDValList</formula1>
    </dataValidation>
    <dataValidation type="list" allowBlank="1" showInputMessage="1" showErrorMessage="1" sqref="F1299">
      <formula1>"I, O, M, D, N"</formula1>
    </dataValidation>
    <dataValidation type="list" allowBlank="1" showInputMessage="1" showErrorMessage="1" sqref="G1299">
      <formula1>"Y, N"</formula1>
    </dataValidation>
    <dataValidation type="list" allowBlank="1" showInputMessage="1" showErrorMessage="1" sqref="D1300">
      <formula1>FDDValList</formula1>
    </dataValidation>
    <dataValidation type="list" allowBlank="1" showInputMessage="1" showErrorMessage="1" sqref="F1300">
      <formula1>"I, O, M, D, N"</formula1>
    </dataValidation>
    <dataValidation type="list" allowBlank="1" showInputMessage="1" showErrorMessage="1" sqref="G1300">
      <formula1>"Y, N"</formula1>
    </dataValidation>
    <dataValidation type="list" allowBlank="1" showInputMessage="1" showErrorMessage="1" sqref="D1301">
      <formula1>FDDValList</formula1>
    </dataValidation>
    <dataValidation type="list" allowBlank="1" showInputMessage="1" showErrorMessage="1" sqref="F1301">
      <formula1>"I, O, M, D, N"</formula1>
    </dataValidation>
    <dataValidation type="list" allowBlank="1" showInputMessage="1" showErrorMessage="1" sqref="G1301">
      <formula1>"Y, N"</formula1>
    </dataValidation>
    <dataValidation type="list" allowBlank="1" showInputMessage="1" showErrorMessage="1" sqref="D1302">
      <formula1>FDDValList</formula1>
    </dataValidation>
    <dataValidation type="list" allowBlank="1" showInputMessage="1" showErrorMessage="1" sqref="F1302">
      <formula1>"I, O, M, D, N"</formula1>
    </dataValidation>
    <dataValidation type="list" allowBlank="1" showInputMessage="1" showErrorMessage="1" sqref="G1302">
      <formula1>"Y, N"</formula1>
    </dataValidation>
    <dataValidation type="list" allowBlank="1" showInputMessage="1" showErrorMessage="1" sqref="D1303">
      <formula1>FDDValList</formula1>
    </dataValidation>
    <dataValidation type="list" allowBlank="1" showInputMessage="1" showErrorMessage="1" sqref="F1303">
      <formula1>"I, O, M, D, N"</formula1>
    </dataValidation>
    <dataValidation type="list" allowBlank="1" showInputMessage="1" showErrorMessage="1" sqref="G1303">
      <formula1>"Y, N"</formula1>
    </dataValidation>
    <dataValidation type="list" allowBlank="1" showInputMessage="1" showErrorMessage="1" sqref="D1304">
      <formula1>FDDValList</formula1>
    </dataValidation>
    <dataValidation type="list" allowBlank="1" showInputMessage="1" showErrorMessage="1" sqref="F1304">
      <formula1>"I, O, M, D, N"</formula1>
    </dataValidation>
    <dataValidation type="list" allowBlank="1" showInputMessage="1" showErrorMessage="1" sqref="G1304">
      <formula1>"Y, N"</formula1>
    </dataValidation>
    <dataValidation type="list" allowBlank="1" showInputMessage="1" showErrorMessage="1" sqref="D1305">
      <formula1>FDDValList</formula1>
    </dataValidation>
    <dataValidation type="list" allowBlank="1" showInputMessage="1" showErrorMessage="1" sqref="F1305">
      <formula1>"I, O, M, D, N"</formula1>
    </dataValidation>
    <dataValidation type="list" allowBlank="1" showInputMessage="1" showErrorMessage="1" sqref="G1305">
      <formula1>"Y, N"</formula1>
    </dataValidation>
    <dataValidation type="list" allowBlank="1" showInputMessage="1" showErrorMessage="1" sqref="D1306">
      <formula1>FDDValList</formula1>
    </dataValidation>
    <dataValidation type="list" allowBlank="1" showInputMessage="1" showErrorMessage="1" sqref="F1306">
      <formula1>"I, O, M, D, N"</formula1>
    </dataValidation>
    <dataValidation type="list" allowBlank="1" showInputMessage="1" showErrorMessage="1" sqref="G1306">
      <formula1>"Y, N"</formula1>
    </dataValidation>
    <dataValidation type="list" allowBlank="1" showInputMessage="1" showErrorMessage="1" sqref="D1307">
      <formula1>FDDValList</formula1>
    </dataValidation>
    <dataValidation type="list" allowBlank="1" showInputMessage="1" showErrorMessage="1" sqref="F1307">
      <formula1>"I, O, M, D, N"</formula1>
    </dataValidation>
    <dataValidation type="list" allowBlank="1" showInputMessage="1" showErrorMessage="1" sqref="G1307">
      <formula1>"Y, N"</formula1>
    </dataValidation>
    <dataValidation type="list" allowBlank="1" showInputMessage="1" showErrorMessage="1" sqref="D1308">
      <formula1>FDDValList</formula1>
    </dataValidation>
    <dataValidation type="list" allowBlank="1" showInputMessage="1" showErrorMessage="1" sqref="F1308">
      <formula1>"I, O, M, D, N"</formula1>
    </dataValidation>
    <dataValidation type="list" allowBlank="1" showInputMessage="1" showErrorMessage="1" sqref="G1308">
      <formula1>"Y, N"</formula1>
    </dataValidation>
    <dataValidation type="list" allowBlank="1" showInputMessage="1" showErrorMessage="1" sqref="D1309">
      <formula1>FDDValList</formula1>
    </dataValidation>
    <dataValidation type="list" allowBlank="1" showInputMessage="1" showErrorMessage="1" sqref="F1309">
      <formula1>"I, O, M, D, N"</formula1>
    </dataValidation>
    <dataValidation type="list" allowBlank="1" showInputMessage="1" showErrorMessage="1" sqref="G1309">
      <formula1>"Y, N"</formula1>
    </dataValidation>
    <dataValidation type="list" allowBlank="1" showInputMessage="1" showErrorMessage="1" sqref="D1310">
      <formula1>FDDValList</formula1>
    </dataValidation>
    <dataValidation type="list" allowBlank="1" showInputMessage="1" showErrorMessage="1" sqref="F1310">
      <formula1>"I, O, M, D, N"</formula1>
    </dataValidation>
    <dataValidation type="list" allowBlank="1" showInputMessage="1" showErrorMessage="1" sqref="G1310">
      <formula1>"Y, N"</formula1>
    </dataValidation>
    <dataValidation type="list" allowBlank="1" showInputMessage="1" showErrorMessage="1" sqref="D1311">
      <formula1>FDDValList</formula1>
    </dataValidation>
    <dataValidation type="list" allowBlank="1" showInputMessage="1" showErrorMessage="1" sqref="F1311">
      <formula1>"I, O, M, D, N"</formula1>
    </dataValidation>
    <dataValidation type="list" allowBlank="1" showInputMessage="1" showErrorMessage="1" sqref="G1311">
      <formula1>"Y, N"</formula1>
    </dataValidation>
    <dataValidation type="list" allowBlank="1" showInputMessage="1" showErrorMessage="1" sqref="D1312">
      <formula1>FDDValList</formula1>
    </dataValidation>
    <dataValidation type="list" allowBlank="1" showInputMessage="1" showErrorMessage="1" sqref="F1312">
      <formula1>"I, O, M, D, N"</formula1>
    </dataValidation>
    <dataValidation type="list" allowBlank="1" showInputMessage="1" showErrorMessage="1" sqref="G1312">
      <formula1>"Y, N"</formula1>
    </dataValidation>
    <dataValidation type="list" allowBlank="1" showInputMessage="1" showErrorMessage="1" sqref="D1313">
      <formula1>FDDValList</formula1>
    </dataValidation>
    <dataValidation type="list" allowBlank="1" showInputMessage="1" showErrorMessage="1" sqref="F1313">
      <formula1>"I, O, M, D, N"</formula1>
    </dataValidation>
    <dataValidation type="list" allowBlank="1" showInputMessage="1" showErrorMessage="1" sqref="G1313">
      <formula1>"Y, N"</formula1>
    </dataValidation>
    <dataValidation type="list" allowBlank="1" showInputMessage="1" showErrorMessage="1" sqref="D1314">
      <formula1>FDDValList</formula1>
    </dataValidation>
    <dataValidation type="list" allowBlank="1" showInputMessage="1" showErrorMessage="1" sqref="F1314">
      <formula1>"I, O, M, D, N"</formula1>
    </dataValidation>
    <dataValidation type="list" allowBlank="1" showInputMessage="1" showErrorMessage="1" sqref="G1314">
      <formula1>"Y, N"</formula1>
    </dataValidation>
    <dataValidation type="list" allowBlank="1" showInputMessage="1" showErrorMessage="1" sqref="D1315">
      <formula1>FDDValList</formula1>
    </dataValidation>
    <dataValidation type="list" allowBlank="1" showInputMessage="1" showErrorMessage="1" sqref="F1315">
      <formula1>"I, O, M, D, N"</formula1>
    </dataValidation>
    <dataValidation type="list" allowBlank="1" showInputMessage="1" showErrorMessage="1" sqref="G1315">
      <formula1>"Y, N"</formula1>
    </dataValidation>
    <dataValidation type="list" allowBlank="1" showInputMessage="1" showErrorMessage="1" sqref="D1316">
      <formula1>FDDValList</formula1>
    </dataValidation>
    <dataValidation type="list" allowBlank="1" showInputMessage="1" showErrorMessage="1" sqref="F1316">
      <formula1>"I, O, M, D, N"</formula1>
    </dataValidation>
    <dataValidation type="list" allowBlank="1" showInputMessage="1" showErrorMessage="1" sqref="G1316">
      <formula1>"Y, N"</formula1>
    </dataValidation>
    <dataValidation type="list" allowBlank="1" showInputMessage="1" showErrorMessage="1" sqref="D1317">
      <formula1>FDDValList</formula1>
    </dataValidation>
    <dataValidation type="list" allowBlank="1" showInputMessage="1" showErrorMessage="1" sqref="F1317">
      <formula1>"I, O, M, D, N"</formula1>
    </dataValidation>
    <dataValidation type="list" allowBlank="1" showInputMessage="1" showErrorMessage="1" sqref="G1317">
      <formula1>"Y, N"</formula1>
    </dataValidation>
    <dataValidation type="list" allowBlank="1" showInputMessage="1" showErrorMessage="1" sqref="D1318">
      <formula1>FDDValList</formula1>
    </dataValidation>
    <dataValidation type="list" allowBlank="1" showInputMessage="1" showErrorMessage="1" sqref="F1318">
      <formula1>"I, O, M, D, N"</formula1>
    </dataValidation>
    <dataValidation type="list" allowBlank="1" showInputMessage="1" showErrorMessage="1" sqref="G1318">
      <formula1>"Y, N"</formula1>
    </dataValidation>
    <dataValidation type="list" allowBlank="1" showInputMessage="1" showErrorMessage="1" sqref="D1319">
      <formula1>FDDValList</formula1>
    </dataValidation>
    <dataValidation type="list" allowBlank="1" showInputMessage="1" showErrorMessage="1" sqref="F1319">
      <formula1>"I, O, M, D, N"</formula1>
    </dataValidation>
    <dataValidation type="list" allowBlank="1" showInputMessage="1" showErrorMessage="1" sqref="G1319">
      <formula1>"Y, N"</formula1>
    </dataValidation>
    <dataValidation type="list" allowBlank="1" showInputMessage="1" showErrorMessage="1" sqref="D1320">
      <formula1>FDDValList</formula1>
    </dataValidation>
    <dataValidation type="list" allowBlank="1" showInputMessage="1" showErrorMessage="1" sqref="F1320">
      <formula1>"I, O, M, D, N"</formula1>
    </dataValidation>
    <dataValidation type="list" allowBlank="1" showInputMessage="1" showErrorMessage="1" sqref="G1320">
      <formula1>"Y, N"</formula1>
    </dataValidation>
    <dataValidation type="list" allowBlank="1" showInputMessage="1" showErrorMessage="1" sqref="D1321">
      <formula1>FDDValList</formula1>
    </dataValidation>
    <dataValidation type="list" allowBlank="1" showInputMessage="1" showErrorMessage="1" sqref="F1321">
      <formula1>"I, O, M, D, N"</formula1>
    </dataValidation>
    <dataValidation type="list" allowBlank="1" showInputMessage="1" showErrorMessage="1" sqref="G1321">
      <formula1>"Y, N"</formula1>
    </dataValidation>
    <dataValidation type="list" allowBlank="1" showInputMessage="1" showErrorMessage="1" sqref="D1322">
      <formula1>FDDValList</formula1>
    </dataValidation>
    <dataValidation type="list" allowBlank="1" showInputMessage="1" showErrorMessage="1" sqref="F1322">
      <formula1>"I, O, M, D, N"</formula1>
    </dataValidation>
    <dataValidation type="list" allowBlank="1" showInputMessage="1" showErrorMessage="1" sqref="G1322">
      <formula1>"Y, N"</formula1>
    </dataValidation>
    <dataValidation type="list" allowBlank="1" showInputMessage="1" showErrorMessage="1" sqref="D1323">
      <formula1>FDDValList</formula1>
    </dataValidation>
    <dataValidation type="list" allowBlank="1" showInputMessage="1" showErrorMessage="1" sqref="F1323">
      <formula1>"I, O, M, D, N"</formula1>
    </dataValidation>
    <dataValidation type="list" allowBlank="1" showInputMessage="1" showErrorMessage="1" sqref="G1323">
      <formula1>"Y, N"</formula1>
    </dataValidation>
    <dataValidation type="list" allowBlank="1" showInputMessage="1" showErrorMessage="1" sqref="D1324">
      <formula1>FDDValList</formula1>
    </dataValidation>
    <dataValidation type="list" allowBlank="1" showInputMessage="1" showErrorMessage="1" sqref="F1324">
      <formula1>"I, O, M, D, N"</formula1>
    </dataValidation>
    <dataValidation type="list" allowBlank="1" showInputMessage="1" showErrorMessage="1" sqref="G1324">
      <formula1>"Y, N"</formula1>
    </dataValidation>
    <dataValidation type="list" allowBlank="1" showInputMessage="1" showErrorMessage="1" sqref="D1325">
      <formula1>FDDValList</formula1>
    </dataValidation>
    <dataValidation type="list" allowBlank="1" showInputMessage="1" showErrorMessage="1" sqref="F1325">
      <formula1>"I, O, M, D, N"</formula1>
    </dataValidation>
    <dataValidation type="list" allowBlank="1" showInputMessage="1" showErrorMessage="1" sqref="G1325">
      <formula1>"Y, N"</formula1>
    </dataValidation>
    <dataValidation type="list" allowBlank="1" showInputMessage="1" showErrorMessage="1" sqref="D1326">
      <formula1>FDDValList</formula1>
    </dataValidation>
    <dataValidation type="list" allowBlank="1" showInputMessage="1" showErrorMessage="1" sqref="F1326">
      <formula1>"I, O, M, D, N"</formula1>
    </dataValidation>
    <dataValidation type="list" allowBlank="1" showInputMessage="1" showErrorMessage="1" sqref="G1326">
      <formula1>"Y, N"</formula1>
    </dataValidation>
    <dataValidation type="list" allowBlank="1" showInputMessage="1" showErrorMessage="1" sqref="D1327">
      <formula1>FDDValList</formula1>
    </dataValidation>
    <dataValidation type="list" allowBlank="1" showInputMessage="1" showErrorMessage="1" sqref="F1327">
      <formula1>"I, O, M, D, N"</formula1>
    </dataValidation>
    <dataValidation type="list" allowBlank="1" showInputMessage="1" showErrorMessage="1" sqref="G1327">
      <formula1>"Y, N"</formula1>
    </dataValidation>
    <dataValidation type="list" allowBlank="1" showInputMessage="1" showErrorMessage="1" sqref="D1328">
      <formula1>FDDValList</formula1>
    </dataValidation>
    <dataValidation type="list" allowBlank="1" showInputMessage="1" showErrorMessage="1" sqref="F1328">
      <formula1>"I, O, M, D, N"</formula1>
    </dataValidation>
    <dataValidation type="list" allowBlank="1" showInputMessage="1" showErrorMessage="1" sqref="G1328">
      <formula1>"Y, N"</formula1>
    </dataValidation>
    <dataValidation type="list" allowBlank="1" showInputMessage="1" showErrorMessage="1" sqref="D1329">
      <formula1>FDDValList</formula1>
    </dataValidation>
    <dataValidation type="list" allowBlank="1" showInputMessage="1" showErrorMessage="1" sqref="F1329">
      <formula1>"I, O, M, D, N"</formula1>
    </dataValidation>
    <dataValidation type="list" allowBlank="1" showInputMessage="1" showErrorMessage="1" sqref="G1329">
      <formula1>"Y, N"</formula1>
    </dataValidation>
    <dataValidation type="list" allowBlank="1" showInputMessage="1" showErrorMessage="1" sqref="D1330">
      <formula1>FDDValList</formula1>
    </dataValidation>
    <dataValidation type="list" allowBlank="1" showInputMessage="1" showErrorMessage="1" sqref="F1330">
      <formula1>"I, O, M, D, N"</formula1>
    </dataValidation>
    <dataValidation type="list" allowBlank="1" showInputMessage="1" showErrorMessage="1" sqref="G1330">
      <formula1>"Y, N"</formula1>
    </dataValidation>
    <dataValidation type="list" allowBlank="1" showInputMessage="1" showErrorMessage="1" sqref="D1331">
      <formula1>FDDValList</formula1>
    </dataValidation>
    <dataValidation type="list" allowBlank="1" showInputMessage="1" showErrorMessage="1" sqref="F1331">
      <formula1>"I, O, M, D, N"</formula1>
    </dataValidation>
    <dataValidation type="list" allowBlank="1" showInputMessage="1" showErrorMessage="1" sqref="G1331">
      <formula1>"Y, N"</formula1>
    </dataValidation>
    <dataValidation type="list" allowBlank="1" showInputMessage="1" showErrorMessage="1" sqref="D1332">
      <formula1>FDDValList</formula1>
    </dataValidation>
    <dataValidation type="list" allowBlank="1" showInputMessage="1" showErrorMessage="1" sqref="F1332">
      <formula1>"I, O, M, D, N"</formula1>
    </dataValidation>
    <dataValidation type="list" allowBlank="1" showInputMessage="1" showErrorMessage="1" sqref="G1332">
      <formula1>"Y, N"</formula1>
    </dataValidation>
    <dataValidation type="list" allowBlank="1" showInputMessage="1" showErrorMessage="1" sqref="D1333">
      <formula1>FDDValList</formula1>
    </dataValidation>
    <dataValidation type="list" allowBlank="1" showInputMessage="1" showErrorMessage="1" sqref="F1333">
      <formula1>"I, O, M, D, N"</formula1>
    </dataValidation>
    <dataValidation type="list" allowBlank="1" showInputMessage="1" showErrorMessage="1" sqref="G1333">
      <formula1>"Y, N"</formula1>
    </dataValidation>
    <dataValidation type="list" allowBlank="1" showInputMessage="1" showErrorMessage="1" sqref="D1334">
      <formula1>FDDValList</formula1>
    </dataValidation>
    <dataValidation type="list" allowBlank="1" showInputMessage="1" showErrorMessage="1" sqref="F1334">
      <formula1>"I, O, M, D, N"</formula1>
    </dataValidation>
    <dataValidation type="list" allowBlank="1" showInputMessage="1" showErrorMessage="1" sqref="G1334">
      <formula1>"Y, N"</formula1>
    </dataValidation>
    <dataValidation type="list" allowBlank="1" showInputMessage="1" showErrorMessage="1" sqref="D1335">
      <formula1>FDDValList</formula1>
    </dataValidation>
    <dataValidation type="list" allowBlank="1" showInputMessage="1" showErrorMessage="1" sqref="F1335">
      <formula1>"I, O, M, D, N"</formula1>
    </dataValidation>
    <dataValidation type="list" allowBlank="1" showInputMessage="1" showErrorMessage="1" sqref="G1335">
      <formula1>"Y, N"</formula1>
    </dataValidation>
    <dataValidation type="list" allowBlank="1" showInputMessage="1" showErrorMessage="1" sqref="D1336">
      <formula1>FDDValList</formula1>
    </dataValidation>
    <dataValidation type="list" allowBlank="1" showInputMessage="1" showErrorMessage="1" sqref="F1336">
      <formula1>"I, O, M, D, N"</formula1>
    </dataValidation>
    <dataValidation type="list" allowBlank="1" showInputMessage="1" showErrorMessage="1" sqref="G1336">
      <formula1>"Y, N"</formula1>
    </dataValidation>
    <dataValidation type="list" allowBlank="1" showInputMessage="1" showErrorMessage="1" sqref="D1337">
      <formula1>FDDValList</formula1>
    </dataValidation>
    <dataValidation type="list" allowBlank="1" showInputMessage="1" showErrorMessage="1" sqref="F1337">
      <formula1>"I, O, M, D, N"</formula1>
    </dataValidation>
    <dataValidation type="list" allowBlank="1" showInputMessage="1" showErrorMessage="1" sqref="G1337">
      <formula1>"Y, N"</formula1>
    </dataValidation>
    <dataValidation type="list" allowBlank="1" showInputMessage="1" showErrorMessage="1" sqref="D1338">
      <formula1>FDDValList</formula1>
    </dataValidation>
    <dataValidation type="list" allowBlank="1" showInputMessage="1" showErrorMessage="1" sqref="F1338">
      <formula1>"I, O, M, D, N"</formula1>
    </dataValidation>
    <dataValidation type="list" allowBlank="1" showInputMessage="1" showErrorMessage="1" sqref="G1338">
      <formula1>"Y, N"</formula1>
    </dataValidation>
    <dataValidation type="list" allowBlank="1" showInputMessage="1" showErrorMessage="1" sqref="D1339">
      <formula1>FDDValList</formula1>
    </dataValidation>
    <dataValidation type="list" allowBlank="1" showInputMessage="1" showErrorMessage="1" sqref="F1339">
      <formula1>"I, O, M, D, N"</formula1>
    </dataValidation>
    <dataValidation type="list" allowBlank="1" showInputMessage="1" showErrorMessage="1" sqref="G1339">
      <formula1>"Y, N"</formula1>
    </dataValidation>
    <dataValidation type="list" allowBlank="1" showInputMessage="1" showErrorMessage="1" sqref="D1340">
      <formula1>FDDValList</formula1>
    </dataValidation>
    <dataValidation type="list" allowBlank="1" showInputMessage="1" showErrorMessage="1" sqref="F1340">
      <formula1>"I, O, M, D, N"</formula1>
    </dataValidation>
    <dataValidation type="list" allowBlank="1" showInputMessage="1" showErrorMessage="1" sqref="G1340">
      <formula1>"Y, N"</formula1>
    </dataValidation>
    <dataValidation type="list" allowBlank="1" showInputMessage="1" showErrorMessage="1" sqref="D1341">
      <formula1>FDDValList</formula1>
    </dataValidation>
    <dataValidation type="list" allowBlank="1" showInputMessage="1" showErrorMessage="1" sqref="F1341">
      <formula1>"I, O, M, D, N"</formula1>
    </dataValidation>
    <dataValidation type="list" allowBlank="1" showInputMessage="1" showErrorMessage="1" sqref="G1341">
      <formula1>"Y, N"</formula1>
    </dataValidation>
    <dataValidation type="list" allowBlank="1" showInputMessage="1" showErrorMessage="1" sqref="D1342">
      <formula1>FDDValList</formula1>
    </dataValidation>
    <dataValidation type="list" allowBlank="1" showInputMessage="1" showErrorMessage="1" sqref="F1342">
      <formula1>"I, O, M, D, N"</formula1>
    </dataValidation>
    <dataValidation type="list" allowBlank="1" showInputMessage="1" showErrorMessage="1" sqref="G1342">
      <formula1>"Y, N"</formula1>
    </dataValidation>
    <dataValidation type="list" allowBlank="1" showInputMessage="1" showErrorMessage="1" sqref="D1343">
      <formula1>FDDValList</formula1>
    </dataValidation>
    <dataValidation type="list" allowBlank="1" showInputMessage="1" showErrorMessage="1" sqref="F1343">
      <formula1>"I, O, M, D, N"</formula1>
    </dataValidation>
    <dataValidation type="list" allowBlank="1" showInputMessage="1" showErrorMessage="1" sqref="G1343">
      <formula1>"Y, N"</formula1>
    </dataValidation>
    <dataValidation type="list" allowBlank="1" showInputMessage="1" showErrorMessage="1" sqref="D1344">
      <formula1>FDDValList</formula1>
    </dataValidation>
    <dataValidation type="list" allowBlank="1" showInputMessage="1" showErrorMessage="1" sqref="F1344">
      <formula1>"I, O, M, D, N"</formula1>
    </dataValidation>
    <dataValidation type="list" allowBlank="1" showInputMessage="1" showErrorMessage="1" sqref="G1344">
      <formula1>"Y, N"</formula1>
    </dataValidation>
    <dataValidation type="list" allowBlank="1" showInputMessage="1" showErrorMessage="1" sqref="D1345">
      <formula1>FDDValList</formula1>
    </dataValidation>
    <dataValidation type="list" allowBlank="1" showInputMessage="1" showErrorMessage="1" sqref="F1345">
      <formula1>"I, O, M, D, N"</formula1>
    </dataValidation>
    <dataValidation type="list" allowBlank="1" showInputMessage="1" showErrorMessage="1" sqref="G1345">
      <formula1>"Y, N"</formula1>
    </dataValidation>
    <dataValidation type="list" allowBlank="1" showInputMessage="1" showErrorMessage="1" sqref="D1346">
      <formula1>FDDValList</formula1>
    </dataValidation>
    <dataValidation type="list" allowBlank="1" showInputMessage="1" showErrorMessage="1" sqref="F1346">
      <formula1>"I, O, M, D, N"</formula1>
    </dataValidation>
    <dataValidation type="list" allowBlank="1" showInputMessage="1" showErrorMessage="1" sqref="G1346">
      <formula1>"Y, N"</formula1>
    </dataValidation>
    <dataValidation type="list" allowBlank="1" showInputMessage="1" showErrorMessage="1" sqref="D1347">
      <formula1>FDDValList</formula1>
    </dataValidation>
    <dataValidation type="list" allowBlank="1" showInputMessage="1" showErrorMessage="1" sqref="F1347">
      <formula1>"I, O, M, D, N"</formula1>
    </dataValidation>
    <dataValidation type="list" allowBlank="1" showInputMessage="1" showErrorMessage="1" sqref="G1347">
      <formula1>"Y, N"</formula1>
    </dataValidation>
    <dataValidation type="list" allowBlank="1" showInputMessage="1" showErrorMessage="1" sqref="D1348">
      <formula1>FDDValList</formula1>
    </dataValidation>
    <dataValidation type="list" allowBlank="1" showInputMessage="1" showErrorMessage="1" sqref="F1348">
      <formula1>"I, O, M, D, N"</formula1>
    </dataValidation>
    <dataValidation type="list" allowBlank="1" showInputMessage="1" showErrorMessage="1" sqref="G1348">
      <formula1>"Y, N"</formula1>
    </dataValidation>
    <dataValidation type="list" allowBlank="1" showInputMessage="1" showErrorMessage="1" sqref="D1349">
      <formula1>FDDValList</formula1>
    </dataValidation>
    <dataValidation type="list" allowBlank="1" showInputMessage="1" showErrorMessage="1" sqref="F1349">
      <formula1>"I, O, M, D, N"</formula1>
    </dataValidation>
    <dataValidation type="list" allowBlank="1" showInputMessage="1" showErrorMessage="1" sqref="G1349">
      <formula1>"Y, N"</formula1>
    </dataValidation>
    <dataValidation type="list" allowBlank="1" showInputMessage="1" showErrorMessage="1" sqref="D1350">
      <formula1>FDDValList</formula1>
    </dataValidation>
    <dataValidation type="list" allowBlank="1" showInputMessage="1" showErrorMessage="1" sqref="F1350">
      <formula1>"I, O, M, D, N"</formula1>
    </dataValidation>
    <dataValidation type="list" allowBlank="1" showInputMessage="1" showErrorMessage="1" sqref="G1350">
      <formula1>"Y, N"</formula1>
    </dataValidation>
    <dataValidation type="list" allowBlank="1" showInputMessage="1" showErrorMessage="1" sqref="D1351">
      <formula1>FDDValList</formula1>
    </dataValidation>
    <dataValidation type="list" allowBlank="1" showInputMessage="1" showErrorMessage="1" sqref="F1351">
      <formula1>"I, O, M, D, N"</formula1>
    </dataValidation>
    <dataValidation type="list" allowBlank="1" showInputMessage="1" showErrorMessage="1" sqref="G1351">
      <formula1>"Y, N"</formula1>
    </dataValidation>
    <dataValidation type="list" allowBlank="1" showInputMessage="1" showErrorMessage="1" sqref="D1352">
      <formula1>FDDValList</formula1>
    </dataValidation>
    <dataValidation type="list" allowBlank="1" showInputMessage="1" showErrorMessage="1" sqref="F1352">
      <formula1>"I, O, M, D, N"</formula1>
    </dataValidation>
    <dataValidation type="list" allowBlank="1" showInputMessage="1" showErrorMessage="1" sqref="G1352">
      <formula1>"Y, N"</formula1>
    </dataValidation>
    <dataValidation type="list" allowBlank="1" showInputMessage="1" showErrorMessage="1" sqref="D1353">
      <formula1>FDDValList</formula1>
    </dataValidation>
    <dataValidation type="list" allowBlank="1" showInputMessage="1" showErrorMessage="1" sqref="F1353">
      <formula1>"I, O, M, D, N"</formula1>
    </dataValidation>
    <dataValidation type="list" allowBlank="1" showInputMessage="1" showErrorMessage="1" sqref="G1353">
      <formula1>"Y, N"</formula1>
    </dataValidation>
    <dataValidation type="list" allowBlank="1" showInputMessage="1" showErrorMessage="1" sqref="D1354">
      <formula1>FDDValList</formula1>
    </dataValidation>
    <dataValidation type="list" allowBlank="1" showInputMessage="1" showErrorMessage="1" sqref="F1354">
      <formula1>"I, O, M, D, N"</formula1>
    </dataValidation>
    <dataValidation type="list" allowBlank="1" showInputMessage="1" showErrorMessage="1" sqref="G1354">
      <formula1>"Y, N"</formula1>
    </dataValidation>
    <dataValidation type="list" allowBlank="1" showInputMessage="1" showErrorMessage="1" sqref="D1355">
      <formula1>FDDValList</formula1>
    </dataValidation>
    <dataValidation type="list" allowBlank="1" showInputMessage="1" showErrorMessage="1" sqref="F1355">
      <formula1>"I, O, M, D, N"</formula1>
    </dataValidation>
    <dataValidation type="list" allowBlank="1" showInputMessage="1" showErrorMessage="1" sqref="G1355">
      <formula1>"Y, N"</formula1>
    </dataValidation>
    <dataValidation type="list" allowBlank="1" showInputMessage="1" showErrorMessage="1" sqref="D1356">
      <formula1>FDDValList</formula1>
    </dataValidation>
    <dataValidation type="list" allowBlank="1" showInputMessage="1" showErrorMessage="1" sqref="F1356">
      <formula1>"I, O, M, D, N"</formula1>
    </dataValidation>
    <dataValidation type="list" allowBlank="1" showInputMessage="1" showErrorMessage="1" sqref="G1356">
      <formula1>"Y, N"</formula1>
    </dataValidation>
    <dataValidation type="list" allowBlank="1" showInputMessage="1" showErrorMessage="1" sqref="D1357">
      <formula1>FDDValList</formula1>
    </dataValidation>
    <dataValidation type="list" allowBlank="1" showInputMessage="1" showErrorMessage="1" sqref="F1357">
      <formula1>"I, O, M, D, N"</formula1>
    </dataValidation>
    <dataValidation type="list" allowBlank="1" showInputMessage="1" showErrorMessage="1" sqref="G1357">
      <formula1>"Y, N"</formula1>
    </dataValidation>
    <dataValidation type="list" allowBlank="1" showInputMessage="1" showErrorMessage="1" sqref="D1358">
      <formula1>FDDValList</formula1>
    </dataValidation>
    <dataValidation type="list" allowBlank="1" showInputMessage="1" showErrorMessage="1" sqref="F1358">
      <formula1>"I, O, M, D, N"</formula1>
    </dataValidation>
    <dataValidation type="list" allowBlank="1" showInputMessage="1" showErrorMessage="1" sqref="G1358">
      <formula1>"Y, N"</formula1>
    </dataValidation>
    <dataValidation type="list" allowBlank="1" showInputMessage="1" showErrorMessage="1" sqref="D1359">
      <formula1>FDDValList</formula1>
    </dataValidation>
    <dataValidation type="list" allowBlank="1" showInputMessage="1" showErrorMessage="1" sqref="F1359">
      <formula1>"I, O, M, D, N"</formula1>
    </dataValidation>
    <dataValidation type="list" allowBlank="1" showInputMessage="1" showErrorMessage="1" sqref="G1359">
      <formula1>"Y, N"</formula1>
    </dataValidation>
    <dataValidation type="list" allowBlank="1" showInputMessage="1" showErrorMessage="1" sqref="D1360">
      <formula1>FDDValList</formula1>
    </dataValidation>
    <dataValidation type="list" allowBlank="1" showInputMessage="1" showErrorMessage="1" sqref="F1360">
      <formula1>"I, O, M, D, N"</formula1>
    </dataValidation>
    <dataValidation type="list" allowBlank="1" showInputMessage="1" showErrorMessage="1" sqref="G1360">
      <formula1>"Y, N"</formula1>
    </dataValidation>
    <dataValidation type="list" allowBlank="1" showInputMessage="1" showErrorMessage="1" sqref="D1361">
      <formula1>FDDValList</formula1>
    </dataValidation>
    <dataValidation type="list" allowBlank="1" showInputMessage="1" showErrorMessage="1" sqref="F1361">
      <formula1>"I, O, M, D, N"</formula1>
    </dataValidation>
    <dataValidation type="list" allowBlank="1" showInputMessage="1" showErrorMessage="1" sqref="G1361">
      <formula1>"Y, N"</formula1>
    </dataValidation>
    <dataValidation type="list" allowBlank="1" showInputMessage="1" showErrorMessage="1" sqref="D1362">
      <formula1>FDDValList</formula1>
    </dataValidation>
    <dataValidation type="list" allowBlank="1" showInputMessage="1" showErrorMessage="1" sqref="F1362">
      <formula1>"I, O, M, D, N"</formula1>
    </dataValidation>
    <dataValidation type="list" allowBlank="1" showInputMessage="1" showErrorMessage="1" sqref="G1362">
      <formula1>"Y, N"</formula1>
    </dataValidation>
    <dataValidation type="list" allowBlank="1" showInputMessage="1" showErrorMessage="1" sqref="D1363">
      <formula1>FDDValList</formula1>
    </dataValidation>
    <dataValidation type="list" allowBlank="1" showInputMessage="1" showErrorMessage="1" sqref="F1363">
      <formula1>"I, O, M, D, N"</formula1>
    </dataValidation>
    <dataValidation type="list" allowBlank="1" showInputMessage="1" showErrorMessage="1" sqref="G1363">
      <formula1>"Y, N"</formula1>
    </dataValidation>
    <dataValidation type="list" allowBlank="1" showInputMessage="1" showErrorMessage="1" sqref="D1364">
      <formula1>FDDValList</formula1>
    </dataValidation>
    <dataValidation type="list" allowBlank="1" showInputMessage="1" showErrorMessage="1" sqref="F1364">
      <formula1>"I, O, M, D, N"</formula1>
    </dataValidation>
    <dataValidation type="list" allowBlank="1" showInputMessage="1" showErrorMessage="1" sqref="G1364">
      <formula1>"Y, N"</formula1>
    </dataValidation>
    <dataValidation type="list" allowBlank="1" showInputMessage="1" showErrorMessage="1" sqref="D1365">
      <formula1>FDDValList</formula1>
    </dataValidation>
    <dataValidation type="list" allowBlank="1" showInputMessage="1" showErrorMessage="1" sqref="F1365">
      <formula1>"I, O, M, D, N"</formula1>
    </dataValidation>
    <dataValidation type="list" allowBlank="1" showInputMessage="1" showErrorMessage="1" sqref="G1365">
      <formula1>"Y, N"</formula1>
    </dataValidation>
    <dataValidation type="list" allowBlank="1" showInputMessage="1" showErrorMessage="1" sqref="D1366">
      <formula1>FDDValList</formula1>
    </dataValidation>
    <dataValidation type="list" allowBlank="1" showInputMessage="1" showErrorMessage="1" sqref="F1366">
      <formula1>"I, O, M, D, N"</formula1>
    </dataValidation>
    <dataValidation type="list" allowBlank="1" showInputMessage="1" showErrorMessage="1" sqref="G1366">
      <formula1>"Y, N"</formula1>
    </dataValidation>
    <dataValidation type="list" allowBlank="1" showInputMessage="1" showErrorMessage="1" sqref="D1367">
      <formula1>FDDValList</formula1>
    </dataValidation>
    <dataValidation type="list" allowBlank="1" showInputMessage="1" showErrorMessage="1" sqref="F1367">
      <formula1>"I, O, M, D, N"</formula1>
    </dataValidation>
    <dataValidation type="list" allowBlank="1" showInputMessage="1" showErrorMessage="1" sqref="G1367">
      <formula1>"Y, N"</formula1>
    </dataValidation>
    <dataValidation type="list" allowBlank="1" showInputMessage="1" showErrorMessage="1" sqref="D1368">
      <formula1>FDDValList</formula1>
    </dataValidation>
    <dataValidation type="list" allowBlank="1" showInputMessage="1" showErrorMessage="1" sqref="F1368">
      <formula1>"I, O, M, D, N"</formula1>
    </dataValidation>
    <dataValidation type="list" allowBlank="1" showInputMessage="1" showErrorMessage="1" sqref="G1368">
      <formula1>"Y, N"</formula1>
    </dataValidation>
    <dataValidation type="list" allowBlank="1" showInputMessage="1" showErrorMessage="1" sqref="D1369">
      <formula1>FDDValList</formula1>
    </dataValidation>
    <dataValidation type="list" allowBlank="1" showInputMessage="1" showErrorMessage="1" sqref="F1369">
      <formula1>"I, O, M, D, N"</formula1>
    </dataValidation>
    <dataValidation type="list" allowBlank="1" showInputMessage="1" showErrorMessage="1" sqref="G1369">
      <formula1>"Y, N"</formula1>
    </dataValidation>
    <dataValidation type="list" allowBlank="1" showInputMessage="1" showErrorMessage="1" sqref="D1370">
      <formula1>FDDValList</formula1>
    </dataValidation>
    <dataValidation type="list" allowBlank="1" showInputMessage="1" showErrorMessage="1" sqref="F1370">
      <formula1>"I, O, M, D, N"</formula1>
    </dataValidation>
    <dataValidation type="list" allowBlank="1" showInputMessage="1" showErrorMessage="1" sqref="G1370">
      <formula1>"Y, N"</formula1>
    </dataValidation>
    <dataValidation type="list" allowBlank="1" showInputMessage="1" showErrorMessage="1" sqref="D1371">
      <formula1>FDDValList</formula1>
    </dataValidation>
    <dataValidation type="list" allowBlank="1" showInputMessage="1" showErrorMessage="1" sqref="F1371">
      <formula1>"I, O, M, D, N"</formula1>
    </dataValidation>
    <dataValidation type="list" allowBlank="1" showInputMessage="1" showErrorMessage="1" sqref="G1371">
      <formula1>"Y, N"</formula1>
    </dataValidation>
    <dataValidation type="list" allowBlank="1" showInputMessage="1" showErrorMessage="1" sqref="D1372">
      <formula1>FDDValList</formula1>
    </dataValidation>
    <dataValidation type="list" allowBlank="1" showInputMessage="1" showErrorMessage="1" sqref="F1372">
      <formula1>"I, O, M, D, N"</formula1>
    </dataValidation>
    <dataValidation type="list" allowBlank="1" showInputMessage="1" showErrorMessage="1" sqref="G1372">
      <formula1>"Y, N"</formula1>
    </dataValidation>
    <dataValidation type="list" allowBlank="1" showInputMessage="1" showErrorMessage="1" sqref="D1373">
      <formula1>FDDValList</formula1>
    </dataValidation>
    <dataValidation type="list" allowBlank="1" showInputMessage="1" showErrorMessage="1" sqref="F1373">
      <formula1>"I, O, M, D, N"</formula1>
    </dataValidation>
    <dataValidation type="list" allowBlank="1" showInputMessage="1" showErrorMessage="1" sqref="G1373">
      <formula1>"Y, N"</formula1>
    </dataValidation>
    <dataValidation type="list" allowBlank="1" showInputMessage="1" showErrorMessage="1" sqref="D1374">
      <formula1>FDDValList</formula1>
    </dataValidation>
    <dataValidation type="list" allowBlank="1" showInputMessage="1" showErrorMessage="1" sqref="F1374">
      <formula1>"I, O, M, D, N"</formula1>
    </dataValidation>
    <dataValidation type="list" allowBlank="1" showInputMessage="1" showErrorMessage="1" sqref="G1374">
      <formula1>"Y, N"</formula1>
    </dataValidation>
    <dataValidation type="list" allowBlank="1" showInputMessage="1" showErrorMessage="1" sqref="D1375">
      <formula1>FDDValList</formula1>
    </dataValidation>
    <dataValidation type="list" allowBlank="1" showInputMessage="1" showErrorMessage="1" sqref="F1375">
      <formula1>"I, O, M, D, N"</formula1>
    </dataValidation>
    <dataValidation type="list" allowBlank="1" showInputMessage="1" showErrorMessage="1" sqref="G1375">
      <formula1>"Y, N"</formula1>
    </dataValidation>
    <dataValidation type="list" allowBlank="1" showInputMessage="1" showErrorMessage="1" sqref="D1376">
      <formula1>FDDValList</formula1>
    </dataValidation>
    <dataValidation type="list" allowBlank="1" showInputMessage="1" showErrorMessage="1" sqref="F1376">
      <formula1>"I, O, M, D, N"</formula1>
    </dataValidation>
    <dataValidation type="list" allowBlank="1" showInputMessage="1" showErrorMessage="1" sqref="G1376">
      <formula1>"Y, N"</formula1>
    </dataValidation>
    <dataValidation type="list" allowBlank="1" showInputMessage="1" showErrorMessage="1" sqref="D1377">
      <formula1>FDDValList</formula1>
    </dataValidation>
    <dataValidation type="list" allowBlank="1" showInputMessage="1" showErrorMessage="1" sqref="F1377">
      <formula1>"I, O, M, D, N"</formula1>
    </dataValidation>
    <dataValidation type="list" allowBlank="1" showInputMessage="1" showErrorMessage="1" sqref="G1377">
      <formula1>"Y, N"</formula1>
    </dataValidation>
    <dataValidation type="list" allowBlank="1" showInputMessage="1" showErrorMessage="1" sqref="D1378">
      <formula1>FDDValList</formula1>
    </dataValidation>
    <dataValidation type="list" allowBlank="1" showInputMessage="1" showErrorMessage="1" sqref="F1378">
      <formula1>"I, O, M, D, N"</formula1>
    </dataValidation>
    <dataValidation type="list" allowBlank="1" showInputMessage="1" showErrorMessage="1" sqref="G1378">
      <formula1>"Y, N"</formula1>
    </dataValidation>
    <dataValidation type="list" allowBlank="1" showInputMessage="1" showErrorMessage="1" sqref="D1379">
      <formula1>FDDValList</formula1>
    </dataValidation>
    <dataValidation type="list" allowBlank="1" showInputMessage="1" showErrorMessage="1" sqref="F1379">
      <formula1>"I, O, M, D, N"</formula1>
    </dataValidation>
    <dataValidation type="list" allowBlank="1" showInputMessage="1" showErrorMessage="1" sqref="G1379">
      <formula1>"Y, N"</formula1>
    </dataValidation>
    <dataValidation type="list" allowBlank="1" showInputMessage="1" showErrorMessage="1" sqref="D1380">
      <formula1>FDDValList</formula1>
    </dataValidation>
    <dataValidation type="list" allowBlank="1" showInputMessage="1" showErrorMessage="1" sqref="F1380">
      <formula1>"I, O, M, D, N"</formula1>
    </dataValidation>
    <dataValidation type="list" allowBlank="1" showInputMessage="1" showErrorMessage="1" sqref="G1380">
      <formula1>"Y, N"</formula1>
    </dataValidation>
    <dataValidation type="list" allowBlank="1" showInputMessage="1" showErrorMessage="1" sqref="D1381">
      <formula1>FDDValList</formula1>
    </dataValidation>
    <dataValidation type="list" allowBlank="1" showInputMessage="1" showErrorMessage="1" sqref="F1381">
      <formula1>"I, O, M, D, N"</formula1>
    </dataValidation>
    <dataValidation type="list" allowBlank="1" showInputMessage="1" showErrorMessage="1" sqref="G1381">
      <formula1>"Y, N"</formula1>
    </dataValidation>
    <dataValidation type="list" allowBlank="1" showInputMessage="1" showErrorMessage="1" sqref="D1382">
      <formula1>FDDValList</formula1>
    </dataValidation>
    <dataValidation type="list" allowBlank="1" showInputMessage="1" showErrorMessage="1" sqref="F1382">
      <formula1>"I, O, M, D, N"</formula1>
    </dataValidation>
    <dataValidation type="list" allowBlank="1" showInputMessage="1" showErrorMessage="1" sqref="G1382">
      <formula1>"Y, N"</formula1>
    </dataValidation>
    <dataValidation type="list" allowBlank="1" showInputMessage="1" showErrorMessage="1" sqref="D1383">
      <formula1>FDDValList</formula1>
    </dataValidation>
    <dataValidation type="list" allowBlank="1" showInputMessage="1" showErrorMessage="1" sqref="F1383">
      <formula1>"I, O, M, D, N"</formula1>
    </dataValidation>
    <dataValidation type="list" allowBlank="1" showInputMessage="1" showErrorMessage="1" sqref="G1383">
      <formula1>"Y, N"</formula1>
    </dataValidation>
    <dataValidation type="list" allowBlank="1" showInputMessage="1" showErrorMessage="1" sqref="D1384">
      <formula1>FDDValList</formula1>
    </dataValidation>
    <dataValidation type="list" allowBlank="1" showInputMessage="1" showErrorMessage="1" sqref="F1384">
      <formula1>"I, O, M, D, N"</formula1>
    </dataValidation>
    <dataValidation type="list" allowBlank="1" showInputMessage="1" showErrorMessage="1" sqref="G1384">
      <formula1>"Y, N"</formula1>
    </dataValidation>
    <dataValidation type="list" allowBlank="1" showInputMessage="1" showErrorMessage="1" sqref="D1385">
      <formula1>FDDValList</formula1>
    </dataValidation>
    <dataValidation type="list" allowBlank="1" showInputMessage="1" showErrorMessage="1" sqref="F1385">
      <formula1>"I, O, M, D, N"</formula1>
    </dataValidation>
    <dataValidation type="list" allowBlank="1" showInputMessage="1" showErrorMessage="1" sqref="G1385">
      <formula1>"Y, N"</formula1>
    </dataValidation>
    <dataValidation type="list" allowBlank="1" showInputMessage="1" showErrorMessage="1" sqref="D1386">
      <formula1>FDDValList</formula1>
    </dataValidation>
    <dataValidation type="list" allowBlank="1" showInputMessage="1" showErrorMessage="1" sqref="F1386">
      <formula1>"I, O, M, D, N"</formula1>
    </dataValidation>
    <dataValidation type="list" allowBlank="1" showInputMessage="1" showErrorMessage="1" sqref="G1386">
      <formula1>"Y, N"</formula1>
    </dataValidation>
    <dataValidation type="list" allowBlank="1" showInputMessage="1" showErrorMessage="1" sqref="D1387">
      <formula1>FDDValList</formula1>
    </dataValidation>
    <dataValidation type="list" allowBlank="1" showInputMessage="1" showErrorMessage="1" sqref="F1387">
      <formula1>"I, O, M, D, N"</formula1>
    </dataValidation>
    <dataValidation type="list" allowBlank="1" showInputMessage="1" showErrorMessage="1" sqref="G1387">
      <formula1>"Y, N"</formula1>
    </dataValidation>
    <dataValidation type="list" allowBlank="1" showInputMessage="1" showErrorMessage="1" sqref="D1388">
      <formula1>FDDValList</formula1>
    </dataValidation>
    <dataValidation type="list" allowBlank="1" showInputMessage="1" showErrorMessage="1" sqref="F1388">
      <formula1>"I, O, M, D, N"</formula1>
    </dataValidation>
    <dataValidation type="list" allowBlank="1" showInputMessage="1" showErrorMessage="1" sqref="G1388">
      <formula1>"Y, N"</formula1>
    </dataValidation>
    <dataValidation type="list" allowBlank="1" showInputMessage="1" showErrorMessage="1" sqref="D1389">
      <formula1>FDDValList</formula1>
    </dataValidation>
    <dataValidation type="list" allowBlank="1" showInputMessage="1" showErrorMessage="1" sqref="F1389">
      <formula1>"I, O, M, D, N"</formula1>
    </dataValidation>
    <dataValidation type="list" allowBlank="1" showInputMessage="1" showErrorMessage="1" sqref="G1389">
      <formula1>"Y, N"</formula1>
    </dataValidation>
    <dataValidation type="list" allowBlank="1" showInputMessage="1" showErrorMessage="1" sqref="D1390">
      <formula1>FDDValList</formula1>
    </dataValidation>
    <dataValidation type="list" allowBlank="1" showInputMessage="1" showErrorMessage="1" sqref="F1390">
      <formula1>"I, O, M, D, N"</formula1>
    </dataValidation>
    <dataValidation type="list" allowBlank="1" showInputMessage="1" showErrorMessage="1" sqref="G1390">
      <formula1>"Y, N"</formula1>
    </dataValidation>
    <dataValidation type="list" allowBlank="1" showInputMessage="1" showErrorMessage="1" sqref="D1391">
      <formula1>FDDValList</formula1>
    </dataValidation>
    <dataValidation type="list" allowBlank="1" showInputMessage="1" showErrorMessage="1" sqref="F1391">
      <formula1>"I, O, M, D, N"</formula1>
    </dataValidation>
    <dataValidation type="list" allowBlank="1" showInputMessage="1" showErrorMessage="1" sqref="G1391">
      <formula1>"Y, N"</formula1>
    </dataValidation>
    <dataValidation type="list" allowBlank="1" showInputMessage="1" showErrorMessage="1" sqref="D1392">
      <formula1>FDDValList</formula1>
    </dataValidation>
    <dataValidation type="list" allowBlank="1" showInputMessage="1" showErrorMessage="1" sqref="F1392">
      <formula1>"I, O, M, D, N"</formula1>
    </dataValidation>
    <dataValidation type="list" allowBlank="1" showInputMessage="1" showErrorMessage="1" sqref="G1392">
      <formula1>"Y, N"</formula1>
    </dataValidation>
    <dataValidation type="list" allowBlank="1" showInputMessage="1" showErrorMessage="1" sqref="D1393">
      <formula1>FDDValList</formula1>
    </dataValidation>
    <dataValidation type="list" allowBlank="1" showInputMessage="1" showErrorMessage="1" sqref="F1393">
      <formula1>"I, O, M, D, N"</formula1>
    </dataValidation>
    <dataValidation type="list" allowBlank="1" showInputMessage="1" showErrorMessage="1" sqref="G1393">
      <formula1>"Y, N"</formula1>
    </dataValidation>
    <dataValidation type="list" allowBlank="1" showInputMessage="1" showErrorMessage="1" sqref="D1394">
      <formula1>FDDValList</formula1>
    </dataValidation>
    <dataValidation type="list" allowBlank="1" showInputMessage="1" showErrorMessage="1" sqref="F1394">
      <formula1>"I, O, M, D, N"</formula1>
    </dataValidation>
    <dataValidation type="list" allowBlank="1" showInputMessage="1" showErrorMessage="1" sqref="G1394">
      <formula1>"Y, N"</formula1>
    </dataValidation>
    <dataValidation type="list" allowBlank="1" showInputMessage="1" showErrorMessage="1" sqref="D1395">
      <formula1>FDDValList</formula1>
    </dataValidation>
    <dataValidation type="list" allowBlank="1" showInputMessage="1" showErrorMessage="1" sqref="F1395">
      <formula1>"I, O, M, D, N"</formula1>
    </dataValidation>
    <dataValidation type="list" allowBlank="1" showInputMessage="1" showErrorMessage="1" sqref="G1395">
      <formula1>"Y, N"</formula1>
    </dataValidation>
    <dataValidation type="list" allowBlank="1" showInputMessage="1" showErrorMessage="1" sqref="D1396">
      <formula1>FDDValList</formula1>
    </dataValidation>
    <dataValidation type="list" allowBlank="1" showInputMessage="1" showErrorMessage="1" sqref="F1396">
      <formula1>"I, O, M, D, N"</formula1>
    </dataValidation>
    <dataValidation type="list" allowBlank="1" showInputMessage="1" showErrorMessage="1" sqref="G1396">
      <formula1>"Y, N"</formula1>
    </dataValidation>
    <dataValidation type="list" allowBlank="1" showInputMessage="1" showErrorMessage="1" sqref="D1397">
      <formula1>FDDValList</formula1>
    </dataValidation>
    <dataValidation type="list" allowBlank="1" showInputMessage="1" showErrorMessage="1" sqref="F1397">
      <formula1>"I, O, M, D, N"</formula1>
    </dataValidation>
    <dataValidation type="list" allowBlank="1" showInputMessage="1" showErrorMessage="1" sqref="G1397">
      <formula1>"Y, N"</formula1>
    </dataValidation>
    <dataValidation type="list" allowBlank="1" showInputMessage="1" showErrorMessage="1" sqref="D1398">
      <formula1>FDDValList</formula1>
    </dataValidation>
    <dataValidation type="list" allowBlank="1" showInputMessage="1" showErrorMessage="1" sqref="F1398">
      <formula1>"I, O, M, D, N"</formula1>
    </dataValidation>
    <dataValidation type="list" allowBlank="1" showInputMessage="1" showErrorMessage="1" sqref="G1398">
      <formula1>"Y, N"</formula1>
    </dataValidation>
    <dataValidation type="list" allowBlank="1" showInputMessage="1" showErrorMessage="1" sqref="D1399">
      <formula1>FDDValList</formula1>
    </dataValidation>
    <dataValidation type="list" allowBlank="1" showInputMessage="1" showErrorMessage="1" sqref="F1399">
      <formula1>"I, O, M, D, N"</formula1>
    </dataValidation>
    <dataValidation type="list" allowBlank="1" showInputMessage="1" showErrorMessage="1" sqref="G1399">
      <formula1>"Y, N"</formula1>
    </dataValidation>
    <dataValidation type="list" allowBlank="1" showInputMessage="1" showErrorMessage="1" sqref="D1400">
      <formula1>FDDValList</formula1>
    </dataValidation>
    <dataValidation type="list" allowBlank="1" showInputMessage="1" showErrorMessage="1" sqref="F1400">
      <formula1>"I, O, M, D, N"</formula1>
    </dataValidation>
    <dataValidation type="list" allowBlank="1" showInputMessage="1" showErrorMessage="1" sqref="G1400">
      <formula1>"Y, N"</formula1>
    </dataValidation>
    <dataValidation type="list" allowBlank="1" showInputMessage="1" showErrorMessage="1" sqref="D1401">
      <formula1>FDDValList</formula1>
    </dataValidation>
    <dataValidation type="list" allowBlank="1" showInputMessage="1" showErrorMessage="1" sqref="F1401">
      <formula1>"I, O, M, D, N"</formula1>
    </dataValidation>
    <dataValidation type="list" allowBlank="1" showInputMessage="1" showErrorMessage="1" sqref="G1401">
      <formula1>"Y, N"</formula1>
    </dataValidation>
    <dataValidation type="list" allowBlank="1" showInputMessage="1" showErrorMessage="1" sqref="D1402">
      <formula1>FDDValList</formula1>
    </dataValidation>
    <dataValidation type="list" allowBlank="1" showInputMessage="1" showErrorMessage="1" sqref="F1402">
      <formula1>"I, O, M, D, N"</formula1>
    </dataValidation>
    <dataValidation type="list" allowBlank="1" showInputMessage="1" showErrorMessage="1" sqref="G1402">
      <formula1>"Y, N"</formula1>
    </dataValidation>
    <dataValidation type="list" allowBlank="1" showInputMessage="1" showErrorMessage="1" sqref="D1403">
      <formula1>FDDValList</formula1>
    </dataValidation>
    <dataValidation type="list" allowBlank="1" showInputMessage="1" showErrorMessage="1" sqref="F1403">
      <formula1>"I, O, M, D, N"</formula1>
    </dataValidation>
    <dataValidation type="list" allowBlank="1" showInputMessage="1" showErrorMessage="1" sqref="G1403">
      <formula1>"Y, N"</formula1>
    </dataValidation>
    <dataValidation type="list" allowBlank="1" showInputMessage="1" showErrorMessage="1" sqref="D1404">
      <formula1>FDDValList</formula1>
    </dataValidation>
    <dataValidation type="list" allowBlank="1" showInputMessage="1" showErrorMessage="1" sqref="F1404">
      <formula1>"I, O, M, D, N"</formula1>
    </dataValidation>
    <dataValidation type="list" allowBlank="1" showInputMessage="1" showErrorMessage="1" sqref="G1404">
      <formula1>"Y, N"</formula1>
    </dataValidation>
    <dataValidation type="list" allowBlank="1" showInputMessage="1" showErrorMessage="1" sqref="D1405">
      <formula1>FDDValList</formula1>
    </dataValidation>
    <dataValidation type="list" allowBlank="1" showInputMessage="1" showErrorMessage="1" sqref="F1405">
      <formula1>"I, O, M, D, N"</formula1>
    </dataValidation>
    <dataValidation type="list" allowBlank="1" showInputMessage="1" showErrorMessage="1" sqref="G1405">
      <formula1>"Y, N"</formula1>
    </dataValidation>
    <dataValidation type="list" allowBlank="1" showInputMessage="1" showErrorMessage="1" sqref="D1406">
      <formula1>FDDValList</formula1>
    </dataValidation>
    <dataValidation type="list" allowBlank="1" showInputMessage="1" showErrorMessage="1" sqref="F1406">
      <formula1>"I, O, M, D, N"</formula1>
    </dataValidation>
    <dataValidation type="list" allowBlank="1" showInputMessage="1" showErrorMessage="1" sqref="G1406">
      <formula1>"Y, N"</formula1>
    </dataValidation>
    <dataValidation type="list" allowBlank="1" showInputMessage="1" showErrorMessage="1" sqref="D1407">
      <formula1>FDDValList</formula1>
    </dataValidation>
    <dataValidation type="list" allowBlank="1" showInputMessage="1" showErrorMessage="1" sqref="F1407">
      <formula1>"I, O, M, D, N"</formula1>
    </dataValidation>
    <dataValidation type="list" allowBlank="1" showInputMessage="1" showErrorMessage="1" sqref="G1407">
      <formula1>"Y, N"</formula1>
    </dataValidation>
    <dataValidation type="list" allowBlank="1" showInputMessage="1" showErrorMessage="1" sqref="D1408">
      <formula1>FDDValList</formula1>
    </dataValidation>
    <dataValidation type="list" allowBlank="1" showInputMessage="1" showErrorMessage="1" sqref="F1408">
      <formula1>"I, O, M, D, N"</formula1>
    </dataValidation>
    <dataValidation type="list" allowBlank="1" showInputMessage="1" showErrorMessage="1" sqref="G1408">
      <formula1>"Y, N"</formula1>
    </dataValidation>
    <dataValidation type="list" allowBlank="1" showInputMessage="1" showErrorMessage="1" sqref="D1409">
      <formula1>FDDValList</formula1>
    </dataValidation>
    <dataValidation type="list" allowBlank="1" showInputMessage="1" showErrorMessage="1" sqref="F1409">
      <formula1>"I, O, M, D, N"</formula1>
    </dataValidation>
    <dataValidation type="list" allowBlank="1" showInputMessage="1" showErrorMessage="1" sqref="G1409">
      <formula1>"Y, N"</formula1>
    </dataValidation>
    <dataValidation type="list" allowBlank="1" showInputMessage="1" showErrorMessage="1" sqref="D1410">
      <formula1>FDDValList</formula1>
    </dataValidation>
    <dataValidation type="list" allowBlank="1" showInputMessage="1" showErrorMessage="1" sqref="F1410">
      <formula1>"I, O, M, D, N"</formula1>
    </dataValidation>
    <dataValidation type="list" allowBlank="1" showInputMessage="1" showErrorMessage="1" sqref="G1410">
      <formula1>"Y, N"</formula1>
    </dataValidation>
    <dataValidation type="list" allowBlank="1" showInputMessage="1" showErrorMessage="1" sqref="D1411">
      <formula1>FDDValList</formula1>
    </dataValidation>
    <dataValidation type="list" allowBlank="1" showInputMessage="1" showErrorMessage="1" sqref="F1411">
      <formula1>"I, O, M, D, N"</formula1>
    </dataValidation>
    <dataValidation type="list" allowBlank="1" showInputMessage="1" showErrorMessage="1" sqref="G1411">
      <formula1>"Y, N"</formula1>
    </dataValidation>
    <dataValidation type="list" allowBlank="1" showInputMessage="1" showErrorMessage="1" sqref="D1412">
      <formula1>FDDValList</formula1>
    </dataValidation>
    <dataValidation type="list" allowBlank="1" showInputMessage="1" showErrorMessage="1" sqref="F1412">
      <formula1>"I, O, M, D, N"</formula1>
    </dataValidation>
    <dataValidation type="list" allowBlank="1" showInputMessage="1" showErrorMessage="1" sqref="G1412">
      <formula1>"Y, N"</formula1>
    </dataValidation>
    <dataValidation type="list" allowBlank="1" showInputMessage="1" showErrorMessage="1" sqref="D1413">
      <formula1>FDDValList</formula1>
    </dataValidation>
    <dataValidation type="list" allowBlank="1" showInputMessage="1" showErrorMessage="1" sqref="F1413">
      <formula1>"I, O, M, D, N"</formula1>
    </dataValidation>
    <dataValidation type="list" allowBlank="1" showInputMessage="1" showErrorMessage="1" sqref="G1413">
      <formula1>"Y, N"</formula1>
    </dataValidation>
    <dataValidation type="list" allowBlank="1" showInputMessage="1" showErrorMessage="1" sqref="D1414">
      <formula1>FDDValList</formula1>
    </dataValidation>
    <dataValidation type="list" allowBlank="1" showInputMessage="1" showErrorMessage="1" sqref="F1414">
      <formula1>"I, O, M, D, N"</formula1>
    </dataValidation>
    <dataValidation type="list" allowBlank="1" showInputMessage="1" showErrorMessage="1" sqref="G1414">
      <formula1>"Y, N"</formula1>
    </dataValidation>
    <dataValidation type="list" allowBlank="1" showInputMessage="1" showErrorMessage="1" sqref="D1415">
      <formula1>FDDValList</formula1>
    </dataValidation>
    <dataValidation type="list" allowBlank="1" showInputMessage="1" showErrorMessage="1" sqref="F1415">
      <formula1>"I, O, M, D, N"</formula1>
    </dataValidation>
    <dataValidation type="list" allowBlank="1" showInputMessage="1" showErrorMessage="1" sqref="G1415">
      <formula1>"Y, N"</formula1>
    </dataValidation>
    <dataValidation type="list" allowBlank="1" showInputMessage="1" showErrorMessage="1" sqref="D1416">
      <formula1>FDDValList</formula1>
    </dataValidation>
    <dataValidation type="list" allowBlank="1" showInputMessage="1" showErrorMessage="1" sqref="F1416">
      <formula1>"I, O, M, D, N"</formula1>
    </dataValidation>
    <dataValidation type="list" allowBlank="1" showInputMessage="1" showErrorMessage="1" sqref="G1416">
      <formula1>"Y, N"</formula1>
    </dataValidation>
    <dataValidation type="list" allowBlank="1" showInputMessage="1" showErrorMessage="1" sqref="D1417">
      <formula1>FDDValList</formula1>
    </dataValidation>
    <dataValidation type="list" allowBlank="1" showInputMessage="1" showErrorMessage="1" sqref="F1417">
      <formula1>"I, O, M, D, N"</formula1>
    </dataValidation>
    <dataValidation type="list" allowBlank="1" showInputMessage="1" showErrorMessage="1" sqref="G1417">
      <formula1>"Y, N"</formula1>
    </dataValidation>
    <dataValidation type="list" allowBlank="1" showInputMessage="1" showErrorMessage="1" sqref="D1418">
      <formula1>FDDValList</formula1>
    </dataValidation>
    <dataValidation type="list" allowBlank="1" showInputMessage="1" showErrorMessage="1" sqref="F1418">
      <formula1>"I, O, M, D, N"</formula1>
    </dataValidation>
    <dataValidation type="list" allowBlank="1" showInputMessage="1" showErrorMessage="1" sqref="G1418">
      <formula1>"Y, N"</formula1>
    </dataValidation>
    <dataValidation type="list" allowBlank="1" showInputMessage="1" showErrorMessage="1" sqref="D1419">
      <formula1>FDDValList</formula1>
    </dataValidation>
    <dataValidation type="list" allowBlank="1" showInputMessage="1" showErrorMessage="1" sqref="F1419">
      <formula1>"I, O, M, D, N"</formula1>
    </dataValidation>
    <dataValidation type="list" allowBlank="1" showInputMessage="1" showErrorMessage="1" sqref="G1419">
      <formula1>"Y, N"</formula1>
    </dataValidation>
    <dataValidation type="list" allowBlank="1" showInputMessage="1" showErrorMessage="1" sqref="D1420">
      <formula1>FDDValList</formula1>
    </dataValidation>
    <dataValidation type="list" allowBlank="1" showInputMessage="1" showErrorMessage="1" sqref="F1420">
      <formula1>"I, O, M, D, N"</formula1>
    </dataValidation>
    <dataValidation type="list" allowBlank="1" showInputMessage="1" showErrorMessage="1" sqref="G1420">
      <formula1>"Y, N"</formula1>
    </dataValidation>
    <dataValidation type="list" allowBlank="1" showInputMessage="1" showErrorMessage="1" sqref="D1421">
      <formula1>FDDValList</formula1>
    </dataValidation>
    <dataValidation type="list" allowBlank="1" showInputMessage="1" showErrorMessage="1" sqref="F1421">
      <formula1>"I, O, M, D, N"</formula1>
    </dataValidation>
    <dataValidation type="list" allowBlank="1" showInputMessage="1" showErrorMessage="1" sqref="G1421">
      <formula1>"Y, N"</formula1>
    </dataValidation>
    <dataValidation type="list" allowBlank="1" showInputMessage="1" showErrorMessage="1" sqref="D1422">
      <formula1>FDDValList</formula1>
    </dataValidation>
    <dataValidation type="list" allowBlank="1" showInputMessage="1" showErrorMessage="1" sqref="F1422">
      <formula1>"I, O, M, D, N"</formula1>
    </dataValidation>
    <dataValidation type="list" allowBlank="1" showInputMessage="1" showErrorMessage="1" sqref="G1422">
      <formula1>"Y, N"</formula1>
    </dataValidation>
    <dataValidation type="list" allowBlank="1" showInputMessage="1" showErrorMessage="1" sqref="D1423">
      <formula1>FDDValList</formula1>
    </dataValidation>
    <dataValidation type="list" allowBlank="1" showInputMessage="1" showErrorMessage="1" sqref="F1423">
      <formula1>"I, O, M, D, N"</formula1>
    </dataValidation>
    <dataValidation type="list" allowBlank="1" showInputMessage="1" showErrorMessage="1" sqref="G1423">
      <formula1>"Y, N"</formula1>
    </dataValidation>
    <dataValidation type="list" allowBlank="1" showInputMessage="1" showErrorMessage="1" sqref="D1424">
      <formula1>FDDValList</formula1>
    </dataValidation>
    <dataValidation type="list" allowBlank="1" showInputMessage="1" showErrorMessage="1" sqref="F1424">
      <formula1>"I, O, M, D, N"</formula1>
    </dataValidation>
    <dataValidation type="list" allowBlank="1" showInputMessage="1" showErrorMessage="1" sqref="G1424">
      <formula1>"Y, N"</formula1>
    </dataValidation>
    <dataValidation type="list" allowBlank="1" showInputMessage="1" showErrorMessage="1" sqref="D1425">
      <formula1>FDDValList</formula1>
    </dataValidation>
    <dataValidation type="list" allowBlank="1" showInputMessage="1" showErrorMessage="1" sqref="F1425">
      <formula1>"I, O, M, D, N"</formula1>
    </dataValidation>
    <dataValidation type="list" allowBlank="1" showInputMessage="1" showErrorMessage="1" sqref="G1425">
      <formula1>"Y, N"</formula1>
    </dataValidation>
    <dataValidation type="list" allowBlank="1" showInputMessage="1" showErrorMessage="1" sqref="D1426">
      <formula1>FDDValList</formula1>
    </dataValidation>
    <dataValidation type="list" allowBlank="1" showInputMessage="1" showErrorMessage="1" sqref="F1426">
      <formula1>"I, O, M, D, N"</formula1>
    </dataValidation>
    <dataValidation type="list" allowBlank="1" showInputMessage="1" showErrorMessage="1" sqref="G1426">
      <formula1>"Y, N"</formula1>
    </dataValidation>
    <dataValidation type="list" allowBlank="1" showInputMessage="1" showErrorMessage="1" sqref="D1427">
      <formula1>FDDValList</formula1>
    </dataValidation>
    <dataValidation type="list" allowBlank="1" showInputMessage="1" showErrorMessage="1" sqref="F1427">
      <formula1>"I, O, M, D, N"</formula1>
    </dataValidation>
    <dataValidation type="list" allowBlank="1" showInputMessage="1" showErrorMessage="1" sqref="G1427">
      <formula1>"Y, N"</formula1>
    </dataValidation>
    <dataValidation type="list" allowBlank="1" showInputMessage="1" showErrorMessage="1" sqref="D1428">
      <formula1>FDDValList</formula1>
    </dataValidation>
    <dataValidation type="list" allowBlank="1" showInputMessage="1" showErrorMessage="1" sqref="F1428">
      <formula1>"I, O, M, D, N"</formula1>
    </dataValidation>
    <dataValidation type="list" allowBlank="1" showInputMessage="1" showErrorMessage="1" sqref="G1428">
      <formula1>"Y, N"</formula1>
    </dataValidation>
    <dataValidation type="list" allowBlank="1" showInputMessage="1" showErrorMessage="1" sqref="D1429">
      <formula1>FDDValList</formula1>
    </dataValidation>
    <dataValidation type="list" allowBlank="1" showInputMessage="1" showErrorMessage="1" sqref="F1429">
      <formula1>"I, O, M, D, N"</formula1>
    </dataValidation>
    <dataValidation type="list" allowBlank="1" showInputMessage="1" showErrorMessage="1" sqref="G1429">
      <formula1>"Y, N"</formula1>
    </dataValidation>
    <dataValidation type="list" allowBlank="1" showInputMessage="1" showErrorMessage="1" sqref="D1430">
      <formula1>FDDValList</formula1>
    </dataValidation>
    <dataValidation type="list" allowBlank="1" showInputMessage="1" showErrorMessage="1" sqref="F1430">
      <formula1>"I, O, M, D, N"</formula1>
    </dataValidation>
    <dataValidation type="list" allowBlank="1" showInputMessage="1" showErrorMessage="1" sqref="G1430">
      <formula1>"Y, N"</formula1>
    </dataValidation>
    <dataValidation type="list" allowBlank="1" showInputMessage="1" showErrorMessage="1" sqref="D1431">
      <formula1>FDDValList</formula1>
    </dataValidation>
    <dataValidation type="list" allowBlank="1" showInputMessage="1" showErrorMessage="1" sqref="F1431">
      <formula1>"I, O, M, D, N"</formula1>
    </dataValidation>
    <dataValidation type="list" allowBlank="1" showInputMessage="1" showErrorMessage="1" sqref="G1431">
      <formula1>"Y, N"</formula1>
    </dataValidation>
    <dataValidation type="list" allowBlank="1" showInputMessage="1" showErrorMessage="1" sqref="D1432">
      <formula1>FDDValList</formula1>
    </dataValidation>
    <dataValidation type="list" allowBlank="1" showInputMessage="1" showErrorMessage="1" sqref="F1432">
      <formula1>"I, O, M, D, N"</formula1>
    </dataValidation>
    <dataValidation type="list" allowBlank="1" showInputMessage="1" showErrorMessage="1" sqref="G1432">
      <formula1>"Y, N"</formula1>
    </dataValidation>
    <dataValidation type="list" allowBlank="1" showInputMessage="1" showErrorMessage="1" sqref="D1433">
      <formula1>FDDValList</formula1>
    </dataValidation>
    <dataValidation type="list" allowBlank="1" showInputMessage="1" showErrorMessage="1" sqref="F1433">
      <formula1>"I, O, M, D, N"</formula1>
    </dataValidation>
    <dataValidation type="list" allowBlank="1" showInputMessage="1" showErrorMessage="1" sqref="G1433">
      <formula1>"Y, N"</formula1>
    </dataValidation>
    <dataValidation type="list" allowBlank="1" showInputMessage="1" showErrorMessage="1" sqref="D1434">
      <formula1>FDDValList</formula1>
    </dataValidation>
    <dataValidation type="list" allowBlank="1" showInputMessage="1" showErrorMessage="1" sqref="F1434">
      <formula1>"I, O, M, D, N"</formula1>
    </dataValidation>
    <dataValidation type="list" allowBlank="1" showInputMessage="1" showErrorMessage="1" sqref="G1434">
      <formula1>"Y, N"</formula1>
    </dataValidation>
    <dataValidation type="list" allowBlank="1" showInputMessage="1" showErrorMessage="1" sqref="D1435">
      <formula1>FDDValList</formula1>
    </dataValidation>
    <dataValidation type="list" allowBlank="1" showInputMessage="1" showErrorMessage="1" sqref="F1435">
      <formula1>"I, O, M, D, N"</formula1>
    </dataValidation>
    <dataValidation type="list" allowBlank="1" showInputMessage="1" showErrorMessage="1" sqref="G1435">
      <formula1>"Y, N"</formula1>
    </dataValidation>
    <dataValidation type="list" allowBlank="1" showInputMessage="1" showErrorMessage="1" sqref="D1436">
      <formula1>FDDValList</formula1>
    </dataValidation>
    <dataValidation type="list" allowBlank="1" showInputMessage="1" showErrorMessage="1" sqref="F1436">
      <formula1>"I, O, M, D, N"</formula1>
    </dataValidation>
    <dataValidation type="list" allowBlank="1" showInputMessage="1" showErrorMessage="1" sqref="G1436">
      <formula1>"Y, N"</formula1>
    </dataValidation>
    <dataValidation type="list" allowBlank="1" showInputMessage="1" showErrorMessage="1" sqref="D1437">
      <formula1>FDDValList</formula1>
    </dataValidation>
    <dataValidation type="list" allowBlank="1" showInputMessage="1" showErrorMessage="1" sqref="F1437">
      <formula1>"I, O, M, D, N"</formula1>
    </dataValidation>
    <dataValidation type="list" allowBlank="1" showInputMessage="1" showErrorMessage="1" sqref="G1437">
      <formula1>"Y, N"</formula1>
    </dataValidation>
    <dataValidation type="list" allowBlank="1" showInputMessage="1" showErrorMessage="1" sqref="D1438">
      <formula1>FDDValList</formula1>
    </dataValidation>
    <dataValidation type="list" allowBlank="1" showInputMessage="1" showErrorMessage="1" sqref="F1438">
      <formula1>"I, O, M, D, N"</formula1>
    </dataValidation>
    <dataValidation type="list" allowBlank="1" showInputMessage="1" showErrorMessage="1" sqref="G1438">
      <formula1>"Y, N"</formula1>
    </dataValidation>
    <dataValidation type="list" allowBlank="1" showInputMessage="1" showErrorMessage="1" sqref="D1439">
      <formula1>FDDValList</formula1>
    </dataValidation>
    <dataValidation type="list" allowBlank="1" showInputMessage="1" showErrorMessage="1" sqref="F1439">
      <formula1>"I, O, M, D, N"</formula1>
    </dataValidation>
    <dataValidation type="list" allowBlank="1" showInputMessage="1" showErrorMessage="1" sqref="G1439">
      <formula1>"Y, N"</formula1>
    </dataValidation>
    <dataValidation type="list" allowBlank="1" showInputMessage="1" showErrorMessage="1" sqref="D1440">
      <formula1>FDDValList</formula1>
    </dataValidation>
    <dataValidation type="list" allowBlank="1" showInputMessage="1" showErrorMessage="1" sqref="F1440">
      <formula1>"I, O, M, D, N"</formula1>
    </dataValidation>
    <dataValidation type="list" allowBlank="1" showInputMessage="1" showErrorMessage="1" sqref="G1440">
      <formula1>"Y, N"</formula1>
    </dataValidation>
    <dataValidation type="list" allowBlank="1" showInputMessage="1" showErrorMessage="1" sqref="D1441">
      <formula1>FDDValList</formula1>
    </dataValidation>
    <dataValidation type="list" allowBlank="1" showInputMessage="1" showErrorMessage="1" sqref="F1441">
      <formula1>"I, O, M, D, N"</formula1>
    </dataValidation>
    <dataValidation type="list" allowBlank="1" showInputMessage="1" showErrorMessage="1" sqref="G1441">
      <formula1>"Y, N"</formula1>
    </dataValidation>
    <dataValidation type="list" allowBlank="1" showInputMessage="1" showErrorMessage="1" sqref="D1442">
      <formula1>FDDValList</formula1>
    </dataValidation>
    <dataValidation type="list" allowBlank="1" showInputMessage="1" showErrorMessage="1" sqref="F1442">
      <formula1>"I, O, M, D, N"</formula1>
    </dataValidation>
    <dataValidation type="list" allowBlank="1" showInputMessage="1" showErrorMessage="1" sqref="G1442">
      <formula1>"Y, N"</formula1>
    </dataValidation>
    <dataValidation type="list" allowBlank="1" showInputMessage="1" showErrorMessage="1" sqref="D1443">
      <formula1>FDDValList</formula1>
    </dataValidation>
    <dataValidation type="list" allowBlank="1" showInputMessage="1" showErrorMessage="1" sqref="F1443">
      <formula1>"I, O, M, D, N"</formula1>
    </dataValidation>
    <dataValidation type="list" allowBlank="1" showInputMessage="1" showErrorMessage="1" sqref="G1443">
      <formula1>"Y, N"</formula1>
    </dataValidation>
    <dataValidation type="list" allowBlank="1" showInputMessage="1" showErrorMessage="1" sqref="D1444">
      <formula1>FDDValList</formula1>
    </dataValidation>
    <dataValidation type="list" allowBlank="1" showInputMessage="1" showErrorMessage="1" sqref="F1444">
      <formula1>"I, O, M, D, N"</formula1>
    </dataValidation>
    <dataValidation type="list" allowBlank="1" showInputMessage="1" showErrorMessage="1" sqref="G1444">
      <formula1>"Y, N"</formula1>
    </dataValidation>
    <dataValidation type="list" allowBlank="1" showInputMessage="1" showErrorMessage="1" sqref="D1445">
      <formula1>FDDValList</formula1>
    </dataValidation>
    <dataValidation type="list" allowBlank="1" showInputMessage="1" showErrorMessage="1" sqref="F1445">
      <formula1>"I, O, M, D, N"</formula1>
    </dataValidation>
    <dataValidation type="list" allowBlank="1" showInputMessage="1" showErrorMessage="1" sqref="G1445">
      <formula1>"Y, N"</formula1>
    </dataValidation>
    <dataValidation type="list" allowBlank="1" showInputMessage="1" showErrorMessage="1" sqref="D1446">
      <formula1>FDDValList</formula1>
    </dataValidation>
    <dataValidation type="list" allowBlank="1" showInputMessage="1" showErrorMessage="1" sqref="F1446">
      <formula1>"I, O, M, D, N"</formula1>
    </dataValidation>
    <dataValidation type="list" allowBlank="1" showInputMessage="1" showErrorMessage="1" sqref="G1446">
      <formula1>"Y, N"</formula1>
    </dataValidation>
    <dataValidation type="list" allowBlank="1" showInputMessage="1" showErrorMessage="1" sqref="D1447">
      <formula1>FDDValList</formula1>
    </dataValidation>
    <dataValidation type="list" allowBlank="1" showInputMessage="1" showErrorMessage="1" sqref="F1447">
      <formula1>"I, O, M, D, N"</formula1>
    </dataValidation>
    <dataValidation type="list" allowBlank="1" showInputMessage="1" showErrorMessage="1" sqref="G1447">
      <formula1>"Y, N"</formula1>
    </dataValidation>
    <dataValidation type="list" allowBlank="1" showInputMessage="1" showErrorMessage="1" sqref="D1448">
      <formula1>FDDValList</formula1>
    </dataValidation>
    <dataValidation type="list" allowBlank="1" showInputMessage="1" showErrorMessage="1" sqref="F1448">
      <formula1>"I, O, M, D, N"</formula1>
    </dataValidation>
    <dataValidation type="list" allowBlank="1" showInputMessage="1" showErrorMessage="1" sqref="G1448">
      <formula1>"Y, N"</formula1>
    </dataValidation>
    <dataValidation type="list" allowBlank="1" showInputMessage="1" showErrorMessage="1" sqref="D1449">
      <formula1>FDDValList</formula1>
    </dataValidation>
    <dataValidation type="list" allowBlank="1" showInputMessage="1" showErrorMessage="1" sqref="F1449">
      <formula1>"I, O, M, D, N"</formula1>
    </dataValidation>
    <dataValidation type="list" allowBlank="1" showInputMessage="1" showErrorMessage="1" sqref="G1449">
      <formula1>"Y, N"</formula1>
    </dataValidation>
    <dataValidation type="list" allowBlank="1" showInputMessage="1" showErrorMessage="1" sqref="D1450">
      <formula1>FDDValList</formula1>
    </dataValidation>
    <dataValidation type="list" allowBlank="1" showInputMessage="1" showErrorMessage="1" sqref="F1450">
      <formula1>"I, O, M, D, N"</formula1>
    </dataValidation>
    <dataValidation type="list" allowBlank="1" showInputMessage="1" showErrorMessage="1" sqref="G1450">
      <formula1>"Y, N"</formula1>
    </dataValidation>
    <dataValidation type="list" allowBlank="1" showInputMessage="1" showErrorMessage="1" sqref="D1451">
      <formula1>FDDValList</formula1>
    </dataValidation>
    <dataValidation type="list" allowBlank="1" showInputMessage="1" showErrorMessage="1" sqref="F1451">
      <formula1>"I, O, M, D, N"</formula1>
    </dataValidation>
    <dataValidation type="list" allowBlank="1" showInputMessage="1" showErrorMessage="1" sqref="G1451">
      <formula1>"Y, N"</formula1>
    </dataValidation>
    <dataValidation type="list" allowBlank="1" showInputMessage="1" showErrorMessage="1" sqref="D1452">
      <formula1>FDDValList</formula1>
    </dataValidation>
    <dataValidation type="list" allowBlank="1" showInputMessage="1" showErrorMessage="1" sqref="F1452">
      <formula1>"I, O, M, D, N"</formula1>
    </dataValidation>
    <dataValidation type="list" allowBlank="1" showInputMessage="1" showErrorMessage="1" sqref="G1452">
      <formula1>"Y, N"</formula1>
    </dataValidation>
    <dataValidation type="list" allowBlank="1" showInputMessage="1" showErrorMessage="1" sqref="D1453">
      <formula1>FDDValList</formula1>
    </dataValidation>
    <dataValidation type="list" allowBlank="1" showInputMessage="1" showErrorMessage="1" sqref="F1453">
      <formula1>"I, O, M, D, N"</formula1>
    </dataValidation>
    <dataValidation type="list" allowBlank="1" showInputMessage="1" showErrorMessage="1" sqref="G1453">
      <formula1>"Y, N"</formula1>
    </dataValidation>
    <dataValidation type="list" allowBlank="1" showInputMessage="1" showErrorMessage="1" sqref="D1454">
      <formula1>FDDValList</formula1>
    </dataValidation>
    <dataValidation type="list" allowBlank="1" showInputMessage="1" showErrorMessage="1" sqref="F1454">
      <formula1>"I, O, M, D, N"</formula1>
    </dataValidation>
    <dataValidation type="list" allowBlank="1" showInputMessage="1" showErrorMessage="1" sqref="G1454">
      <formula1>"Y, N"</formula1>
    </dataValidation>
    <dataValidation type="list" allowBlank="1" showInputMessage="1" showErrorMessage="1" sqref="D1455">
      <formula1>FDDValList</formula1>
    </dataValidation>
    <dataValidation type="list" allowBlank="1" showInputMessage="1" showErrorMessage="1" sqref="F1455">
      <formula1>"I, O, M, D, N"</formula1>
    </dataValidation>
    <dataValidation type="list" allowBlank="1" showInputMessage="1" showErrorMessage="1" sqref="G1455">
      <formula1>"Y, N"</formula1>
    </dataValidation>
    <dataValidation type="list" allowBlank="1" showInputMessage="1" showErrorMessage="1" sqref="D1456">
      <formula1>FDDValList</formula1>
    </dataValidation>
    <dataValidation type="list" allowBlank="1" showInputMessage="1" showErrorMessage="1" sqref="F1456">
      <formula1>"I, O, M, D, N"</formula1>
    </dataValidation>
    <dataValidation type="list" allowBlank="1" showInputMessage="1" showErrorMessage="1" sqref="G1456">
      <formula1>"Y, N"</formula1>
    </dataValidation>
    <dataValidation type="list" allowBlank="1" showInputMessage="1" showErrorMessage="1" sqref="D1457">
      <formula1>FDDValList</formula1>
    </dataValidation>
    <dataValidation type="list" allowBlank="1" showInputMessage="1" showErrorMessage="1" sqref="F1457">
      <formula1>"I, O, M, D, N"</formula1>
    </dataValidation>
    <dataValidation type="list" allowBlank="1" showInputMessage="1" showErrorMessage="1" sqref="G1457">
      <formula1>"Y, N"</formula1>
    </dataValidation>
    <dataValidation type="list" allowBlank="1" showInputMessage="1" showErrorMessage="1" sqref="D1458">
      <formula1>FDDValList</formula1>
    </dataValidation>
    <dataValidation type="list" allowBlank="1" showInputMessage="1" showErrorMessage="1" sqref="F1458">
      <formula1>"I, O, M, D, N"</formula1>
    </dataValidation>
    <dataValidation type="list" allowBlank="1" showInputMessage="1" showErrorMessage="1" sqref="G1458">
      <formula1>"Y, N"</formula1>
    </dataValidation>
    <dataValidation type="list" allowBlank="1" showInputMessage="1" showErrorMessage="1" sqref="D1459">
      <formula1>FDDValList</formula1>
    </dataValidation>
    <dataValidation type="list" allowBlank="1" showInputMessage="1" showErrorMessage="1" sqref="F1459">
      <formula1>"I, O, M, D, N"</formula1>
    </dataValidation>
    <dataValidation type="list" allowBlank="1" showInputMessage="1" showErrorMessage="1" sqref="G1459">
      <formula1>"Y, N"</formula1>
    </dataValidation>
    <dataValidation type="list" allowBlank="1" showInputMessage="1" showErrorMessage="1" sqref="D1460">
      <formula1>FDDValList</formula1>
    </dataValidation>
    <dataValidation type="list" allowBlank="1" showInputMessage="1" showErrorMessage="1" sqref="F1460">
      <formula1>"I, O, M, D, N"</formula1>
    </dataValidation>
    <dataValidation type="list" allowBlank="1" showInputMessage="1" showErrorMessage="1" sqref="G1460">
      <formula1>"Y, N"</formula1>
    </dataValidation>
    <dataValidation type="list" allowBlank="1" showInputMessage="1" showErrorMessage="1" sqref="D1461">
      <formula1>FDDValList</formula1>
    </dataValidation>
    <dataValidation type="list" allowBlank="1" showInputMessage="1" showErrorMessage="1" sqref="F1461">
      <formula1>"I, O, M, D, N"</formula1>
    </dataValidation>
    <dataValidation type="list" allowBlank="1" showInputMessage="1" showErrorMessage="1" sqref="G1461">
      <formula1>"Y, N"</formula1>
    </dataValidation>
    <dataValidation type="list" allowBlank="1" showInputMessage="1" showErrorMessage="1" sqref="D1462">
      <formula1>FDDValList</formula1>
    </dataValidation>
    <dataValidation type="list" allowBlank="1" showInputMessage="1" showErrorMessage="1" sqref="F1462">
      <formula1>"I, O, M, D, N"</formula1>
    </dataValidation>
    <dataValidation type="list" allowBlank="1" showInputMessage="1" showErrorMessage="1" sqref="G1462">
      <formula1>"Y, N"</formula1>
    </dataValidation>
    <dataValidation type="list" allowBlank="1" showInputMessage="1" showErrorMessage="1" sqref="D1463">
      <formula1>FDDValList</formula1>
    </dataValidation>
    <dataValidation type="list" allowBlank="1" showInputMessage="1" showErrorMessage="1" sqref="F1463">
      <formula1>"I, O, M, D, N"</formula1>
    </dataValidation>
    <dataValidation type="list" allowBlank="1" showInputMessage="1" showErrorMessage="1" sqref="G1463">
      <formula1>"Y, N"</formula1>
    </dataValidation>
    <dataValidation type="list" allowBlank="1" showInputMessage="1" showErrorMessage="1" sqref="D1464">
      <formula1>FDDValList</formula1>
    </dataValidation>
    <dataValidation type="list" allowBlank="1" showInputMessage="1" showErrorMessage="1" sqref="F1464">
      <formula1>"I, O, M, D, N"</formula1>
    </dataValidation>
    <dataValidation type="list" allowBlank="1" showInputMessage="1" showErrorMessage="1" sqref="G1464">
      <formula1>"Y, N"</formula1>
    </dataValidation>
    <dataValidation type="list" allowBlank="1" showInputMessage="1" showErrorMessage="1" sqref="D1465">
      <formula1>FDDValList</formula1>
    </dataValidation>
    <dataValidation type="list" allowBlank="1" showInputMessage="1" showErrorMessage="1" sqref="F1465">
      <formula1>"I, O, M, D, N"</formula1>
    </dataValidation>
    <dataValidation type="list" allowBlank="1" showInputMessage="1" showErrorMessage="1" sqref="G1465">
      <formula1>"Y, N"</formula1>
    </dataValidation>
    <dataValidation type="list" allowBlank="1" showInputMessage="1" showErrorMessage="1" sqref="D1466">
      <formula1>FDDValList</formula1>
    </dataValidation>
    <dataValidation type="list" allowBlank="1" showInputMessage="1" showErrorMessage="1" sqref="F1466">
      <formula1>"I, O, M, D, N"</formula1>
    </dataValidation>
    <dataValidation type="list" allowBlank="1" showInputMessage="1" showErrorMessage="1" sqref="G1466">
      <formula1>"Y, N"</formula1>
    </dataValidation>
    <dataValidation type="list" allowBlank="1" showInputMessage="1" showErrorMessage="1" sqref="D1467">
      <formula1>FDDValList</formula1>
    </dataValidation>
    <dataValidation type="list" allowBlank="1" showInputMessage="1" showErrorMessage="1" sqref="F1467">
      <formula1>"I, O, M, D, N"</formula1>
    </dataValidation>
    <dataValidation type="list" allowBlank="1" showInputMessage="1" showErrorMessage="1" sqref="G1467">
      <formula1>"Y, N"</formula1>
    </dataValidation>
    <dataValidation type="list" allowBlank="1" showInputMessage="1" showErrorMessage="1" sqref="D1468">
      <formula1>FDDValList</formula1>
    </dataValidation>
    <dataValidation type="list" allowBlank="1" showInputMessage="1" showErrorMessage="1" sqref="F1468">
      <formula1>"I, O, M, D, N"</formula1>
    </dataValidation>
    <dataValidation type="list" allowBlank="1" showInputMessage="1" showErrorMessage="1" sqref="G1468">
      <formula1>"Y, N"</formula1>
    </dataValidation>
    <dataValidation type="list" allowBlank="1" showInputMessage="1" showErrorMessage="1" sqref="D1469">
      <formula1>FDDValList</formula1>
    </dataValidation>
    <dataValidation type="list" allowBlank="1" showInputMessage="1" showErrorMessage="1" sqref="F1469">
      <formula1>"I, O, M, D, N"</formula1>
    </dataValidation>
    <dataValidation type="list" allowBlank="1" showInputMessage="1" showErrorMessage="1" sqref="G1469">
      <formula1>"Y, N"</formula1>
    </dataValidation>
    <dataValidation type="list" allowBlank="1" showInputMessage="1" showErrorMessage="1" sqref="D1470">
      <formula1>FDDValList</formula1>
    </dataValidation>
    <dataValidation type="list" allowBlank="1" showInputMessage="1" showErrorMessage="1" sqref="F1470">
      <formula1>"I, O, M, D, N"</formula1>
    </dataValidation>
    <dataValidation type="list" allowBlank="1" showInputMessage="1" showErrorMessage="1" sqref="G1470">
      <formula1>"Y, N"</formula1>
    </dataValidation>
    <dataValidation type="list" allowBlank="1" showInputMessage="1" showErrorMessage="1" sqref="D1471">
      <formula1>FDDValList</formula1>
    </dataValidation>
    <dataValidation type="list" allowBlank="1" showInputMessage="1" showErrorMessage="1" sqref="F1471">
      <formula1>"I, O, M, D, N"</formula1>
    </dataValidation>
    <dataValidation type="list" allowBlank="1" showInputMessage="1" showErrorMessage="1" sqref="G1471">
      <formula1>"Y, N"</formula1>
    </dataValidation>
    <dataValidation type="list" allowBlank="1" showInputMessage="1" showErrorMessage="1" sqref="D1472">
      <formula1>FDDValList</formula1>
    </dataValidation>
    <dataValidation type="list" allowBlank="1" showInputMessage="1" showErrorMessage="1" sqref="F1472">
      <formula1>"I, O, M, D, N"</formula1>
    </dataValidation>
    <dataValidation type="list" allowBlank="1" showInputMessage="1" showErrorMessage="1" sqref="G1472">
      <formula1>"Y, N"</formula1>
    </dataValidation>
    <dataValidation type="list" allowBlank="1" showInputMessage="1" showErrorMessage="1" sqref="D1473">
      <formula1>FDDValList</formula1>
    </dataValidation>
    <dataValidation type="list" allowBlank="1" showInputMessage="1" showErrorMessage="1" sqref="F1473">
      <formula1>"I, O, M, D, N"</formula1>
    </dataValidation>
    <dataValidation type="list" allowBlank="1" showInputMessage="1" showErrorMessage="1" sqref="G1473">
      <formula1>"Y, N"</formula1>
    </dataValidation>
    <dataValidation type="list" allowBlank="1" showInputMessage="1" showErrorMessage="1" sqref="D1474">
      <formula1>FDDValList</formula1>
    </dataValidation>
    <dataValidation type="list" allowBlank="1" showInputMessage="1" showErrorMessage="1" sqref="F1474">
      <formula1>"I, O, M, D, N"</formula1>
    </dataValidation>
    <dataValidation type="list" allowBlank="1" showInputMessage="1" showErrorMessage="1" sqref="G1474">
      <formula1>"Y, N"</formula1>
    </dataValidation>
    <dataValidation type="list" allowBlank="1" showInputMessage="1" showErrorMessage="1" sqref="D1475">
      <formula1>FDDValList</formula1>
    </dataValidation>
    <dataValidation type="list" allowBlank="1" showInputMessage="1" showErrorMessage="1" sqref="F1475">
      <formula1>"I, O, M, D, N"</formula1>
    </dataValidation>
    <dataValidation type="list" allowBlank="1" showInputMessage="1" showErrorMessage="1" sqref="G1475">
      <formula1>"Y, N"</formula1>
    </dataValidation>
    <dataValidation type="list" allowBlank="1" showInputMessage="1" showErrorMessage="1" sqref="D1476">
      <formula1>FDDValList</formula1>
    </dataValidation>
    <dataValidation type="list" allowBlank="1" showInputMessage="1" showErrorMessage="1" sqref="F1476">
      <formula1>"I, O, M, D, N"</formula1>
    </dataValidation>
    <dataValidation type="list" allowBlank="1" showInputMessage="1" showErrorMessage="1" sqref="G1476">
      <formula1>"Y, N"</formula1>
    </dataValidation>
    <dataValidation type="list" allowBlank="1" showInputMessage="1" showErrorMessage="1" sqref="D1477">
      <formula1>FDDValList</formula1>
    </dataValidation>
    <dataValidation type="list" allowBlank="1" showInputMessage="1" showErrorMessage="1" sqref="F1477">
      <formula1>"I, O, M, D, N"</formula1>
    </dataValidation>
    <dataValidation type="list" allowBlank="1" showInputMessage="1" showErrorMessage="1" sqref="G1477">
      <formula1>"Y, N"</formula1>
    </dataValidation>
    <dataValidation type="list" allowBlank="1" showInputMessage="1" showErrorMessage="1" sqref="D1478">
      <formula1>FDDValList</formula1>
    </dataValidation>
    <dataValidation type="list" allowBlank="1" showInputMessage="1" showErrorMessage="1" sqref="F1478">
      <formula1>"I, O, M, D, N"</formula1>
    </dataValidation>
    <dataValidation type="list" allowBlank="1" showInputMessage="1" showErrorMessage="1" sqref="G1478">
      <formula1>"Y, N"</formula1>
    </dataValidation>
    <dataValidation type="list" allowBlank="1" showInputMessage="1" showErrorMessage="1" sqref="D1479">
      <formula1>FDDValList</formula1>
    </dataValidation>
    <dataValidation type="list" allowBlank="1" showInputMessage="1" showErrorMessage="1" sqref="F1479">
      <formula1>"I, O, M, D, N"</formula1>
    </dataValidation>
    <dataValidation type="list" allowBlank="1" showInputMessage="1" showErrorMessage="1" sqref="G1479">
      <formula1>"Y, N"</formula1>
    </dataValidation>
    <dataValidation type="list" allowBlank="1" showInputMessage="1" showErrorMessage="1" sqref="D1480">
      <formula1>FDDValList</formula1>
    </dataValidation>
    <dataValidation type="list" allowBlank="1" showInputMessage="1" showErrorMessage="1" sqref="F1480">
      <formula1>"I, O, M, D, N"</formula1>
    </dataValidation>
    <dataValidation type="list" allowBlank="1" showInputMessage="1" showErrorMessage="1" sqref="G1480">
      <formula1>"Y, N"</formula1>
    </dataValidation>
    <dataValidation type="list" allowBlank="1" showInputMessage="1" showErrorMessage="1" sqref="D1481">
      <formula1>FDDValList</formula1>
    </dataValidation>
    <dataValidation type="list" allowBlank="1" showInputMessage="1" showErrorMessage="1" sqref="F1481">
      <formula1>"I, O, M, D, N"</formula1>
    </dataValidation>
    <dataValidation type="list" allowBlank="1" showInputMessage="1" showErrorMessage="1" sqref="G1481">
      <formula1>"Y, N"</formula1>
    </dataValidation>
    <dataValidation type="list" allowBlank="1" showInputMessage="1" showErrorMessage="1" sqref="D1482">
      <formula1>FDDValList</formula1>
    </dataValidation>
    <dataValidation type="list" allowBlank="1" showInputMessage="1" showErrorMessage="1" sqref="F1482">
      <formula1>"I, O, M, D, N"</formula1>
    </dataValidation>
    <dataValidation type="list" allowBlank="1" showInputMessage="1" showErrorMessage="1" sqref="G1482">
      <formula1>"Y, N"</formula1>
    </dataValidation>
    <dataValidation type="list" allowBlank="1" showInputMessage="1" showErrorMessage="1" sqref="D1483">
      <formula1>FDDValList</formula1>
    </dataValidation>
    <dataValidation type="list" allowBlank="1" showInputMessage="1" showErrorMessage="1" sqref="F1483">
      <formula1>"I, O, M, D, N"</formula1>
    </dataValidation>
    <dataValidation type="list" allowBlank="1" showInputMessage="1" showErrorMessage="1" sqref="G1483">
      <formula1>"Y, N"</formula1>
    </dataValidation>
    <dataValidation type="list" allowBlank="1" showInputMessage="1" showErrorMessage="1" sqref="D1484">
      <formula1>FDDValList</formula1>
    </dataValidation>
    <dataValidation type="list" allowBlank="1" showInputMessage="1" showErrorMessage="1" sqref="F1484">
      <formula1>"I, O, M, D, N"</formula1>
    </dataValidation>
    <dataValidation type="list" allowBlank="1" showInputMessage="1" showErrorMessage="1" sqref="G1484">
      <formula1>"Y, N"</formula1>
    </dataValidation>
    <dataValidation type="list" allowBlank="1" showInputMessage="1" showErrorMessage="1" sqref="D1485">
      <formula1>FDDValList</formula1>
    </dataValidation>
    <dataValidation type="list" allowBlank="1" showInputMessage="1" showErrorMessage="1" sqref="F1485">
      <formula1>"I, O, M, D, N"</formula1>
    </dataValidation>
    <dataValidation type="list" allowBlank="1" showInputMessage="1" showErrorMessage="1" sqref="G1485">
      <formula1>"Y, N"</formula1>
    </dataValidation>
    <dataValidation type="list" allowBlank="1" showInputMessage="1" showErrorMessage="1" sqref="D1486">
      <formula1>FDDValList</formula1>
    </dataValidation>
    <dataValidation type="list" allowBlank="1" showInputMessage="1" showErrorMessage="1" sqref="F1486">
      <formula1>"I, O, M, D, N"</formula1>
    </dataValidation>
    <dataValidation type="list" allowBlank="1" showInputMessage="1" showErrorMessage="1" sqref="G1486">
      <formula1>"Y, N"</formula1>
    </dataValidation>
    <dataValidation type="list" allowBlank="1" showInputMessage="1" showErrorMessage="1" sqref="D1487">
      <formula1>FDDValList</formula1>
    </dataValidation>
    <dataValidation type="list" allowBlank="1" showInputMessage="1" showErrorMessage="1" sqref="F1487">
      <formula1>"I, O, M, D, N"</formula1>
    </dataValidation>
    <dataValidation type="list" allowBlank="1" showInputMessage="1" showErrorMessage="1" sqref="G1487">
      <formula1>"Y, N"</formula1>
    </dataValidation>
    <dataValidation type="list" allowBlank="1" showInputMessage="1" showErrorMessage="1" sqref="D1488">
      <formula1>FDDValList</formula1>
    </dataValidation>
    <dataValidation type="list" allowBlank="1" showInputMessage="1" showErrorMessage="1" sqref="F1488">
      <formula1>"I, O, M, D, N"</formula1>
    </dataValidation>
    <dataValidation type="list" allowBlank="1" showInputMessage="1" showErrorMessage="1" sqref="G1488">
      <formula1>"Y, N"</formula1>
    </dataValidation>
    <dataValidation type="list" allowBlank="1" showInputMessage="1" showErrorMessage="1" sqref="D1489">
      <formula1>FDDValList</formula1>
    </dataValidation>
    <dataValidation type="list" allowBlank="1" showInputMessage="1" showErrorMessage="1" sqref="F1489">
      <formula1>"I, O, M, D, N"</formula1>
    </dataValidation>
    <dataValidation type="list" allowBlank="1" showInputMessage="1" showErrorMessage="1" sqref="G1489">
      <formula1>"Y, N"</formula1>
    </dataValidation>
    <dataValidation type="list" allowBlank="1" showInputMessage="1" showErrorMessage="1" sqref="D1490">
      <formula1>FDDValList</formula1>
    </dataValidation>
    <dataValidation type="list" allowBlank="1" showInputMessage="1" showErrorMessage="1" sqref="F1490">
      <formula1>"I, O, M, D, N"</formula1>
    </dataValidation>
    <dataValidation type="list" allowBlank="1" showInputMessage="1" showErrorMessage="1" sqref="G1490">
      <formula1>"Y, N"</formula1>
    </dataValidation>
    <dataValidation type="list" allowBlank="1" showInputMessage="1" showErrorMessage="1" sqref="D1491">
      <formula1>FDDValList</formula1>
    </dataValidation>
    <dataValidation type="list" allowBlank="1" showInputMessage="1" showErrorMessage="1" sqref="F1491">
      <formula1>"I, O, M, D, N"</formula1>
    </dataValidation>
    <dataValidation type="list" allowBlank="1" showInputMessage="1" showErrorMessage="1" sqref="G1491">
      <formula1>"Y, N"</formula1>
    </dataValidation>
    <dataValidation type="list" allowBlank="1" showInputMessage="1" showErrorMessage="1" sqref="D1492">
      <formula1>FDDValList</formula1>
    </dataValidation>
    <dataValidation type="list" allowBlank="1" showInputMessage="1" showErrorMessage="1" sqref="F1492">
      <formula1>"I, O, M, D, N"</formula1>
    </dataValidation>
    <dataValidation type="list" allowBlank="1" showInputMessage="1" showErrorMessage="1" sqref="G1492">
      <formula1>"Y, N"</formula1>
    </dataValidation>
    <dataValidation type="list" allowBlank="1" showInputMessage="1" showErrorMessage="1" sqref="D1493">
      <formula1>FDDValList</formula1>
    </dataValidation>
    <dataValidation type="list" allowBlank="1" showInputMessage="1" showErrorMessage="1" sqref="F1493">
      <formula1>"I, O, M, D, N"</formula1>
    </dataValidation>
    <dataValidation type="list" allowBlank="1" showInputMessage="1" showErrorMessage="1" sqref="G1493">
      <formula1>"Y, N"</formula1>
    </dataValidation>
    <dataValidation type="list" allowBlank="1" showInputMessage="1" showErrorMessage="1" sqref="D1494">
      <formula1>FDDValList</formula1>
    </dataValidation>
    <dataValidation type="list" allowBlank="1" showInputMessage="1" showErrorMessage="1" sqref="F1494">
      <formula1>"I, O, M, D, N"</formula1>
    </dataValidation>
    <dataValidation type="list" allowBlank="1" showInputMessage="1" showErrorMessage="1" sqref="G1494">
      <formula1>"Y, N"</formula1>
    </dataValidation>
    <dataValidation type="list" allowBlank="1" showInputMessage="1" showErrorMessage="1" sqref="D1495">
      <formula1>FDDValList</formula1>
    </dataValidation>
    <dataValidation type="list" allowBlank="1" showInputMessage="1" showErrorMessage="1" sqref="F1495">
      <formula1>"I, O, M, D, N"</formula1>
    </dataValidation>
    <dataValidation type="list" allowBlank="1" showInputMessage="1" showErrorMessage="1" sqref="G1495">
      <formula1>"Y, N"</formula1>
    </dataValidation>
    <dataValidation type="list" allowBlank="1" showInputMessage="1" showErrorMessage="1" sqref="D1496">
      <formula1>FDDValList</formula1>
    </dataValidation>
    <dataValidation type="list" allowBlank="1" showInputMessage="1" showErrorMessage="1" sqref="F1496">
      <formula1>"I, O, M, D, N"</formula1>
    </dataValidation>
    <dataValidation type="list" allowBlank="1" showInputMessage="1" showErrorMessage="1" sqref="G1496">
      <formula1>"Y, N"</formula1>
    </dataValidation>
    <dataValidation type="list" allowBlank="1" showInputMessage="1" showErrorMessage="1" sqref="D1497">
      <formula1>FDDValList</formula1>
    </dataValidation>
    <dataValidation type="list" allowBlank="1" showInputMessage="1" showErrorMessage="1" sqref="F1497">
      <formula1>"I, O, M, D, N"</formula1>
    </dataValidation>
    <dataValidation type="list" allowBlank="1" showInputMessage="1" showErrorMessage="1" sqref="G1497">
      <formula1>"Y, N"</formula1>
    </dataValidation>
    <dataValidation type="list" allowBlank="1" showInputMessage="1" showErrorMessage="1" sqref="D1498">
      <formula1>FDDValList</formula1>
    </dataValidation>
    <dataValidation type="list" allowBlank="1" showInputMessage="1" showErrorMessage="1" sqref="F1498">
      <formula1>"I, O, M, D, N"</formula1>
    </dataValidation>
    <dataValidation type="list" allowBlank="1" showInputMessage="1" showErrorMessage="1" sqref="G1498">
      <formula1>"Y, N"</formula1>
    </dataValidation>
    <dataValidation type="list" allowBlank="1" showInputMessage="1" showErrorMessage="1" sqref="D1499">
      <formula1>FDDValList</formula1>
    </dataValidation>
    <dataValidation type="list" allowBlank="1" showInputMessage="1" showErrorMessage="1" sqref="F1499">
      <formula1>"I, O, M, D, N"</formula1>
    </dataValidation>
    <dataValidation type="list" allowBlank="1" showInputMessage="1" showErrorMessage="1" sqref="G1499">
      <formula1>"Y, N"</formula1>
    </dataValidation>
    <dataValidation type="list" allowBlank="1" showInputMessage="1" showErrorMessage="1" sqref="D1500">
      <formula1>FDDValList</formula1>
    </dataValidation>
    <dataValidation type="list" allowBlank="1" showInputMessage="1" showErrorMessage="1" sqref="F1500">
      <formula1>"I, O, M, D, N"</formula1>
    </dataValidation>
    <dataValidation type="list" allowBlank="1" showInputMessage="1" showErrorMessage="1" sqref="G1500">
      <formula1>"Y, N"</formula1>
    </dataValidation>
    <dataValidation type="list" allowBlank="1" showInputMessage="1" showErrorMessage="1" sqref="D1501">
      <formula1>FDDValList</formula1>
    </dataValidation>
    <dataValidation type="list" allowBlank="1" showInputMessage="1" showErrorMessage="1" sqref="F1501">
      <formula1>"I, O, M, D, N"</formula1>
    </dataValidation>
    <dataValidation type="list" allowBlank="1" showInputMessage="1" showErrorMessage="1" sqref="G1501">
      <formula1>"Y, N"</formula1>
    </dataValidation>
    <dataValidation type="list" allowBlank="1" showInputMessage="1" showErrorMessage="1" sqref="D1502">
      <formula1>FDDValList</formula1>
    </dataValidation>
    <dataValidation type="list" allowBlank="1" showInputMessage="1" showErrorMessage="1" sqref="F1502">
      <formula1>"I, O, M, D, N"</formula1>
    </dataValidation>
    <dataValidation type="list" allowBlank="1" showInputMessage="1" showErrorMessage="1" sqref="G1502">
      <formula1>"Y, N"</formula1>
    </dataValidation>
    <dataValidation type="list" allowBlank="1" showInputMessage="1" showErrorMessage="1" sqref="D1503">
      <formula1>FDDValList</formula1>
    </dataValidation>
    <dataValidation type="list" allowBlank="1" showInputMessage="1" showErrorMessage="1" sqref="F1503">
      <formula1>"I, O, M, D, N"</formula1>
    </dataValidation>
    <dataValidation type="list" allowBlank="1" showInputMessage="1" showErrorMessage="1" sqref="G1503">
      <formula1>"Y, N"</formula1>
    </dataValidation>
    <dataValidation type="list" allowBlank="1" showInputMessage="1" showErrorMessage="1" sqref="D1504">
      <formula1>FDDValList</formula1>
    </dataValidation>
    <dataValidation type="list" allowBlank="1" showInputMessage="1" showErrorMessage="1" sqref="F1504">
      <formula1>"I, O, M, D, N"</formula1>
    </dataValidation>
    <dataValidation type="list" allowBlank="1" showInputMessage="1" showErrorMessage="1" sqref="G1504">
      <formula1>"Y, N"</formula1>
    </dataValidation>
    <dataValidation type="list" allowBlank="1" showInputMessage="1" showErrorMessage="1" sqref="D1505">
      <formula1>FDDValList</formula1>
    </dataValidation>
    <dataValidation type="list" allowBlank="1" showInputMessage="1" showErrorMessage="1" sqref="F1505">
      <formula1>"I, O, M, D, N"</formula1>
    </dataValidation>
    <dataValidation type="list" allowBlank="1" showInputMessage="1" showErrorMessage="1" sqref="G1505">
      <formula1>"Y, N"</formula1>
    </dataValidation>
    <dataValidation type="list" allowBlank="1" showInputMessage="1" showErrorMessage="1" sqref="D1506">
      <formula1>FDDValList</formula1>
    </dataValidation>
    <dataValidation type="list" allowBlank="1" showInputMessage="1" showErrorMessage="1" sqref="F1506">
      <formula1>"I, O, M, D, N"</formula1>
    </dataValidation>
    <dataValidation type="list" allowBlank="1" showInputMessage="1" showErrorMessage="1" sqref="G1506">
      <formula1>"Y, N"</formula1>
    </dataValidation>
    <dataValidation type="list" allowBlank="1" showInputMessage="1" showErrorMessage="1" sqref="D1507">
      <formula1>FDDValList</formula1>
    </dataValidation>
    <dataValidation type="list" allowBlank="1" showInputMessage="1" showErrorMessage="1" sqref="F1507">
      <formula1>"I, O, M, D, N"</formula1>
    </dataValidation>
    <dataValidation type="list" allowBlank="1" showInputMessage="1" showErrorMessage="1" sqref="G1507">
      <formula1>"Y, N"</formula1>
    </dataValidation>
    <dataValidation type="list" allowBlank="1" showInputMessage="1" showErrorMessage="1" sqref="D1508">
      <formula1>FDDValList</formula1>
    </dataValidation>
    <dataValidation type="list" allowBlank="1" showInputMessage="1" showErrorMessage="1" sqref="F1508">
      <formula1>"I, O, M, D, N"</formula1>
    </dataValidation>
    <dataValidation type="list" allowBlank="1" showInputMessage="1" showErrorMessage="1" sqref="G1508">
      <formula1>"Y, N"</formula1>
    </dataValidation>
    <dataValidation type="list" allowBlank="1" showInputMessage="1" showErrorMessage="1" sqref="D1509">
      <formula1>FDDValList</formula1>
    </dataValidation>
    <dataValidation type="list" allowBlank="1" showInputMessage="1" showErrorMessage="1" sqref="F1509">
      <formula1>"I, O, M, D, N"</formula1>
    </dataValidation>
    <dataValidation type="list" allowBlank="1" showInputMessage="1" showErrorMessage="1" sqref="G1509">
      <formula1>"Y, N"</formula1>
    </dataValidation>
    <dataValidation type="list" allowBlank="1" showInputMessage="1" showErrorMessage="1" sqref="D1510">
      <formula1>FDDValList</formula1>
    </dataValidation>
    <dataValidation type="list" allowBlank="1" showInputMessage="1" showErrorMessage="1" sqref="F1510">
      <formula1>"I, O, M, D, N"</formula1>
    </dataValidation>
    <dataValidation type="list" allowBlank="1" showInputMessage="1" showErrorMessage="1" sqref="G1510">
      <formula1>"Y, N"</formula1>
    </dataValidation>
    <dataValidation type="list" allowBlank="1" showInputMessage="1" showErrorMessage="1" sqref="D1511">
      <formula1>FDDValList</formula1>
    </dataValidation>
    <dataValidation type="list" allowBlank="1" showInputMessage="1" showErrorMessage="1" sqref="F1511">
      <formula1>"I, O, M, D, N"</formula1>
    </dataValidation>
    <dataValidation type="list" allowBlank="1" showInputMessage="1" showErrorMessage="1" sqref="G1511">
      <formula1>"Y, N"</formula1>
    </dataValidation>
    <dataValidation type="list" allowBlank="1" showInputMessage="1" showErrorMessage="1" sqref="D1512">
      <formula1>FDDValList</formula1>
    </dataValidation>
    <dataValidation type="list" allowBlank="1" showInputMessage="1" showErrorMessage="1" sqref="F1512">
      <formula1>"I, O, M, D, N"</formula1>
    </dataValidation>
    <dataValidation type="list" allowBlank="1" showInputMessage="1" showErrorMessage="1" sqref="G1512">
      <formula1>"Y, N"</formula1>
    </dataValidation>
    <dataValidation type="list" allowBlank="1" showInputMessage="1" showErrorMessage="1" sqref="D1513">
      <formula1>FDDValList</formula1>
    </dataValidation>
    <dataValidation type="list" allowBlank="1" showInputMessage="1" showErrorMessage="1" sqref="F1513">
      <formula1>"I, O, M, D, N"</formula1>
    </dataValidation>
    <dataValidation type="list" allowBlank="1" showInputMessage="1" showErrorMessage="1" sqref="G1513">
      <formula1>"Y, N"</formula1>
    </dataValidation>
    <dataValidation type="list" allowBlank="1" showInputMessage="1" showErrorMessage="1" sqref="D1514">
      <formula1>FDDValList</formula1>
    </dataValidation>
    <dataValidation type="list" allowBlank="1" showInputMessage="1" showErrorMessage="1" sqref="F1514">
      <formula1>"I, O, M, D, N"</formula1>
    </dataValidation>
    <dataValidation type="list" allowBlank="1" showInputMessage="1" showErrorMessage="1" sqref="G1514">
      <formula1>"Y, N"</formula1>
    </dataValidation>
    <dataValidation type="list" allowBlank="1" showInputMessage="1" showErrorMessage="1" sqref="D1515">
      <formula1>FDDValList</formula1>
    </dataValidation>
    <dataValidation type="list" allowBlank="1" showInputMessage="1" showErrorMessage="1" sqref="F1515">
      <formula1>"I, O, M, D, N"</formula1>
    </dataValidation>
    <dataValidation type="list" allowBlank="1" showInputMessage="1" showErrorMessage="1" sqref="G1515">
      <formula1>"Y, N"</formula1>
    </dataValidation>
    <dataValidation type="list" allowBlank="1" showInputMessage="1" showErrorMessage="1" sqref="D1516">
      <formula1>FDDValList</formula1>
    </dataValidation>
    <dataValidation type="list" allowBlank="1" showInputMessage="1" showErrorMessage="1" sqref="F1516">
      <formula1>"I, O, M, D, N"</formula1>
    </dataValidation>
    <dataValidation type="list" allowBlank="1" showInputMessage="1" showErrorMessage="1" sqref="G1516">
      <formula1>"Y, N"</formula1>
    </dataValidation>
    <dataValidation type="list" allowBlank="1" showInputMessage="1" showErrorMessage="1" sqref="D1517">
      <formula1>FDDValList</formula1>
    </dataValidation>
    <dataValidation type="list" allowBlank="1" showInputMessage="1" showErrorMessage="1" sqref="F1517">
      <formula1>"I, O, M, D, N"</formula1>
    </dataValidation>
    <dataValidation type="list" allowBlank="1" showInputMessage="1" showErrorMessage="1" sqref="G1517">
      <formula1>"Y, N"</formula1>
    </dataValidation>
    <dataValidation type="list" allowBlank="1" showInputMessage="1" showErrorMessage="1" sqref="D1518">
      <formula1>FDDValList</formula1>
    </dataValidation>
    <dataValidation type="list" allowBlank="1" showInputMessage="1" showErrorMessage="1" sqref="F1518">
      <formula1>"I, O, M, D, N"</formula1>
    </dataValidation>
    <dataValidation type="list" allowBlank="1" showInputMessage="1" showErrorMessage="1" sqref="G1518">
      <formula1>"Y, N"</formula1>
    </dataValidation>
    <dataValidation type="list" allowBlank="1" showInputMessage="1" showErrorMessage="1" sqref="D1519">
      <formula1>FDDValList</formula1>
    </dataValidation>
    <dataValidation type="list" allowBlank="1" showInputMessage="1" showErrorMessage="1" sqref="F1519">
      <formula1>"I, O, M, D, N"</formula1>
    </dataValidation>
    <dataValidation type="list" allowBlank="1" showInputMessage="1" showErrorMessage="1" sqref="G1519">
      <formula1>"Y, N"</formula1>
    </dataValidation>
    <dataValidation type="list" allowBlank="1" showInputMessage="1" showErrorMessage="1" sqref="D1520">
      <formula1>FDDValList</formula1>
    </dataValidation>
    <dataValidation type="list" allowBlank="1" showInputMessage="1" showErrorMessage="1" sqref="F1520">
      <formula1>"I, O, M, D, N"</formula1>
    </dataValidation>
    <dataValidation type="list" allowBlank="1" showInputMessage="1" showErrorMessage="1" sqref="G1520">
      <formula1>"Y, N"</formula1>
    </dataValidation>
    <dataValidation type="list" allowBlank="1" showInputMessage="1" showErrorMessage="1" sqref="D1521">
      <formula1>FDDValList</formula1>
    </dataValidation>
    <dataValidation type="list" allowBlank="1" showInputMessage="1" showErrorMessage="1" sqref="F1521">
      <formula1>"I, O, M, D, N"</formula1>
    </dataValidation>
    <dataValidation type="list" allowBlank="1" showInputMessage="1" showErrorMessage="1" sqref="G1521">
      <formula1>"Y, N"</formula1>
    </dataValidation>
    <dataValidation type="list" allowBlank="1" showInputMessage="1" showErrorMessage="1" sqref="D1522">
      <formula1>FDDValList</formula1>
    </dataValidation>
    <dataValidation type="list" allowBlank="1" showInputMessage="1" showErrorMessage="1" sqref="F1522">
      <formula1>"I, O, M, D, N"</formula1>
    </dataValidation>
    <dataValidation type="list" allowBlank="1" showInputMessage="1" showErrorMessage="1" sqref="G1522">
      <formula1>"Y, N"</formula1>
    </dataValidation>
    <dataValidation type="list" allowBlank="1" showInputMessage="1" showErrorMessage="1" sqref="D1523">
      <formula1>FDDValList</formula1>
    </dataValidation>
    <dataValidation type="list" allowBlank="1" showInputMessage="1" showErrorMessage="1" sqref="F1523">
      <formula1>"I, O, M, D, N"</formula1>
    </dataValidation>
    <dataValidation type="list" allowBlank="1" showInputMessage="1" showErrorMessage="1" sqref="G1523">
      <formula1>"Y, N"</formula1>
    </dataValidation>
    <dataValidation type="list" allowBlank="1" showInputMessage="1" showErrorMessage="1" sqref="D1524">
      <formula1>FDDValList</formula1>
    </dataValidation>
    <dataValidation type="list" allowBlank="1" showInputMessage="1" showErrorMessage="1" sqref="F1524">
      <formula1>"I, O, M, D, N"</formula1>
    </dataValidation>
    <dataValidation type="list" allowBlank="1" showInputMessage="1" showErrorMessage="1" sqref="G1524">
      <formula1>"Y, N"</formula1>
    </dataValidation>
    <dataValidation type="list" allowBlank="1" showInputMessage="1" showErrorMessage="1" sqref="D1525">
      <formula1>FDDValList</formula1>
    </dataValidation>
    <dataValidation type="list" allowBlank="1" showInputMessage="1" showErrorMessage="1" sqref="F1525">
      <formula1>"I, O, M, D, N"</formula1>
    </dataValidation>
    <dataValidation type="list" allowBlank="1" showInputMessage="1" showErrorMessage="1" sqref="G1525">
      <formula1>"Y, N"</formula1>
    </dataValidation>
    <dataValidation type="list" allowBlank="1" showInputMessage="1" showErrorMessage="1" sqref="D1526">
      <formula1>FDDValList</formula1>
    </dataValidation>
    <dataValidation type="list" allowBlank="1" showInputMessage="1" showErrorMessage="1" sqref="F1526">
      <formula1>"I, O, M, D, N"</formula1>
    </dataValidation>
    <dataValidation type="list" allowBlank="1" showInputMessage="1" showErrorMessage="1" sqref="G1526">
      <formula1>"Y, N"</formula1>
    </dataValidation>
    <dataValidation type="list" allowBlank="1" showInputMessage="1" showErrorMessage="1" sqref="D1527">
      <formula1>FDDValList</formula1>
    </dataValidation>
    <dataValidation type="list" allowBlank="1" showInputMessage="1" showErrorMessage="1" sqref="F1527">
      <formula1>"I, O, M, D, N"</formula1>
    </dataValidation>
    <dataValidation type="list" allowBlank="1" showInputMessage="1" showErrorMessage="1" sqref="G1527">
      <formula1>"Y, N"</formula1>
    </dataValidation>
    <dataValidation type="list" allowBlank="1" showInputMessage="1" showErrorMessage="1" sqref="D1528">
      <formula1>FDDValList</formula1>
    </dataValidation>
    <dataValidation type="list" allowBlank="1" showInputMessage="1" showErrorMessage="1" sqref="F1528">
      <formula1>"I, O, M, D, N"</formula1>
    </dataValidation>
    <dataValidation type="list" allowBlank="1" showInputMessage="1" showErrorMessage="1" sqref="G1528">
      <formula1>"Y, N"</formula1>
    </dataValidation>
    <dataValidation type="list" allowBlank="1" showInputMessage="1" showErrorMessage="1" sqref="D1529">
      <formula1>FDDValList</formula1>
    </dataValidation>
    <dataValidation type="list" allowBlank="1" showInputMessage="1" showErrorMessage="1" sqref="F1529">
      <formula1>"I, O, M, D, N"</formula1>
    </dataValidation>
    <dataValidation type="list" allowBlank="1" showInputMessage="1" showErrorMessage="1" sqref="G1529">
      <formula1>"Y, N"</formula1>
    </dataValidation>
    <dataValidation type="list" allowBlank="1" showInputMessage="1" showErrorMessage="1" sqref="D1530">
      <formula1>FDDValList</formula1>
    </dataValidation>
    <dataValidation type="list" allowBlank="1" showInputMessage="1" showErrorMessage="1" sqref="F1530">
      <formula1>"I, O, M, D, N"</formula1>
    </dataValidation>
    <dataValidation type="list" allowBlank="1" showInputMessage="1" showErrorMessage="1" sqref="G1530">
      <formula1>"Y, N"</formula1>
    </dataValidation>
    <dataValidation type="list" allowBlank="1" showInputMessage="1" showErrorMessage="1" sqref="D1531">
      <formula1>FDDValList</formula1>
    </dataValidation>
    <dataValidation type="list" allowBlank="1" showInputMessage="1" showErrorMessage="1" sqref="F1531">
      <formula1>"I, O, M, D, N"</formula1>
    </dataValidation>
    <dataValidation type="list" allowBlank="1" showInputMessage="1" showErrorMessage="1" sqref="G1531">
      <formula1>"Y, N"</formula1>
    </dataValidation>
    <dataValidation type="list" allowBlank="1" showInputMessage="1" showErrorMessage="1" sqref="D1532">
      <formula1>FDDValList</formula1>
    </dataValidation>
    <dataValidation type="list" allowBlank="1" showInputMessage="1" showErrorMessage="1" sqref="F1532">
      <formula1>"I, O, M, D, N"</formula1>
    </dataValidation>
    <dataValidation type="list" allowBlank="1" showInputMessage="1" showErrorMessage="1" sqref="G1532">
      <formula1>"Y, N"</formula1>
    </dataValidation>
    <dataValidation type="list" allowBlank="1" showInputMessage="1" showErrorMessage="1" sqref="D1533">
      <formula1>FDDValList</formula1>
    </dataValidation>
    <dataValidation type="list" allowBlank="1" showInputMessage="1" showErrorMessage="1" sqref="F1533">
      <formula1>"I, O, M, D, N"</formula1>
    </dataValidation>
    <dataValidation type="list" allowBlank="1" showInputMessage="1" showErrorMessage="1" sqref="G1533">
      <formula1>"Y, N"</formula1>
    </dataValidation>
    <dataValidation type="list" allowBlank="1" showInputMessage="1" showErrorMessage="1" sqref="D1534">
      <formula1>FDDValList</formula1>
    </dataValidation>
    <dataValidation type="list" allowBlank="1" showInputMessage="1" showErrorMessage="1" sqref="F1534">
      <formula1>"I, O, M, D, N"</formula1>
    </dataValidation>
    <dataValidation type="list" allowBlank="1" showInputMessage="1" showErrorMessage="1" sqref="G1534">
      <formula1>"Y, N"</formula1>
    </dataValidation>
    <dataValidation type="list" allowBlank="1" showInputMessage="1" showErrorMessage="1" sqref="D1535">
      <formula1>FDDValList</formula1>
    </dataValidation>
    <dataValidation type="list" allowBlank="1" showInputMessage="1" showErrorMessage="1" sqref="F1535">
      <formula1>"I, O, M, D, N"</formula1>
    </dataValidation>
    <dataValidation type="list" allowBlank="1" showInputMessage="1" showErrorMessage="1" sqref="G1535">
      <formula1>"Y, N"</formula1>
    </dataValidation>
    <dataValidation type="list" allowBlank="1" showInputMessage="1" showErrorMessage="1" sqref="D1536">
      <formula1>FDDValList</formula1>
    </dataValidation>
    <dataValidation type="list" allowBlank="1" showInputMessage="1" showErrorMessage="1" sqref="F1536">
      <formula1>"I, O, M, D, N"</formula1>
    </dataValidation>
    <dataValidation type="list" allowBlank="1" showInputMessage="1" showErrorMessage="1" sqref="G1536">
      <formula1>"Y, N"</formula1>
    </dataValidation>
    <dataValidation type="list" allowBlank="1" showInputMessage="1" showErrorMessage="1" sqref="D1537">
      <formula1>FDDValList</formula1>
    </dataValidation>
    <dataValidation type="list" allowBlank="1" showInputMessage="1" showErrorMessage="1" sqref="F1537">
      <formula1>"I, O, M, D, N"</formula1>
    </dataValidation>
    <dataValidation type="list" allowBlank="1" showInputMessage="1" showErrorMessage="1" sqref="G1537">
      <formula1>"Y, N"</formula1>
    </dataValidation>
    <dataValidation type="list" allowBlank="1" showInputMessage="1" showErrorMessage="1" sqref="D1538">
      <formula1>FDDValList</formula1>
    </dataValidation>
    <dataValidation type="list" allowBlank="1" showInputMessage="1" showErrorMessage="1" sqref="F1538">
      <formula1>"I, O, M, D, N"</formula1>
    </dataValidation>
    <dataValidation type="list" allowBlank="1" showInputMessage="1" showErrorMessage="1" sqref="G1538">
      <formula1>"Y, N"</formula1>
    </dataValidation>
    <dataValidation type="list" allowBlank="1" showInputMessage="1" showErrorMessage="1" sqref="D1539">
      <formula1>FDDValList</formula1>
    </dataValidation>
    <dataValidation type="list" allowBlank="1" showInputMessage="1" showErrorMessage="1" sqref="F1539">
      <formula1>"I, O, M, D, N"</formula1>
    </dataValidation>
    <dataValidation type="list" allowBlank="1" showInputMessage="1" showErrorMessage="1" sqref="G1539">
      <formula1>"Y, N"</formula1>
    </dataValidation>
    <dataValidation type="list" allowBlank="1" showInputMessage="1" showErrorMessage="1" sqref="D1540">
      <formula1>FDDValList</formula1>
    </dataValidation>
    <dataValidation type="list" allowBlank="1" showInputMessage="1" showErrorMessage="1" sqref="F1540">
      <formula1>"I, O, M, D, N"</formula1>
    </dataValidation>
    <dataValidation type="list" allowBlank="1" showInputMessage="1" showErrorMessage="1" sqref="G1540">
      <formula1>"Y, N"</formula1>
    </dataValidation>
    <dataValidation type="list" allowBlank="1" showInputMessage="1" showErrorMessage="1" sqref="D1541">
      <formula1>FDDValList</formula1>
    </dataValidation>
    <dataValidation type="list" allowBlank="1" showInputMessage="1" showErrorMessage="1" sqref="F1541">
      <formula1>"I, O, M, D, N"</formula1>
    </dataValidation>
    <dataValidation type="list" allowBlank="1" showInputMessage="1" showErrorMessage="1" sqref="G1541">
      <formula1>"Y, N"</formula1>
    </dataValidation>
    <dataValidation type="list" allowBlank="1" showInputMessage="1" showErrorMessage="1" sqref="D1542">
      <formula1>FDDValList</formula1>
    </dataValidation>
    <dataValidation type="list" allowBlank="1" showInputMessage="1" showErrorMessage="1" sqref="F1542">
      <formula1>"I, O, M, D, N"</formula1>
    </dataValidation>
    <dataValidation type="list" allowBlank="1" showInputMessage="1" showErrorMessage="1" sqref="G1542">
      <formula1>"Y, N"</formula1>
    </dataValidation>
    <dataValidation type="list" allowBlank="1" showInputMessage="1" showErrorMessage="1" sqref="D1543">
      <formula1>FDDValList</formula1>
    </dataValidation>
    <dataValidation type="list" allowBlank="1" showInputMessage="1" showErrorMessage="1" sqref="F1543">
      <formula1>"I, O, M, D, N"</formula1>
    </dataValidation>
    <dataValidation type="list" allowBlank="1" showInputMessage="1" showErrorMessage="1" sqref="G1543">
      <formula1>"Y, N"</formula1>
    </dataValidation>
    <dataValidation type="list" allowBlank="1" showInputMessage="1" showErrorMessage="1" sqref="D1544">
      <formula1>FDDValList</formula1>
    </dataValidation>
    <dataValidation type="list" allowBlank="1" showInputMessage="1" showErrorMessage="1" sqref="F1544">
      <formula1>"I, O, M, D, N"</formula1>
    </dataValidation>
    <dataValidation type="list" allowBlank="1" showInputMessage="1" showErrorMessage="1" sqref="G1544">
      <formula1>"Y, N"</formula1>
    </dataValidation>
    <dataValidation type="list" allowBlank="1" showInputMessage="1" showErrorMessage="1" sqref="D1545">
      <formula1>FDDValList</formula1>
    </dataValidation>
    <dataValidation type="list" allowBlank="1" showInputMessage="1" showErrorMessage="1" sqref="F1545">
      <formula1>"I, O, M, D, N"</formula1>
    </dataValidation>
    <dataValidation type="list" allowBlank="1" showInputMessage="1" showErrorMessage="1" sqref="G1545">
      <formula1>"Y, N"</formula1>
    </dataValidation>
    <dataValidation type="list" allowBlank="1" showInputMessage="1" showErrorMessage="1" sqref="D1546">
      <formula1>FDDValList</formula1>
    </dataValidation>
    <dataValidation type="list" allowBlank="1" showInputMessage="1" showErrorMessage="1" sqref="F1546">
      <formula1>"I, O, M, D, N"</formula1>
    </dataValidation>
    <dataValidation type="list" allowBlank="1" showInputMessage="1" showErrorMessage="1" sqref="G1546">
      <formula1>"Y, N"</formula1>
    </dataValidation>
    <dataValidation type="list" allowBlank="1" showInputMessage="1" showErrorMessage="1" sqref="D1547">
      <formula1>FDDValList</formula1>
    </dataValidation>
    <dataValidation type="list" allowBlank="1" showInputMessage="1" showErrorMessage="1" sqref="F1547">
      <formula1>"I, O, M, D, N"</formula1>
    </dataValidation>
    <dataValidation type="list" allowBlank="1" showInputMessage="1" showErrorMessage="1" sqref="G1547">
      <formula1>"Y, N"</formula1>
    </dataValidation>
    <dataValidation type="list" allowBlank="1" showInputMessage="1" showErrorMessage="1" sqref="D1548">
      <formula1>FDDValList</formula1>
    </dataValidation>
    <dataValidation type="list" allowBlank="1" showInputMessage="1" showErrorMessage="1" sqref="F1548">
      <formula1>"I, O, M, D, N"</formula1>
    </dataValidation>
    <dataValidation type="list" allowBlank="1" showInputMessage="1" showErrorMessage="1" sqref="G1548">
      <formula1>"Y, N"</formula1>
    </dataValidation>
    <dataValidation type="list" allowBlank="1" showInputMessage="1" showErrorMessage="1" sqref="D1549">
      <formula1>FDDValList</formula1>
    </dataValidation>
    <dataValidation type="list" allowBlank="1" showInputMessage="1" showErrorMessage="1" sqref="F1549">
      <formula1>"I, O, M, D, N"</formula1>
    </dataValidation>
    <dataValidation type="list" allowBlank="1" showInputMessage="1" showErrorMessage="1" sqref="G1549">
      <formula1>"Y, N"</formula1>
    </dataValidation>
    <dataValidation type="list" allowBlank="1" showInputMessage="1" showErrorMessage="1" sqref="D1550">
      <formula1>FDDValList</formula1>
    </dataValidation>
    <dataValidation type="list" allowBlank="1" showInputMessage="1" showErrorMessage="1" sqref="F1550">
      <formula1>"I, O, M, D, N"</formula1>
    </dataValidation>
    <dataValidation type="list" allowBlank="1" showInputMessage="1" showErrorMessage="1" sqref="G1550">
      <formula1>"Y, N"</formula1>
    </dataValidation>
    <dataValidation type="list" allowBlank="1" showInputMessage="1" showErrorMessage="1" sqref="D1551">
      <formula1>FDDValList</formula1>
    </dataValidation>
    <dataValidation type="list" allowBlank="1" showInputMessage="1" showErrorMessage="1" sqref="F1551">
      <formula1>"I, O, M, D, N"</formula1>
    </dataValidation>
    <dataValidation type="list" allowBlank="1" showInputMessage="1" showErrorMessage="1" sqref="G1551">
      <formula1>"Y, N"</formula1>
    </dataValidation>
    <dataValidation type="list" allowBlank="1" showInputMessage="1" showErrorMessage="1" sqref="D1552">
      <formula1>FDDValList</formula1>
    </dataValidation>
    <dataValidation type="list" allowBlank="1" showInputMessage="1" showErrorMessage="1" sqref="F1552">
      <formula1>"I, O, M, D, N"</formula1>
    </dataValidation>
    <dataValidation type="list" allowBlank="1" showInputMessage="1" showErrorMessage="1" sqref="G1552">
      <formula1>"Y, N"</formula1>
    </dataValidation>
    <dataValidation type="list" allowBlank="1" showInputMessage="1" showErrorMessage="1" sqref="D1553">
      <formula1>FDDValList</formula1>
    </dataValidation>
    <dataValidation type="list" allowBlank="1" showInputMessage="1" showErrorMessage="1" sqref="F1553">
      <formula1>"I, O, M, D, N"</formula1>
    </dataValidation>
    <dataValidation type="list" allowBlank="1" showInputMessage="1" showErrorMessage="1" sqref="G1553">
      <formula1>"Y, N"</formula1>
    </dataValidation>
    <dataValidation type="list" allowBlank="1" showInputMessage="1" showErrorMessage="1" sqref="D1554">
      <formula1>FDDValList</formula1>
    </dataValidation>
    <dataValidation type="list" allowBlank="1" showInputMessage="1" showErrorMessage="1" sqref="F1554">
      <formula1>"I, O, M, D, N"</formula1>
    </dataValidation>
    <dataValidation type="list" allowBlank="1" showInputMessage="1" showErrorMessage="1" sqref="G1554">
      <formula1>"Y, N"</formula1>
    </dataValidation>
    <dataValidation type="list" allowBlank="1" showInputMessage="1" showErrorMessage="1" sqref="D1555">
      <formula1>FDDValList</formula1>
    </dataValidation>
    <dataValidation type="list" allowBlank="1" showInputMessage="1" showErrorMessage="1" sqref="F1555">
      <formula1>"I, O, M, D, N"</formula1>
    </dataValidation>
    <dataValidation type="list" allowBlank="1" showInputMessage="1" showErrorMessage="1" sqref="G1555">
      <formula1>"Y, N"</formula1>
    </dataValidation>
    <dataValidation type="list" allowBlank="1" showInputMessage="1" showErrorMessage="1" sqref="D1556">
      <formula1>FDDValList</formula1>
    </dataValidation>
    <dataValidation type="list" allowBlank="1" showInputMessage="1" showErrorMessage="1" sqref="F1556">
      <formula1>"I, O, M, D, N"</formula1>
    </dataValidation>
    <dataValidation type="list" allowBlank="1" showInputMessage="1" showErrorMessage="1" sqref="G1556">
      <formula1>"Y, N"</formula1>
    </dataValidation>
    <dataValidation type="list" allowBlank="1" showInputMessage="1" showErrorMessage="1" sqref="D1557">
      <formula1>FDDValList</formula1>
    </dataValidation>
    <dataValidation type="list" allowBlank="1" showInputMessage="1" showErrorMessage="1" sqref="F1557">
      <formula1>"I, O, M, D, N"</formula1>
    </dataValidation>
    <dataValidation type="list" allowBlank="1" showInputMessage="1" showErrorMessage="1" sqref="G1557">
      <formula1>"Y, N"</formula1>
    </dataValidation>
    <dataValidation type="list" allowBlank="1" showInputMessage="1" showErrorMessage="1" sqref="D1558">
      <formula1>FDDValList</formula1>
    </dataValidation>
    <dataValidation type="list" allowBlank="1" showInputMessage="1" showErrorMessage="1" sqref="F1558">
      <formula1>"I, O, M, D, N"</formula1>
    </dataValidation>
    <dataValidation type="list" allowBlank="1" showInputMessage="1" showErrorMessage="1" sqref="G1558">
      <formula1>"Y, N"</formula1>
    </dataValidation>
    <dataValidation type="list" allowBlank="1" showInputMessage="1" showErrorMessage="1" sqref="D1559">
      <formula1>FDDValList</formula1>
    </dataValidation>
    <dataValidation type="list" allowBlank="1" showInputMessage="1" showErrorMessage="1" sqref="F1559">
      <formula1>"I, O, M, D, N"</formula1>
    </dataValidation>
    <dataValidation type="list" allowBlank="1" showInputMessage="1" showErrorMessage="1" sqref="G1559">
      <formula1>"Y, N"</formula1>
    </dataValidation>
    <dataValidation type="list" allowBlank="1" showInputMessage="1" showErrorMessage="1" sqref="D1560">
      <formula1>FDDValList</formula1>
    </dataValidation>
    <dataValidation type="list" allowBlank="1" showInputMessage="1" showErrorMessage="1" sqref="F1560">
      <formula1>"I, O, M, D, N"</formula1>
    </dataValidation>
    <dataValidation type="list" allowBlank="1" showInputMessage="1" showErrorMessage="1" sqref="G1560">
      <formula1>"Y, N"</formula1>
    </dataValidation>
    <dataValidation type="list" allowBlank="1" showInputMessage="1" showErrorMessage="1" sqref="D1561">
      <formula1>FDDValList</formula1>
    </dataValidation>
    <dataValidation type="list" allowBlank="1" showInputMessage="1" showErrorMessage="1" sqref="F1561">
      <formula1>"I, O, M, D, N"</formula1>
    </dataValidation>
    <dataValidation type="list" allowBlank="1" showInputMessage="1" showErrorMessage="1" sqref="G1561">
      <formula1>"Y, N"</formula1>
    </dataValidation>
    <dataValidation type="list" allowBlank="1" showInputMessage="1" showErrorMessage="1" sqref="D1562">
      <formula1>FDDValList</formula1>
    </dataValidation>
    <dataValidation type="list" allowBlank="1" showInputMessage="1" showErrorMessage="1" sqref="F1562">
      <formula1>"I, O, M, D, N"</formula1>
    </dataValidation>
    <dataValidation type="list" allowBlank="1" showInputMessage="1" showErrorMessage="1" sqref="G1562">
      <formula1>"Y, N"</formula1>
    </dataValidation>
    <dataValidation type="list" allowBlank="1" showInputMessage="1" showErrorMessage="1" sqref="D1563">
      <formula1>FDDValList</formula1>
    </dataValidation>
    <dataValidation type="list" allowBlank="1" showInputMessage="1" showErrorMessage="1" sqref="F1563">
      <formula1>"I, O, M, D, N"</formula1>
    </dataValidation>
    <dataValidation type="list" allowBlank="1" showInputMessage="1" showErrorMessage="1" sqref="G1563">
      <formula1>"Y, N"</formula1>
    </dataValidation>
    <dataValidation type="list" allowBlank="1" showInputMessage="1" showErrorMessage="1" sqref="D1564">
      <formula1>FDDValList</formula1>
    </dataValidation>
    <dataValidation type="list" allowBlank="1" showInputMessage="1" showErrorMessage="1" sqref="F1564">
      <formula1>"I, O, M, D, N"</formula1>
    </dataValidation>
    <dataValidation type="list" allowBlank="1" showInputMessage="1" showErrorMessage="1" sqref="G1564">
      <formula1>"Y, N"</formula1>
    </dataValidation>
    <dataValidation type="list" allowBlank="1" showInputMessage="1" showErrorMessage="1" sqref="D1565">
      <formula1>FDDValList</formula1>
    </dataValidation>
    <dataValidation type="list" allowBlank="1" showInputMessage="1" showErrorMessage="1" sqref="F1565">
      <formula1>"I, O, M, D, N"</formula1>
    </dataValidation>
    <dataValidation type="list" allowBlank="1" showInputMessage="1" showErrorMessage="1" sqref="G1565">
      <formula1>"Y, N"</formula1>
    </dataValidation>
    <dataValidation type="list" allowBlank="1" showInputMessage="1" showErrorMessage="1" sqref="D1566">
      <formula1>FDDValList</formula1>
    </dataValidation>
    <dataValidation type="list" allowBlank="1" showInputMessage="1" showErrorMessage="1" sqref="F1566">
      <formula1>"I, O, M, D, N"</formula1>
    </dataValidation>
    <dataValidation type="list" allowBlank="1" showInputMessage="1" showErrorMessage="1" sqref="G1566">
      <formula1>"Y, N"</formula1>
    </dataValidation>
    <dataValidation type="list" allowBlank="1" showInputMessage="1" showErrorMessage="1" sqref="D1567">
      <formula1>FDDValList</formula1>
    </dataValidation>
    <dataValidation type="list" allowBlank="1" showInputMessage="1" showErrorMessage="1" sqref="F1567">
      <formula1>"I, O, M, D, N"</formula1>
    </dataValidation>
    <dataValidation type="list" allowBlank="1" showInputMessage="1" showErrorMessage="1" sqref="G1567">
      <formula1>"Y, N"</formula1>
    </dataValidation>
    <dataValidation type="list" allowBlank="1" showInputMessage="1" showErrorMessage="1" sqref="D1568">
      <formula1>FDDValList</formula1>
    </dataValidation>
    <dataValidation type="list" allowBlank="1" showInputMessage="1" showErrorMessage="1" sqref="F1568">
      <formula1>"I, O, M, D, N"</formula1>
    </dataValidation>
    <dataValidation type="list" allowBlank="1" showInputMessage="1" showErrorMessage="1" sqref="G1568">
      <formula1>"Y, N"</formula1>
    </dataValidation>
    <dataValidation type="list" allowBlank="1" showInputMessage="1" showErrorMessage="1" sqref="D1569">
      <formula1>FDDValList</formula1>
    </dataValidation>
    <dataValidation type="list" allowBlank="1" showInputMessage="1" showErrorMessage="1" sqref="F1569">
      <formula1>"I, O, M, D, N"</formula1>
    </dataValidation>
    <dataValidation type="list" allowBlank="1" showInputMessage="1" showErrorMessage="1" sqref="G1569">
      <formula1>"Y, N"</formula1>
    </dataValidation>
    <dataValidation type="list" allowBlank="1" showInputMessage="1" showErrorMessage="1" sqref="D1570">
      <formula1>FDDValList</formula1>
    </dataValidation>
    <dataValidation type="list" allowBlank="1" showInputMessage="1" showErrorMessage="1" sqref="F1570">
      <formula1>"I, O, M, D, N"</formula1>
    </dataValidation>
    <dataValidation type="list" allowBlank="1" showInputMessage="1" showErrorMessage="1" sqref="G1570">
      <formula1>"Y, N"</formula1>
    </dataValidation>
    <dataValidation type="list" allowBlank="1" showInputMessage="1" showErrorMessage="1" sqref="D1571">
      <formula1>FDDValList</formula1>
    </dataValidation>
    <dataValidation type="list" allowBlank="1" showInputMessage="1" showErrorMessage="1" sqref="F1571">
      <formula1>"I, O, M, D, N"</formula1>
    </dataValidation>
    <dataValidation type="list" allowBlank="1" showInputMessage="1" showErrorMessage="1" sqref="G1571">
      <formula1>"Y, N"</formula1>
    </dataValidation>
    <dataValidation type="list" allowBlank="1" showInputMessage="1" showErrorMessage="1" sqref="D1572">
      <formula1>FDDValList</formula1>
    </dataValidation>
    <dataValidation type="list" allowBlank="1" showInputMessage="1" showErrorMessage="1" sqref="F1572">
      <formula1>"I, O, M, D, N"</formula1>
    </dataValidation>
    <dataValidation type="list" allowBlank="1" showInputMessage="1" showErrorMessage="1" sqref="G1572">
      <formula1>"Y, N"</formula1>
    </dataValidation>
    <dataValidation type="list" allowBlank="1" showInputMessage="1" showErrorMessage="1" sqref="D1573">
      <formula1>FDDValList</formula1>
    </dataValidation>
    <dataValidation type="list" allowBlank="1" showInputMessage="1" showErrorMessage="1" sqref="F1573">
      <formula1>"I, O, M, D, N"</formula1>
    </dataValidation>
    <dataValidation type="list" allowBlank="1" showInputMessage="1" showErrorMessage="1" sqref="G1573">
      <formula1>"Y, N"</formula1>
    </dataValidation>
    <dataValidation type="list" allowBlank="1" showInputMessage="1" showErrorMessage="1" sqref="D1574">
      <formula1>FDDValList</formula1>
    </dataValidation>
    <dataValidation type="list" allowBlank="1" showInputMessage="1" showErrorMessage="1" sqref="F1574">
      <formula1>"I, O, M, D, N"</formula1>
    </dataValidation>
    <dataValidation type="list" allowBlank="1" showInputMessage="1" showErrorMessage="1" sqref="G1574">
      <formula1>"Y, N"</formula1>
    </dataValidation>
    <dataValidation type="list" allowBlank="1" showInputMessage="1" showErrorMessage="1" sqref="D1575">
      <formula1>FDDValList</formula1>
    </dataValidation>
    <dataValidation type="list" allowBlank="1" showInputMessage="1" showErrorMessage="1" sqref="F1575">
      <formula1>"I, O, M, D, N"</formula1>
    </dataValidation>
    <dataValidation type="list" allowBlank="1" showInputMessage="1" showErrorMessage="1" sqref="G1575">
      <formula1>"Y, N"</formula1>
    </dataValidation>
    <dataValidation type="list" allowBlank="1" showInputMessage="1" showErrorMessage="1" sqref="D1576">
      <formula1>FDDValList</formula1>
    </dataValidation>
    <dataValidation type="list" allowBlank="1" showInputMessage="1" showErrorMessage="1" sqref="F1576">
      <formula1>"I, O, M, D, N"</formula1>
    </dataValidation>
    <dataValidation type="list" allowBlank="1" showInputMessage="1" showErrorMessage="1" sqref="G1576">
      <formula1>"Y, N"</formula1>
    </dataValidation>
    <dataValidation type="list" allowBlank="1" showInputMessage="1" showErrorMessage="1" sqref="D1577">
      <formula1>FDDValList</formula1>
    </dataValidation>
    <dataValidation type="list" allowBlank="1" showInputMessage="1" showErrorMessage="1" sqref="F1577">
      <formula1>"I, O, M, D, N"</formula1>
    </dataValidation>
    <dataValidation type="list" allowBlank="1" showInputMessage="1" showErrorMessage="1" sqref="G1577">
      <formula1>"Y, N"</formula1>
    </dataValidation>
    <dataValidation type="list" allowBlank="1" showInputMessage="1" showErrorMessage="1" sqref="D1578">
      <formula1>FDDValList</formula1>
    </dataValidation>
    <dataValidation type="list" allowBlank="1" showInputMessage="1" showErrorMessage="1" sqref="F1578">
      <formula1>"I, O, M, D, N"</formula1>
    </dataValidation>
    <dataValidation type="list" allowBlank="1" showInputMessage="1" showErrorMessage="1" sqref="G1578">
      <formula1>"Y, N"</formula1>
    </dataValidation>
    <dataValidation type="list" allowBlank="1" showInputMessage="1" showErrorMessage="1" sqref="D1579">
      <formula1>FDDValList</formula1>
    </dataValidation>
    <dataValidation type="list" allowBlank="1" showInputMessage="1" showErrorMessage="1" sqref="F1579">
      <formula1>"I, O, M, D, N"</formula1>
    </dataValidation>
    <dataValidation type="list" allowBlank="1" showInputMessage="1" showErrorMessage="1" sqref="G1579">
      <formula1>"Y, N"</formula1>
    </dataValidation>
    <dataValidation type="list" allowBlank="1" showInputMessage="1" showErrorMessage="1" sqref="D1580">
      <formula1>FDDValList</formula1>
    </dataValidation>
    <dataValidation type="list" allowBlank="1" showInputMessage="1" showErrorMessage="1" sqref="F1580">
      <formula1>"I, O, M, D, N"</formula1>
    </dataValidation>
    <dataValidation type="list" allowBlank="1" showInputMessage="1" showErrorMessage="1" sqref="G1580">
      <formula1>"Y, N"</formula1>
    </dataValidation>
    <dataValidation type="list" allowBlank="1" showInputMessage="1" showErrorMessage="1" sqref="D1581">
      <formula1>FDDValList</formula1>
    </dataValidation>
    <dataValidation type="list" allowBlank="1" showInputMessage="1" showErrorMessage="1" sqref="F1581">
      <formula1>"I, O, M, D, N"</formula1>
    </dataValidation>
    <dataValidation type="list" allowBlank="1" showInputMessage="1" showErrorMessage="1" sqref="G1581">
      <formula1>"Y, N"</formula1>
    </dataValidation>
    <dataValidation type="list" allowBlank="1" showInputMessage="1" showErrorMessage="1" sqref="D1582">
      <formula1>FDDValList</formula1>
    </dataValidation>
    <dataValidation type="list" allowBlank="1" showInputMessage="1" showErrorMessage="1" sqref="F1582">
      <formula1>"I, O, M, D, N"</formula1>
    </dataValidation>
    <dataValidation type="list" allowBlank="1" showInputMessage="1" showErrorMessage="1" sqref="G1582">
      <formula1>"Y, N"</formula1>
    </dataValidation>
    <dataValidation type="list" allowBlank="1" showInputMessage="1" showErrorMessage="1" sqref="D1583">
      <formula1>FDDValList</formula1>
    </dataValidation>
    <dataValidation type="list" allowBlank="1" showInputMessage="1" showErrorMessage="1" sqref="F1583">
      <formula1>"I, O, M, D, N"</formula1>
    </dataValidation>
    <dataValidation type="list" allowBlank="1" showInputMessage="1" showErrorMessage="1" sqref="G1583">
      <formula1>"Y, N"</formula1>
    </dataValidation>
    <dataValidation type="list" allowBlank="1" showInputMessage="1" showErrorMessage="1" sqref="D1584">
      <formula1>FDDValList</formula1>
    </dataValidation>
    <dataValidation type="list" allowBlank="1" showInputMessage="1" showErrorMessage="1" sqref="F1584">
      <formula1>"I, O, M, D, N"</formula1>
    </dataValidation>
    <dataValidation type="list" allowBlank="1" showInputMessage="1" showErrorMessage="1" sqref="G1584">
      <formula1>"Y, N"</formula1>
    </dataValidation>
    <dataValidation type="list" allowBlank="1" showInputMessage="1" showErrorMessage="1" sqref="D1585">
      <formula1>FDDValList</formula1>
    </dataValidation>
    <dataValidation type="list" allowBlank="1" showInputMessage="1" showErrorMessage="1" sqref="F1585">
      <formula1>"I, O, M, D, N"</formula1>
    </dataValidation>
    <dataValidation type="list" allowBlank="1" showInputMessage="1" showErrorMessage="1" sqref="G1585">
      <formula1>"Y, N"</formula1>
    </dataValidation>
    <dataValidation type="list" allowBlank="1" showInputMessage="1" showErrorMessage="1" sqref="D1586">
      <formula1>FDDValList</formula1>
    </dataValidation>
    <dataValidation type="list" allowBlank="1" showInputMessage="1" showErrorMessage="1" sqref="F1586">
      <formula1>"I, O, M, D, N"</formula1>
    </dataValidation>
    <dataValidation type="list" allowBlank="1" showInputMessage="1" showErrorMessage="1" sqref="G1586">
      <formula1>"Y, N"</formula1>
    </dataValidation>
    <dataValidation type="list" allowBlank="1" showInputMessage="1" showErrorMessage="1" sqref="D1587">
      <formula1>FDDValList</formula1>
    </dataValidation>
    <dataValidation type="list" allowBlank="1" showInputMessage="1" showErrorMessage="1" sqref="F1587">
      <formula1>"I, O, M, D, N"</formula1>
    </dataValidation>
    <dataValidation type="list" allowBlank="1" showInputMessage="1" showErrorMessage="1" sqref="G1587">
      <formula1>"Y, N"</formula1>
    </dataValidation>
    <dataValidation type="list" allowBlank="1" showInputMessage="1" showErrorMessage="1" sqref="D1588">
      <formula1>FDDValList</formula1>
    </dataValidation>
    <dataValidation type="list" allowBlank="1" showInputMessage="1" showErrorMessage="1" sqref="F1588">
      <formula1>"I, O, M, D, N"</formula1>
    </dataValidation>
    <dataValidation type="list" allowBlank="1" showInputMessage="1" showErrorMessage="1" sqref="G1588">
      <formula1>"Y, N"</formula1>
    </dataValidation>
    <dataValidation type="list" allowBlank="1" showInputMessage="1" showErrorMessage="1" sqref="D1589">
      <formula1>FDDValList</formula1>
    </dataValidation>
    <dataValidation type="list" allowBlank="1" showInputMessage="1" showErrorMessage="1" sqref="F1589">
      <formula1>"I, O, M, D, N"</formula1>
    </dataValidation>
    <dataValidation type="list" allowBlank="1" showInputMessage="1" showErrorMessage="1" sqref="G1589">
      <formula1>"Y, N"</formula1>
    </dataValidation>
    <dataValidation type="list" allowBlank="1" showInputMessage="1" showErrorMessage="1" sqref="D1590">
      <formula1>FDDValList</formula1>
    </dataValidation>
    <dataValidation type="list" allowBlank="1" showInputMessage="1" showErrorMessage="1" sqref="F1590">
      <formula1>"I, O, M, D, N"</formula1>
    </dataValidation>
    <dataValidation type="list" allowBlank="1" showInputMessage="1" showErrorMessage="1" sqref="G1590">
      <formula1>"Y, N"</formula1>
    </dataValidation>
    <dataValidation type="list" allowBlank="1" showInputMessage="1" showErrorMessage="1" sqref="D1591">
      <formula1>FDDValList</formula1>
    </dataValidation>
    <dataValidation type="list" allowBlank="1" showInputMessage="1" showErrorMessage="1" sqref="F1591">
      <formula1>"I, O, M, D, N"</formula1>
    </dataValidation>
    <dataValidation type="list" allowBlank="1" showInputMessage="1" showErrorMessage="1" sqref="G1591">
      <formula1>"Y, N"</formula1>
    </dataValidation>
    <dataValidation type="list" allowBlank="1" showInputMessage="1" showErrorMessage="1" sqref="D1592">
      <formula1>FDDValList</formula1>
    </dataValidation>
    <dataValidation type="list" allowBlank="1" showInputMessage="1" showErrorMessage="1" sqref="F1592">
      <formula1>"I, O, M, D, N"</formula1>
    </dataValidation>
    <dataValidation type="list" allowBlank="1" showInputMessage="1" showErrorMessage="1" sqref="G1592">
      <formula1>"Y, N"</formula1>
    </dataValidation>
    <dataValidation type="list" allowBlank="1" showInputMessage="1" showErrorMessage="1" sqref="D1593">
      <formula1>FDDValList</formula1>
    </dataValidation>
    <dataValidation type="list" allowBlank="1" showInputMessage="1" showErrorMessage="1" sqref="F1593">
      <formula1>"I, O, M, D, N"</formula1>
    </dataValidation>
    <dataValidation type="list" allowBlank="1" showInputMessage="1" showErrorMessage="1" sqref="G1593">
      <formula1>"Y, N"</formula1>
    </dataValidation>
    <dataValidation type="list" allowBlank="1" showInputMessage="1" showErrorMessage="1" sqref="D1594">
      <formula1>FDDValList</formula1>
    </dataValidation>
    <dataValidation type="list" allowBlank="1" showInputMessage="1" showErrorMessage="1" sqref="F1594">
      <formula1>"I, O, M, D, N"</formula1>
    </dataValidation>
    <dataValidation type="list" allowBlank="1" showInputMessage="1" showErrorMessage="1" sqref="G1594">
      <formula1>"Y, N"</formula1>
    </dataValidation>
    <dataValidation type="list" allowBlank="1" showInputMessage="1" showErrorMessage="1" sqref="D1595">
      <formula1>FDDValList</formula1>
    </dataValidation>
    <dataValidation type="list" allowBlank="1" showInputMessage="1" showErrorMessage="1" sqref="F1595">
      <formula1>"I, O, M, D, N"</formula1>
    </dataValidation>
    <dataValidation type="list" allowBlank="1" showInputMessage="1" showErrorMessage="1" sqref="G1595">
      <formula1>"Y, N"</formula1>
    </dataValidation>
    <dataValidation type="list" allowBlank="1" showInputMessage="1" showErrorMessage="1" sqref="D1596">
      <formula1>FDDValList</formula1>
    </dataValidation>
    <dataValidation type="list" allowBlank="1" showInputMessage="1" showErrorMessage="1" sqref="F1596">
      <formula1>"I, O, M, D, N"</formula1>
    </dataValidation>
    <dataValidation type="list" allowBlank="1" showInputMessage="1" showErrorMessage="1" sqref="G1596">
      <formula1>"Y, N"</formula1>
    </dataValidation>
    <dataValidation type="list" allowBlank="1" showInputMessage="1" showErrorMessage="1" sqref="D1597">
      <formula1>FDDValList</formula1>
    </dataValidation>
    <dataValidation type="list" allowBlank="1" showInputMessage="1" showErrorMessage="1" sqref="F1597">
      <formula1>"I, O, M, D, N"</formula1>
    </dataValidation>
    <dataValidation type="list" allowBlank="1" showInputMessage="1" showErrorMessage="1" sqref="G1597">
      <formula1>"Y, N"</formula1>
    </dataValidation>
    <dataValidation type="list" allowBlank="1" showInputMessage="1" showErrorMessage="1" sqref="D1598">
      <formula1>FDDValList</formula1>
    </dataValidation>
    <dataValidation type="list" allowBlank="1" showInputMessage="1" showErrorMessage="1" sqref="F1598">
      <formula1>"I, O, M, D, N"</formula1>
    </dataValidation>
    <dataValidation type="list" allowBlank="1" showInputMessage="1" showErrorMessage="1" sqref="G1598">
      <formula1>"Y, N"</formula1>
    </dataValidation>
    <dataValidation type="list" allowBlank="1" showInputMessage="1" showErrorMessage="1" sqref="D1599">
      <formula1>FDDValList</formula1>
    </dataValidation>
    <dataValidation type="list" allowBlank="1" showInputMessage="1" showErrorMessage="1" sqref="F1599">
      <formula1>"I, O, M, D, N"</formula1>
    </dataValidation>
    <dataValidation type="list" allowBlank="1" showInputMessage="1" showErrorMessage="1" sqref="G1599">
      <formula1>"Y, N"</formula1>
    </dataValidation>
    <dataValidation type="list" allowBlank="1" showInputMessage="1" showErrorMessage="1" sqref="D1600">
      <formula1>FDDValList</formula1>
    </dataValidation>
    <dataValidation type="list" allowBlank="1" showInputMessage="1" showErrorMessage="1" sqref="F1600">
      <formula1>"I, O, M, D, N"</formula1>
    </dataValidation>
    <dataValidation type="list" allowBlank="1" showInputMessage="1" showErrorMessage="1" sqref="G1600">
      <formula1>"Y, N"</formula1>
    </dataValidation>
    <dataValidation type="list" allowBlank="1" showInputMessage="1" showErrorMessage="1" sqref="D1601">
      <formula1>FDDValList</formula1>
    </dataValidation>
    <dataValidation type="list" allowBlank="1" showInputMessage="1" showErrorMessage="1" sqref="F1601">
      <formula1>"I, O, M, D, N"</formula1>
    </dataValidation>
    <dataValidation type="list" allowBlank="1" showInputMessage="1" showErrorMessage="1" sqref="G1601">
      <formula1>"Y, N"</formula1>
    </dataValidation>
    <dataValidation type="list" allowBlank="1" showInputMessage="1" showErrorMessage="1" sqref="D1602">
      <formula1>FDDValList</formula1>
    </dataValidation>
    <dataValidation type="list" allowBlank="1" showInputMessage="1" showErrorMessage="1" sqref="F1602">
      <formula1>"I, O, M, D, N"</formula1>
    </dataValidation>
    <dataValidation type="list" allowBlank="1" showInputMessage="1" showErrorMessage="1" sqref="G1602">
      <formula1>"Y, N"</formula1>
    </dataValidation>
    <dataValidation type="list" allowBlank="1" showInputMessage="1" showErrorMessage="1" sqref="D1603">
      <formula1>FDDValList</formula1>
    </dataValidation>
    <dataValidation type="list" allowBlank="1" showInputMessage="1" showErrorMessage="1" sqref="F1603">
      <formula1>"I, O, M, D, N"</formula1>
    </dataValidation>
    <dataValidation type="list" allowBlank="1" showInputMessage="1" showErrorMessage="1" sqref="G1603">
      <formula1>"Y, N"</formula1>
    </dataValidation>
    <dataValidation type="list" allowBlank="1" showInputMessage="1" showErrorMessage="1" sqref="D1604">
      <formula1>FDDValList</formula1>
    </dataValidation>
    <dataValidation type="list" allowBlank="1" showInputMessage="1" showErrorMessage="1" sqref="F1604">
      <formula1>"I, O, M, D, N"</formula1>
    </dataValidation>
    <dataValidation type="list" allowBlank="1" showInputMessage="1" showErrorMessage="1" sqref="G1604">
      <formula1>"Y, N"</formula1>
    </dataValidation>
    <dataValidation type="list" allowBlank="1" showInputMessage="1" showErrorMessage="1" sqref="D1605">
      <formula1>FDDValList</formula1>
    </dataValidation>
    <dataValidation type="list" allowBlank="1" showInputMessage="1" showErrorMessage="1" sqref="F1605">
      <formula1>"I, O, M, D, N"</formula1>
    </dataValidation>
    <dataValidation type="list" allowBlank="1" showInputMessage="1" showErrorMessage="1" sqref="G1605">
      <formula1>"Y, N"</formula1>
    </dataValidation>
    <dataValidation type="list" allowBlank="1" showInputMessage="1" showErrorMessage="1" sqref="D1606">
      <formula1>FDDValList</formula1>
    </dataValidation>
    <dataValidation type="list" allowBlank="1" showInputMessage="1" showErrorMessage="1" sqref="F1606">
      <formula1>"I, O, M, D, N"</formula1>
    </dataValidation>
    <dataValidation type="list" allowBlank="1" showInputMessage="1" showErrorMessage="1" sqref="G1606">
      <formula1>"Y, N"</formula1>
    </dataValidation>
    <dataValidation type="list" allowBlank="1" showInputMessage="1" showErrorMessage="1" sqref="D1607">
      <formula1>FDDValList</formula1>
    </dataValidation>
    <dataValidation type="list" allowBlank="1" showInputMessage="1" showErrorMessage="1" sqref="F1607">
      <formula1>"I, O, M, D, N"</formula1>
    </dataValidation>
    <dataValidation type="list" allowBlank="1" showInputMessage="1" showErrorMessage="1" sqref="G1607">
      <formula1>"Y, N"</formula1>
    </dataValidation>
    <dataValidation type="list" allowBlank="1" showInputMessage="1" showErrorMessage="1" sqref="D1608">
      <formula1>FDDValList</formula1>
    </dataValidation>
    <dataValidation type="list" allowBlank="1" showInputMessage="1" showErrorMessage="1" sqref="F1608">
      <formula1>"I, O, M, D, N"</formula1>
    </dataValidation>
    <dataValidation type="list" allowBlank="1" showInputMessage="1" showErrorMessage="1" sqref="G1608">
      <formula1>"Y, N"</formula1>
    </dataValidation>
    <dataValidation type="list" allowBlank="1" showInputMessage="1" showErrorMessage="1" sqref="D1609">
      <formula1>FDDValList</formula1>
    </dataValidation>
    <dataValidation type="list" allowBlank="1" showInputMessage="1" showErrorMessage="1" sqref="F1609">
      <formula1>"I, O, M, D, N"</formula1>
    </dataValidation>
    <dataValidation type="list" allowBlank="1" showInputMessage="1" showErrorMessage="1" sqref="G1609">
      <formula1>"Y, N"</formula1>
    </dataValidation>
    <dataValidation type="list" allowBlank="1" showInputMessage="1" showErrorMessage="1" sqref="D1610">
      <formula1>FDDValList</formula1>
    </dataValidation>
    <dataValidation type="list" allowBlank="1" showInputMessage="1" showErrorMessage="1" sqref="F1610">
      <formula1>"I, O, M, D, N"</formula1>
    </dataValidation>
    <dataValidation type="list" allowBlank="1" showInputMessage="1" showErrorMessage="1" sqref="G1610">
      <formula1>"Y, N"</formula1>
    </dataValidation>
    <dataValidation type="list" allowBlank="1" showInputMessage="1" showErrorMessage="1" sqref="D1611">
      <formula1>FDDValList</formula1>
    </dataValidation>
    <dataValidation type="list" allowBlank="1" showInputMessage="1" showErrorMessage="1" sqref="F1611">
      <formula1>"I, O, M, D, N"</formula1>
    </dataValidation>
    <dataValidation type="list" allowBlank="1" showInputMessage="1" showErrorMessage="1" sqref="G1611">
      <formula1>"Y, N"</formula1>
    </dataValidation>
    <dataValidation type="list" allowBlank="1" showInputMessage="1" showErrorMessage="1" sqref="D1612">
      <formula1>FDDValList</formula1>
    </dataValidation>
    <dataValidation type="list" allowBlank="1" showInputMessage="1" showErrorMessage="1" sqref="F1612">
      <formula1>"I, O, M, D, N"</formula1>
    </dataValidation>
    <dataValidation type="list" allowBlank="1" showInputMessage="1" showErrorMessage="1" sqref="G1612">
      <formula1>"Y, N"</formula1>
    </dataValidation>
    <dataValidation type="list" allowBlank="1" showInputMessage="1" showErrorMessage="1" sqref="D1613">
      <formula1>FDDValList</formula1>
    </dataValidation>
    <dataValidation type="list" allowBlank="1" showInputMessage="1" showErrorMessage="1" sqref="F1613">
      <formula1>"I, O, M, D, N"</formula1>
    </dataValidation>
    <dataValidation type="list" allowBlank="1" showInputMessage="1" showErrorMessage="1" sqref="G1613">
      <formula1>"Y, N"</formula1>
    </dataValidation>
    <dataValidation type="list" allowBlank="1" showInputMessage="1" showErrorMessage="1" sqref="D1614">
      <formula1>FDDValList</formula1>
    </dataValidation>
    <dataValidation type="list" allowBlank="1" showInputMessage="1" showErrorMessage="1" sqref="F1614">
      <formula1>"I, O, M, D, N"</formula1>
    </dataValidation>
    <dataValidation type="list" allowBlank="1" showInputMessage="1" showErrorMessage="1" sqref="G1614">
      <formula1>"Y, N"</formula1>
    </dataValidation>
    <dataValidation type="list" allowBlank="1" showInputMessage="1" showErrorMessage="1" sqref="D1615">
      <formula1>FDDValList</formula1>
    </dataValidation>
    <dataValidation type="list" allowBlank="1" showInputMessage="1" showErrorMessage="1" sqref="F1615">
      <formula1>"I, O, M, D, N"</formula1>
    </dataValidation>
    <dataValidation type="list" allowBlank="1" showInputMessage="1" showErrorMessage="1" sqref="G1615">
      <formula1>"Y, N"</formula1>
    </dataValidation>
    <dataValidation type="list" allowBlank="1" showInputMessage="1" showErrorMessage="1" sqref="D1616">
      <formula1>FDDValList</formula1>
    </dataValidation>
    <dataValidation type="list" allowBlank="1" showInputMessage="1" showErrorMessage="1" sqref="F1616">
      <formula1>"I, O, M, D, N"</formula1>
    </dataValidation>
    <dataValidation type="list" allowBlank="1" showInputMessage="1" showErrorMessage="1" sqref="G1616">
      <formula1>"Y, N"</formula1>
    </dataValidation>
    <dataValidation type="list" allowBlank="1" showInputMessage="1" showErrorMessage="1" sqref="D1617">
      <formula1>FDDValList</formula1>
    </dataValidation>
    <dataValidation type="list" allowBlank="1" showInputMessage="1" showErrorMessage="1" sqref="F1617">
      <formula1>"I, O, M, D, N"</formula1>
    </dataValidation>
    <dataValidation type="list" allowBlank="1" showInputMessage="1" showErrorMessage="1" sqref="G1617">
      <formula1>"Y, N"</formula1>
    </dataValidation>
    <dataValidation type="list" allowBlank="1" showInputMessage="1" showErrorMessage="1" sqref="D1618">
      <formula1>FDDValList</formula1>
    </dataValidation>
    <dataValidation type="list" allowBlank="1" showInputMessage="1" showErrorMessage="1" sqref="F1618">
      <formula1>"I, O, M, D, N"</formula1>
    </dataValidation>
    <dataValidation type="list" allowBlank="1" showInputMessage="1" showErrorMessage="1" sqref="G1618">
      <formula1>"Y, N"</formula1>
    </dataValidation>
    <dataValidation type="list" allowBlank="1" showInputMessage="1" showErrorMessage="1" sqref="D1619">
      <formula1>FDDValList</formula1>
    </dataValidation>
    <dataValidation type="list" allowBlank="1" showInputMessage="1" showErrorMessage="1" sqref="F1619">
      <formula1>"I, O, M, D, N"</formula1>
    </dataValidation>
    <dataValidation type="list" allowBlank="1" showInputMessage="1" showErrorMessage="1" sqref="G1619">
      <formula1>"Y, N"</formula1>
    </dataValidation>
    <dataValidation type="list" allowBlank="1" showInputMessage="1" showErrorMessage="1" sqref="D1620">
      <formula1>FDDValList</formula1>
    </dataValidation>
    <dataValidation type="list" allowBlank="1" showInputMessage="1" showErrorMessage="1" sqref="F1620">
      <formula1>"I, O, M, D, N"</formula1>
    </dataValidation>
    <dataValidation type="list" allowBlank="1" showInputMessage="1" showErrorMessage="1" sqref="G1620">
      <formula1>"Y, N"</formula1>
    </dataValidation>
    <dataValidation type="list" allowBlank="1" showInputMessage="1" showErrorMessage="1" sqref="D1621">
      <formula1>FDDValList</formula1>
    </dataValidation>
    <dataValidation type="list" allowBlank="1" showInputMessage="1" showErrorMessage="1" sqref="F1621">
      <formula1>"I, O, M, D, N"</formula1>
    </dataValidation>
    <dataValidation type="list" allowBlank="1" showInputMessage="1" showErrorMessage="1" sqref="G1621">
      <formula1>"Y, N"</formula1>
    </dataValidation>
    <dataValidation type="list" allowBlank="1" showInputMessage="1" showErrorMessage="1" sqref="D1622">
      <formula1>FDDValList</formula1>
    </dataValidation>
    <dataValidation type="list" allowBlank="1" showInputMessage="1" showErrorMessage="1" sqref="F1622">
      <formula1>"I, O, M, D, N"</formula1>
    </dataValidation>
    <dataValidation type="list" allowBlank="1" showInputMessage="1" showErrorMessage="1" sqref="G1622">
      <formula1>"Y, N"</formula1>
    </dataValidation>
    <dataValidation type="list" allowBlank="1" showInputMessage="1" showErrorMessage="1" sqref="D1623">
      <formula1>FDDValList</formula1>
    </dataValidation>
    <dataValidation type="list" allowBlank="1" showInputMessage="1" showErrorMessage="1" sqref="F1623">
      <formula1>"I, O, M, D, N"</formula1>
    </dataValidation>
    <dataValidation type="list" allowBlank="1" showInputMessage="1" showErrorMessage="1" sqref="G1623">
      <formula1>"Y, N"</formula1>
    </dataValidation>
    <dataValidation type="list" allowBlank="1" showInputMessage="1" showErrorMessage="1" sqref="D1624">
      <formula1>FDDValList</formula1>
    </dataValidation>
    <dataValidation type="list" allowBlank="1" showInputMessage="1" showErrorMessage="1" sqref="F1624">
      <formula1>"I, O, M, D, N"</formula1>
    </dataValidation>
    <dataValidation type="list" allowBlank="1" showInputMessage="1" showErrorMessage="1" sqref="G1624">
      <formula1>"Y, N"</formula1>
    </dataValidation>
    <dataValidation type="list" allowBlank="1" showInputMessage="1" showErrorMessage="1" sqref="D1625">
      <formula1>FDDValList</formula1>
    </dataValidation>
    <dataValidation type="list" allowBlank="1" showInputMessage="1" showErrorMessage="1" sqref="F1625">
      <formula1>"I, O, M, D, N"</formula1>
    </dataValidation>
    <dataValidation type="list" allowBlank="1" showInputMessage="1" showErrorMessage="1" sqref="G1625">
      <formula1>"Y, N"</formula1>
    </dataValidation>
    <dataValidation type="list" allowBlank="1" showInputMessage="1" showErrorMessage="1" sqref="D1626">
      <formula1>FDDValList</formula1>
    </dataValidation>
    <dataValidation type="list" allowBlank="1" showInputMessage="1" showErrorMessage="1" sqref="F1626">
      <formula1>"I, O, M, D, N"</formula1>
    </dataValidation>
    <dataValidation type="list" allowBlank="1" showInputMessage="1" showErrorMessage="1" sqref="G1626">
      <formula1>"Y, N"</formula1>
    </dataValidation>
    <dataValidation type="list" allowBlank="1" showInputMessage="1" showErrorMessage="1" sqref="D1627">
      <formula1>FDDValList</formula1>
    </dataValidation>
    <dataValidation type="list" allowBlank="1" showInputMessage="1" showErrorMessage="1" sqref="F1627">
      <formula1>"I, O, M, D, N"</formula1>
    </dataValidation>
    <dataValidation type="list" allowBlank="1" showInputMessage="1" showErrorMessage="1" sqref="G1627">
      <formula1>"Y, N"</formula1>
    </dataValidation>
    <dataValidation type="list" allowBlank="1" showInputMessage="1" showErrorMessage="1" sqref="D1628">
      <formula1>FDDValList</formula1>
    </dataValidation>
    <dataValidation type="list" allowBlank="1" showInputMessage="1" showErrorMessage="1" sqref="F1628">
      <formula1>"I, O, M, D, N"</formula1>
    </dataValidation>
    <dataValidation type="list" allowBlank="1" showInputMessage="1" showErrorMessage="1" sqref="G1628">
      <formula1>"Y, N"</formula1>
    </dataValidation>
    <dataValidation type="list" allowBlank="1" showInputMessage="1" showErrorMessage="1" sqref="D1629">
      <formula1>FDDValList</formula1>
    </dataValidation>
    <dataValidation type="list" allowBlank="1" showInputMessage="1" showErrorMessage="1" sqref="F1629">
      <formula1>"I, O, M, D, N"</formula1>
    </dataValidation>
    <dataValidation type="list" allowBlank="1" showInputMessage="1" showErrorMessage="1" sqref="G1629">
      <formula1>"Y, N"</formula1>
    </dataValidation>
    <dataValidation type="list" allowBlank="1" showInputMessage="1" showErrorMessage="1" sqref="D1630">
      <formula1>FDDValList</formula1>
    </dataValidation>
    <dataValidation type="list" allowBlank="1" showInputMessage="1" showErrorMessage="1" sqref="F1630">
      <formula1>"I, O, M, D, N"</formula1>
    </dataValidation>
    <dataValidation type="list" allowBlank="1" showInputMessage="1" showErrorMessage="1" sqref="G1630">
      <formula1>"Y, N"</formula1>
    </dataValidation>
    <dataValidation type="list" allowBlank="1" showInputMessage="1" showErrorMessage="1" sqref="D1631">
      <formula1>FDDValList</formula1>
    </dataValidation>
    <dataValidation type="list" allowBlank="1" showInputMessage="1" showErrorMessage="1" sqref="F1631">
      <formula1>"I, O, M, D, N"</formula1>
    </dataValidation>
    <dataValidation type="list" allowBlank="1" showInputMessage="1" showErrorMessage="1" sqref="G1631">
      <formula1>"Y, N"</formula1>
    </dataValidation>
    <dataValidation type="list" allowBlank="1" showInputMessage="1" showErrorMessage="1" sqref="D1632">
      <formula1>FDDValList</formula1>
    </dataValidation>
    <dataValidation type="list" allowBlank="1" showInputMessage="1" showErrorMessage="1" sqref="F1632">
      <formula1>"I, O, M, D, N"</formula1>
    </dataValidation>
    <dataValidation type="list" allowBlank="1" showInputMessage="1" showErrorMessage="1" sqref="G1632">
      <formula1>"Y, N"</formula1>
    </dataValidation>
    <dataValidation type="list" allowBlank="1" showInputMessage="1" showErrorMessage="1" sqref="D1633">
      <formula1>FDDValList</formula1>
    </dataValidation>
    <dataValidation type="list" allowBlank="1" showInputMessage="1" showErrorMessage="1" sqref="F1633">
      <formula1>"I, O, M, D, N"</formula1>
    </dataValidation>
    <dataValidation type="list" allowBlank="1" showInputMessage="1" showErrorMessage="1" sqref="G1633">
      <formula1>"Y, N"</formula1>
    </dataValidation>
    <dataValidation type="list" allowBlank="1" showInputMessage="1" showErrorMessage="1" sqref="D1634">
      <formula1>FDDValList</formula1>
    </dataValidation>
    <dataValidation type="list" allowBlank="1" showInputMessage="1" showErrorMessage="1" sqref="F1634">
      <formula1>"I, O, M, D, N"</formula1>
    </dataValidation>
    <dataValidation type="list" allowBlank="1" showInputMessage="1" showErrorMessage="1" sqref="G1634">
      <formula1>"Y, N"</formula1>
    </dataValidation>
    <dataValidation type="list" allowBlank="1" showInputMessage="1" showErrorMessage="1" sqref="D1635">
      <formula1>FDDValList</formula1>
    </dataValidation>
    <dataValidation type="list" allowBlank="1" showInputMessage="1" showErrorMessage="1" sqref="F1635">
      <formula1>"I, O, M, D, N"</formula1>
    </dataValidation>
    <dataValidation type="list" allowBlank="1" showInputMessage="1" showErrorMessage="1" sqref="G1635">
      <formula1>"Y, N"</formula1>
    </dataValidation>
    <dataValidation type="list" allowBlank="1" showInputMessage="1" showErrorMessage="1" sqref="D1636">
      <formula1>FDDValList</formula1>
    </dataValidation>
    <dataValidation type="list" allowBlank="1" showInputMessage="1" showErrorMessage="1" sqref="F1636">
      <formula1>"I, O, M, D, N"</formula1>
    </dataValidation>
    <dataValidation type="list" allowBlank="1" showInputMessage="1" showErrorMessage="1" sqref="G1636">
      <formula1>"Y, N"</formula1>
    </dataValidation>
    <dataValidation type="list" allowBlank="1" showInputMessage="1" showErrorMessage="1" sqref="D1637">
      <formula1>FDDValList</formula1>
    </dataValidation>
    <dataValidation type="list" allowBlank="1" showInputMessage="1" showErrorMessage="1" sqref="F1637">
      <formula1>"I, O, M, D, N"</formula1>
    </dataValidation>
    <dataValidation type="list" allowBlank="1" showInputMessage="1" showErrorMessage="1" sqref="G1637">
      <formula1>"Y, N"</formula1>
    </dataValidation>
    <dataValidation type="list" allowBlank="1" showInputMessage="1" showErrorMessage="1" sqref="D1638">
      <formula1>FDDValList</formula1>
    </dataValidation>
    <dataValidation type="list" allowBlank="1" showInputMessage="1" showErrorMessage="1" sqref="F1638">
      <formula1>"I, O, M, D, N"</formula1>
    </dataValidation>
    <dataValidation type="list" allowBlank="1" showInputMessage="1" showErrorMessage="1" sqref="G1638">
      <formula1>"Y, N"</formula1>
    </dataValidation>
    <dataValidation type="list" allowBlank="1" showInputMessage="1" showErrorMessage="1" sqref="D1639">
      <formula1>FDDValList</formula1>
    </dataValidation>
    <dataValidation type="list" allowBlank="1" showInputMessage="1" showErrorMessage="1" sqref="F1639">
      <formula1>"I, O, M, D, N"</formula1>
    </dataValidation>
    <dataValidation type="list" allowBlank="1" showInputMessage="1" showErrorMessage="1" sqref="G1639">
      <formula1>"Y, N"</formula1>
    </dataValidation>
    <dataValidation type="list" allowBlank="1" showInputMessage="1" showErrorMessage="1" sqref="D1640">
      <formula1>FDDValList</formula1>
    </dataValidation>
    <dataValidation type="list" allowBlank="1" showInputMessage="1" showErrorMessage="1" sqref="F1640">
      <formula1>"I, O, M, D, N"</formula1>
    </dataValidation>
    <dataValidation type="list" allowBlank="1" showInputMessage="1" showErrorMessage="1" sqref="G1640">
      <formula1>"Y, N"</formula1>
    </dataValidation>
    <dataValidation type="list" allowBlank="1" showInputMessage="1" showErrorMessage="1" sqref="D1641">
      <formula1>FDDValList</formula1>
    </dataValidation>
    <dataValidation type="list" allowBlank="1" showInputMessage="1" showErrorMessage="1" sqref="F1641">
      <formula1>"I, O, M, D, N"</formula1>
    </dataValidation>
    <dataValidation type="list" allowBlank="1" showInputMessage="1" showErrorMessage="1" sqref="G1641">
      <formula1>"Y, N"</formula1>
    </dataValidation>
    <dataValidation type="list" allowBlank="1" showInputMessage="1" showErrorMessage="1" sqref="D1642">
      <formula1>FDDValList</formula1>
    </dataValidation>
    <dataValidation type="list" allowBlank="1" showInputMessage="1" showErrorMessage="1" sqref="F1642">
      <formula1>"I, O, M, D, N"</formula1>
    </dataValidation>
    <dataValidation type="list" allowBlank="1" showInputMessage="1" showErrorMessage="1" sqref="G1642">
      <formula1>"Y, N"</formula1>
    </dataValidation>
    <dataValidation type="list" allowBlank="1" showInputMessage="1" showErrorMessage="1" sqref="D1643">
      <formula1>FDDValList</formula1>
    </dataValidation>
    <dataValidation type="list" allowBlank="1" showInputMessage="1" showErrorMessage="1" sqref="F1643">
      <formula1>"I, O, M, D, N"</formula1>
    </dataValidation>
    <dataValidation type="list" allowBlank="1" showInputMessage="1" showErrorMessage="1" sqref="G1643">
      <formula1>"Y, N"</formula1>
    </dataValidation>
    <dataValidation type="list" allowBlank="1" showInputMessage="1" showErrorMessage="1" sqref="D1644">
      <formula1>FDDValList</formula1>
    </dataValidation>
    <dataValidation type="list" allowBlank="1" showInputMessage="1" showErrorMessage="1" sqref="F1644">
      <formula1>"I, O, M, D, N"</formula1>
    </dataValidation>
    <dataValidation type="list" allowBlank="1" showInputMessage="1" showErrorMessage="1" sqref="G1644">
      <formula1>"Y, N"</formula1>
    </dataValidation>
    <dataValidation type="list" allowBlank="1" showInputMessage="1" showErrorMessage="1" sqref="D1645">
      <formula1>FDDValList</formula1>
    </dataValidation>
    <dataValidation type="list" allowBlank="1" showInputMessage="1" showErrorMessage="1" sqref="F1645">
      <formula1>"I, O, M, D, N"</formula1>
    </dataValidation>
    <dataValidation type="list" allowBlank="1" showInputMessage="1" showErrorMessage="1" sqref="G1645">
      <formula1>"Y, N"</formula1>
    </dataValidation>
    <dataValidation type="list" allowBlank="1" showInputMessage="1" showErrorMessage="1" sqref="D1646">
      <formula1>FDDValList</formula1>
    </dataValidation>
    <dataValidation type="list" allowBlank="1" showInputMessage="1" showErrorMessage="1" sqref="F1646">
      <formula1>"I, O, M, D, N"</formula1>
    </dataValidation>
    <dataValidation type="list" allowBlank="1" showInputMessage="1" showErrorMessage="1" sqref="G1646">
      <formula1>"Y, N"</formula1>
    </dataValidation>
    <dataValidation type="list" allowBlank="1" showInputMessage="1" showErrorMessage="1" sqref="D1647">
      <formula1>FDDValList</formula1>
    </dataValidation>
    <dataValidation type="list" allowBlank="1" showInputMessage="1" showErrorMessage="1" sqref="F1647">
      <formula1>"I, O, M, D, N"</formula1>
    </dataValidation>
    <dataValidation type="list" allowBlank="1" showInputMessage="1" showErrorMessage="1" sqref="G1647">
      <formula1>"Y, N"</formula1>
    </dataValidation>
    <dataValidation type="list" allowBlank="1" showInputMessage="1" showErrorMessage="1" sqref="D1648">
      <formula1>FDDValList</formula1>
    </dataValidation>
    <dataValidation type="list" allowBlank="1" showInputMessage="1" showErrorMessage="1" sqref="F1648">
      <formula1>"I, O, M, D, N"</formula1>
    </dataValidation>
    <dataValidation type="list" allowBlank="1" showInputMessage="1" showErrorMessage="1" sqref="G1648">
      <formula1>"Y, N"</formula1>
    </dataValidation>
    <dataValidation type="list" allowBlank="1" showInputMessage="1" showErrorMessage="1" sqref="D1649">
      <formula1>FDDValList</formula1>
    </dataValidation>
    <dataValidation type="list" allowBlank="1" showInputMessage="1" showErrorMessage="1" sqref="F1649">
      <formula1>"I, O, M, D, N"</formula1>
    </dataValidation>
    <dataValidation type="list" allowBlank="1" showInputMessage="1" showErrorMessage="1" sqref="G1649">
      <formula1>"Y, N"</formula1>
    </dataValidation>
    <dataValidation type="list" allowBlank="1" showInputMessage="1" showErrorMessage="1" sqref="D1650">
      <formula1>FDDValList</formula1>
    </dataValidation>
    <dataValidation type="list" allowBlank="1" showInputMessage="1" showErrorMessage="1" sqref="F1650">
      <formula1>"I, O, M, D, N"</formula1>
    </dataValidation>
    <dataValidation type="list" allowBlank="1" showInputMessage="1" showErrorMessage="1" sqref="G1650">
      <formula1>"Y, N"</formula1>
    </dataValidation>
    <dataValidation type="list" allowBlank="1" showInputMessage="1" showErrorMessage="1" sqref="D1651">
      <formula1>FDDValList</formula1>
    </dataValidation>
    <dataValidation type="list" allowBlank="1" showInputMessage="1" showErrorMessage="1" sqref="F1651">
      <formula1>"I, O, M, D, N"</formula1>
    </dataValidation>
    <dataValidation type="list" allowBlank="1" showInputMessage="1" showErrorMessage="1" sqref="G1651">
      <formula1>"Y, N"</formula1>
    </dataValidation>
    <dataValidation type="list" allowBlank="1" showInputMessage="1" showErrorMessage="1" sqref="D1652">
      <formula1>FDDValList</formula1>
    </dataValidation>
    <dataValidation type="list" allowBlank="1" showInputMessage="1" showErrorMessage="1" sqref="F1652">
      <formula1>"I, O, M, D, N"</formula1>
    </dataValidation>
    <dataValidation type="list" allowBlank="1" showInputMessage="1" showErrorMessage="1" sqref="G1652">
      <formula1>"Y, N"</formula1>
    </dataValidation>
    <dataValidation type="list" allowBlank="1" showInputMessage="1" showErrorMessage="1" sqref="D1653">
      <formula1>FDDValList</formula1>
    </dataValidation>
    <dataValidation type="list" allowBlank="1" showInputMessage="1" showErrorMessage="1" sqref="F1653">
      <formula1>"I, O, M, D, N"</formula1>
    </dataValidation>
    <dataValidation type="list" allowBlank="1" showInputMessage="1" showErrorMessage="1" sqref="G1653">
      <formula1>"Y, N"</formula1>
    </dataValidation>
    <dataValidation type="list" allowBlank="1" showInputMessage="1" showErrorMessage="1" sqref="D1654">
      <formula1>FDDValList</formula1>
    </dataValidation>
    <dataValidation type="list" allowBlank="1" showInputMessage="1" showErrorMessage="1" sqref="F1654">
      <formula1>"I, O, M, D, N"</formula1>
    </dataValidation>
    <dataValidation type="list" allowBlank="1" showInputMessage="1" showErrorMessage="1" sqref="G1654">
      <formula1>"Y, N"</formula1>
    </dataValidation>
    <dataValidation type="list" allowBlank="1" showInputMessage="1" showErrorMessage="1" sqref="D1655">
      <formula1>FDDValList</formula1>
    </dataValidation>
    <dataValidation type="list" allowBlank="1" showInputMessage="1" showErrorMessage="1" sqref="F1655">
      <formula1>"I, O, M, D, N"</formula1>
    </dataValidation>
    <dataValidation type="list" allowBlank="1" showInputMessage="1" showErrorMessage="1" sqref="G1655">
      <formula1>"Y, N"</formula1>
    </dataValidation>
    <dataValidation type="list" allowBlank="1" showInputMessage="1" showErrorMessage="1" sqref="D1656">
      <formula1>FDDValList</formula1>
    </dataValidation>
    <dataValidation type="list" allowBlank="1" showInputMessage="1" showErrorMessage="1" sqref="F1656">
      <formula1>"I, O, M, D, N"</formula1>
    </dataValidation>
    <dataValidation type="list" allowBlank="1" showInputMessage="1" showErrorMessage="1" sqref="G1656">
      <formula1>"Y, N"</formula1>
    </dataValidation>
    <dataValidation type="list" allowBlank="1" showInputMessage="1" showErrorMessage="1" sqref="D1657">
      <formula1>FDDValList</formula1>
    </dataValidation>
    <dataValidation type="list" allowBlank="1" showInputMessage="1" showErrorMessage="1" sqref="F1657">
      <formula1>"I, O, M, D, N"</formula1>
    </dataValidation>
    <dataValidation type="list" allowBlank="1" showInputMessage="1" showErrorMessage="1" sqref="G1657">
      <formula1>"Y, N"</formula1>
    </dataValidation>
    <dataValidation type="list" allowBlank="1" showInputMessage="1" showErrorMessage="1" sqref="D1658">
      <formula1>FDDValList</formula1>
    </dataValidation>
    <dataValidation type="list" allowBlank="1" showInputMessage="1" showErrorMessage="1" sqref="F1658">
      <formula1>"I, O, M, D, N"</formula1>
    </dataValidation>
    <dataValidation type="list" allowBlank="1" showInputMessage="1" showErrorMessage="1" sqref="G1658">
      <formula1>"Y, N"</formula1>
    </dataValidation>
    <dataValidation type="list" allowBlank="1" showInputMessage="1" showErrorMessage="1" sqref="D1659">
      <formula1>FDDValList</formula1>
    </dataValidation>
    <dataValidation type="list" allowBlank="1" showInputMessage="1" showErrorMessage="1" sqref="F1659">
      <formula1>"I, O, M, D, N"</formula1>
    </dataValidation>
    <dataValidation type="list" allowBlank="1" showInputMessage="1" showErrorMessage="1" sqref="G1659">
      <formula1>"Y, N"</formula1>
    </dataValidation>
    <dataValidation type="list" allowBlank="1" showInputMessage="1" showErrorMessage="1" sqref="D1660">
      <formula1>FDDValList</formula1>
    </dataValidation>
    <dataValidation type="list" allowBlank="1" showInputMessage="1" showErrorMessage="1" sqref="F1660">
      <formula1>"I, O, M, D, N"</formula1>
    </dataValidation>
    <dataValidation type="list" allowBlank="1" showInputMessage="1" showErrorMessage="1" sqref="G1660">
      <formula1>"Y, N"</formula1>
    </dataValidation>
    <dataValidation type="list" allowBlank="1" showInputMessage="1" showErrorMessage="1" sqref="D1661">
      <formula1>FDDValList</formula1>
    </dataValidation>
    <dataValidation type="list" allowBlank="1" showInputMessage="1" showErrorMessage="1" sqref="F1661">
      <formula1>"I, O, M, D, N"</formula1>
    </dataValidation>
    <dataValidation type="list" allowBlank="1" showInputMessage="1" showErrorMessage="1" sqref="G1661">
      <formula1>"Y, N"</formula1>
    </dataValidation>
    <dataValidation type="list" allowBlank="1" showInputMessage="1" showErrorMessage="1" sqref="D1662">
      <formula1>FDDValList</formula1>
    </dataValidation>
    <dataValidation type="list" allowBlank="1" showInputMessage="1" showErrorMessage="1" sqref="F1662">
      <formula1>"I, O, M, D, N"</formula1>
    </dataValidation>
    <dataValidation type="list" allowBlank="1" showInputMessage="1" showErrorMessage="1" sqref="G1662">
      <formula1>"Y, N"</formula1>
    </dataValidation>
    <dataValidation type="list" allowBlank="1" showInputMessage="1" showErrorMessage="1" sqref="D1663">
      <formula1>FDDValList</formula1>
    </dataValidation>
    <dataValidation type="list" allowBlank="1" showInputMessage="1" showErrorMessage="1" sqref="F1663">
      <formula1>"I, O, M, D, N"</formula1>
    </dataValidation>
    <dataValidation type="list" allowBlank="1" showInputMessage="1" showErrorMessage="1" sqref="G1663">
      <formula1>"Y, N"</formula1>
    </dataValidation>
    <dataValidation type="list" allowBlank="1" showInputMessage="1" showErrorMessage="1" sqref="D1664">
      <formula1>FDDValList</formula1>
    </dataValidation>
    <dataValidation type="list" allowBlank="1" showInputMessage="1" showErrorMessage="1" sqref="F1664">
      <formula1>"I, O, M, D, N"</formula1>
    </dataValidation>
    <dataValidation type="list" allowBlank="1" showInputMessage="1" showErrorMessage="1" sqref="G1664">
      <formula1>"Y, N"</formula1>
    </dataValidation>
    <dataValidation type="list" allowBlank="1" showInputMessage="1" showErrorMessage="1" sqref="D1665">
      <formula1>FDDValList</formula1>
    </dataValidation>
    <dataValidation type="list" allowBlank="1" showInputMessage="1" showErrorMessage="1" sqref="F1665">
      <formula1>"I, O, M, D, N"</formula1>
    </dataValidation>
    <dataValidation type="list" allowBlank="1" showInputMessage="1" showErrorMessage="1" sqref="G1665">
      <formula1>"Y, N"</formula1>
    </dataValidation>
    <dataValidation type="list" allowBlank="1" showInputMessage="1" showErrorMessage="1" sqref="D1666">
      <formula1>FDDValList</formula1>
    </dataValidation>
    <dataValidation type="list" allowBlank="1" showInputMessage="1" showErrorMessage="1" sqref="F1666">
      <formula1>"I, O, M, D, N"</formula1>
    </dataValidation>
    <dataValidation type="list" allowBlank="1" showInputMessage="1" showErrorMessage="1" sqref="G1666">
      <formula1>"Y, N"</formula1>
    </dataValidation>
    <dataValidation type="list" allowBlank="1" showInputMessage="1" showErrorMessage="1" sqref="D1667">
      <formula1>FDDValList</formula1>
    </dataValidation>
    <dataValidation type="list" allowBlank="1" showInputMessage="1" showErrorMessage="1" sqref="F1667">
      <formula1>"I, O, M, D, N"</formula1>
    </dataValidation>
    <dataValidation type="list" allowBlank="1" showInputMessage="1" showErrorMessage="1" sqref="G1667">
      <formula1>"Y, N"</formula1>
    </dataValidation>
    <dataValidation type="list" allowBlank="1" showInputMessage="1" showErrorMessage="1" sqref="D1668">
      <formula1>FDDValList</formula1>
    </dataValidation>
    <dataValidation type="list" allowBlank="1" showInputMessage="1" showErrorMessage="1" sqref="F1668">
      <formula1>"I, O, M, D, N"</formula1>
    </dataValidation>
    <dataValidation type="list" allowBlank="1" showInputMessage="1" showErrorMessage="1" sqref="G1668">
      <formula1>"Y, N"</formula1>
    </dataValidation>
    <dataValidation type="list" allowBlank="1" showInputMessage="1" showErrorMessage="1" sqref="D1669">
      <formula1>FDDValList</formula1>
    </dataValidation>
    <dataValidation type="list" allowBlank="1" showInputMessage="1" showErrorMessage="1" sqref="F1669">
      <formula1>"I, O, M, D, N"</formula1>
    </dataValidation>
    <dataValidation type="list" allowBlank="1" showInputMessage="1" showErrorMessage="1" sqref="G1669">
      <formula1>"Y, N"</formula1>
    </dataValidation>
    <dataValidation type="list" allowBlank="1" showInputMessage="1" showErrorMessage="1" sqref="D1670">
      <formula1>FDDValList</formula1>
    </dataValidation>
    <dataValidation type="list" allowBlank="1" showInputMessage="1" showErrorMessage="1" sqref="F1670">
      <formula1>"I, O, M, D, N"</formula1>
    </dataValidation>
    <dataValidation type="list" allowBlank="1" showInputMessage="1" showErrorMessage="1" sqref="G1670">
      <formula1>"Y, N"</formula1>
    </dataValidation>
    <dataValidation type="list" allowBlank="1" showInputMessage="1" showErrorMessage="1" sqref="D1671">
      <formula1>FDDValList</formula1>
    </dataValidation>
    <dataValidation type="list" allowBlank="1" showInputMessage="1" showErrorMessage="1" sqref="F1671">
      <formula1>"I, O, M, D, N"</formula1>
    </dataValidation>
    <dataValidation type="list" allowBlank="1" showInputMessage="1" showErrorMessage="1" sqref="G1671">
      <formula1>"Y, N"</formula1>
    </dataValidation>
    <dataValidation type="list" allowBlank="1" showInputMessage="1" showErrorMessage="1" sqref="D1672">
      <formula1>FDDValList</formula1>
    </dataValidation>
    <dataValidation type="list" allowBlank="1" showInputMessage="1" showErrorMessage="1" sqref="F1672">
      <formula1>"I, O, M, D, N"</formula1>
    </dataValidation>
    <dataValidation type="list" allowBlank="1" showInputMessage="1" showErrorMessage="1" sqref="G1672">
      <formula1>"Y, N"</formula1>
    </dataValidation>
    <dataValidation type="list" allowBlank="1" showInputMessage="1" showErrorMessage="1" sqref="D1673">
      <formula1>FDDValList</formula1>
    </dataValidation>
    <dataValidation type="list" allowBlank="1" showInputMessage="1" showErrorMessage="1" sqref="F1673">
      <formula1>"I, O, M, D, N"</formula1>
    </dataValidation>
    <dataValidation type="list" allowBlank="1" showInputMessage="1" showErrorMessage="1" sqref="G1673">
      <formula1>"Y, N"</formula1>
    </dataValidation>
    <dataValidation type="list" allowBlank="1" showInputMessage="1" showErrorMessage="1" sqref="D1674">
      <formula1>FDDValList</formula1>
    </dataValidation>
    <dataValidation type="list" allowBlank="1" showInputMessage="1" showErrorMessage="1" sqref="F1674">
      <formula1>"I, O, M, D, N"</formula1>
    </dataValidation>
    <dataValidation type="list" allowBlank="1" showInputMessage="1" showErrorMessage="1" sqref="G1674">
      <formula1>"Y, N"</formula1>
    </dataValidation>
    <dataValidation type="list" allowBlank="1" showInputMessage="1" showErrorMessage="1" sqref="D1675">
      <formula1>FDDValList</formula1>
    </dataValidation>
    <dataValidation type="list" allowBlank="1" showInputMessage="1" showErrorMessage="1" sqref="F1675">
      <formula1>"I, O, M, D, N"</formula1>
    </dataValidation>
    <dataValidation type="list" allowBlank="1" showInputMessage="1" showErrorMessage="1" sqref="G1675">
      <formula1>"Y, N"</formula1>
    </dataValidation>
    <dataValidation type="list" allowBlank="1" showInputMessage="1" showErrorMessage="1" sqref="D1676">
      <formula1>FDDValList</formula1>
    </dataValidation>
    <dataValidation type="list" allowBlank="1" showInputMessage="1" showErrorMessage="1" sqref="F1676">
      <formula1>"I, O, M, D, N"</formula1>
    </dataValidation>
    <dataValidation type="list" allowBlank="1" showInputMessage="1" showErrorMessage="1" sqref="G1676">
      <formula1>"Y, N"</formula1>
    </dataValidation>
    <dataValidation type="list" allowBlank="1" showInputMessage="1" showErrorMessage="1" sqref="D1677">
      <formula1>FDDValList</formula1>
    </dataValidation>
    <dataValidation type="list" allowBlank="1" showInputMessage="1" showErrorMessage="1" sqref="F1677">
      <formula1>"I, O, M, D, N"</formula1>
    </dataValidation>
    <dataValidation type="list" allowBlank="1" showInputMessage="1" showErrorMessage="1" sqref="G1677">
      <formula1>"Y, N"</formula1>
    </dataValidation>
    <dataValidation type="list" allowBlank="1" showInputMessage="1" showErrorMessage="1" sqref="D1678">
      <formula1>FDDValList</formula1>
    </dataValidation>
    <dataValidation type="list" allowBlank="1" showInputMessage="1" showErrorMessage="1" sqref="F1678">
      <formula1>"I, O, M, D, N"</formula1>
    </dataValidation>
    <dataValidation type="list" allowBlank="1" showInputMessage="1" showErrorMessage="1" sqref="G1678">
      <formula1>"Y, N"</formula1>
    </dataValidation>
    <dataValidation type="list" allowBlank="1" showInputMessage="1" showErrorMessage="1" sqref="D1679">
      <formula1>FDDValList</formula1>
    </dataValidation>
    <dataValidation type="list" allowBlank="1" showInputMessage="1" showErrorMessage="1" sqref="F1679">
      <formula1>"I, O, M, D, N"</formula1>
    </dataValidation>
    <dataValidation type="list" allowBlank="1" showInputMessage="1" showErrorMessage="1" sqref="G1679">
      <formula1>"Y, N"</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739"/>
  <sheetViews>
    <sheetView tabSelected="1" topLeftCell="C1" zoomScale="80" zoomScaleNormal="80" workbookViewId="0">
      <pane ySplit="4" topLeftCell="A582" activePane="bottomLeft" state="frozen"/>
      <selection pane="bottomLeft" activeCell="N594" sqref="N594"/>
    </sheetView>
  </sheetViews>
  <sheetFormatPr defaultColWidth="9.109375" defaultRowHeight="13.2" x14ac:dyDescent="0.25"/>
  <cols>
    <col min="1" max="1" width="37.5546875" style="161" customWidth="1"/>
    <col min="2" max="2" width="30.88671875" style="161" customWidth="1"/>
    <col min="3" max="3" width="16" style="170" bestFit="1" customWidth="1"/>
    <col min="4" max="4" width="15.5546875" style="170" customWidth="1"/>
    <col min="5" max="5" width="20.44140625" style="162" customWidth="1"/>
    <col min="6" max="6" width="10.5546875" style="163" customWidth="1"/>
    <col min="7" max="7" width="5.6640625" style="163" customWidth="1"/>
    <col min="8" max="8" width="9.109375" style="163" bestFit="1" customWidth="1"/>
    <col min="9" max="9" width="33.109375" style="171" customWidth="1"/>
    <col min="10" max="10" width="16.88671875" style="164" customWidth="1"/>
    <col min="11" max="11" width="19.109375" style="165" customWidth="1"/>
    <col min="12" max="12" width="14.88671875" style="164" customWidth="1"/>
    <col min="13" max="13" width="15.6640625" style="164" customWidth="1"/>
    <col min="14" max="14" width="22.33203125" style="164" customWidth="1"/>
    <col min="15" max="15" width="36.88671875" style="159" bestFit="1" customWidth="1"/>
    <col min="16" max="16" width="6.5546875" style="160" customWidth="1"/>
    <col min="17" max="16384" width="9.109375" style="160"/>
  </cols>
  <sheetData>
    <row r="1" spans="1:18" s="105" customFormat="1" ht="29.25" customHeight="1" thickBot="1" x14ac:dyDescent="0.3">
      <c r="A1" s="264" t="str">
        <f>'Change Log'!A1:D1</f>
        <v>Haitec LC - Rev 40</v>
      </c>
      <c r="B1" s="265"/>
      <c r="C1" s="265"/>
      <c r="D1" s="265"/>
      <c r="E1" s="265"/>
      <c r="F1" s="265"/>
      <c r="G1" s="265"/>
      <c r="H1" s="265"/>
      <c r="I1" s="265"/>
      <c r="J1" s="265"/>
      <c r="K1" s="265"/>
      <c r="L1" s="265"/>
      <c r="M1" s="265"/>
      <c r="N1" s="265"/>
      <c r="O1" s="103"/>
      <c r="R1" s="104" t="str">
        <f>Template!C26</f>
        <v>N</v>
      </c>
    </row>
    <row r="2" spans="1:18" s="105" customFormat="1" ht="13.8" thickBot="1" x14ac:dyDescent="0.3">
      <c r="A2" s="261" t="s">
        <v>91</v>
      </c>
      <c r="B2" s="262"/>
      <c r="C2" s="262"/>
      <c r="D2" s="262"/>
      <c r="E2" s="262"/>
      <c r="F2" s="262"/>
      <c r="G2" s="263"/>
      <c r="H2" s="266" t="s">
        <v>84</v>
      </c>
      <c r="I2" s="267"/>
      <c r="J2" s="267"/>
      <c r="K2" s="267"/>
      <c r="L2" s="267"/>
      <c r="M2" s="268"/>
      <c r="N2" s="107"/>
      <c r="O2" s="108"/>
      <c r="R2" s="104" t="str">
        <f>Template!C36</f>
        <v>Y</v>
      </c>
    </row>
    <row r="3" spans="1:18" s="105" customFormat="1" x14ac:dyDescent="0.25">
      <c r="A3" s="144"/>
      <c r="B3" s="145"/>
      <c r="C3" s="146"/>
      <c r="D3" s="146"/>
      <c r="E3" s="146"/>
      <c r="F3" s="147"/>
      <c r="G3" s="148"/>
      <c r="H3" s="148"/>
      <c r="I3" s="167"/>
      <c r="J3" s="257" t="s">
        <v>83</v>
      </c>
      <c r="K3" s="258"/>
      <c r="L3" s="150"/>
      <c r="M3" s="151"/>
      <c r="N3" s="151"/>
      <c r="O3" s="108"/>
      <c r="R3" s="104" t="str">
        <f>Template!C46</f>
        <v>P</v>
      </c>
    </row>
    <row r="4" spans="1:18" s="105" customFormat="1" ht="21.6" thickBot="1" x14ac:dyDescent="0.3">
      <c r="A4" s="152" t="s">
        <v>150</v>
      </c>
      <c r="B4" s="102" t="s">
        <v>132</v>
      </c>
      <c r="C4" s="154" t="s">
        <v>94</v>
      </c>
      <c r="D4" s="172" t="s">
        <v>152</v>
      </c>
      <c r="E4" s="154" t="s">
        <v>57</v>
      </c>
      <c r="F4" s="154" t="s">
        <v>92</v>
      </c>
      <c r="G4" s="155" t="s">
        <v>133</v>
      </c>
      <c r="H4" s="155" t="s">
        <v>222</v>
      </c>
      <c r="I4" s="168" t="s">
        <v>221</v>
      </c>
      <c r="J4" s="156" t="s">
        <v>134</v>
      </c>
      <c r="K4" s="157" t="s">
        <v>135</v>
      </c>
      <c r="L4" s="154" t="s">
        <v>52</v>
      </c>
      <c r="M4" s="158" t="s">
        <v>90</v>
      </c>
      <c r="N4" s="151" t="s">
        <v>85</v>
      </c>
      <c r="O4" s="108"/>
    </row>
    <row r="5" spans="1:18" s="105" customFormat="1" ht="15" customHeight="1" x14ac:dyDescent="0.25">
      <c r="A5" s="111" t="s">
        <v>151</v>
      </c>
      <c r="B5" s="112"/>
      <c r="C5" s="113"/>
      <c r="D5" s="113"/>
      <c r="E5" s="113"/>
      <c r="F5" s="114"/>
      <c r="G5" s="114"/>
      <c r="H5" s="114"/>
      <c r="I5" s="169"/>
      <c r="J5" s="116"/>
      <c r="K5" s="115"/>
      <c r="L5" s="116"/>
      <c r="M5" s="116"/>
      <c r="N5" s="116"/>
      <c r="O5" s="108"/>
    </row>
    <row r="6" spans="1:18" ht="51" x14ac:dyDescent="0.25">
      <c r="A6" s="190" t="s">
        <v>3763</v>
      </c>
      <c r="B6" s="184" t="s">
        <v>3764</v>
      </c>
      <c r="C6" s="185" t="s">
        <v>3745</v>
      </c>
      <c r="D6" s="235" t="s">
        <v>232</v>
      </c>
      <c r="E6" s="185" t="s">
        <v>3765</v>
      </c>
      <c r="F6" s="186" t="s">
        <v>82</v>
      </c>
      <c r="G6" s="187" t="s">
        <v>82</v>
      </c>
      <c r="H6" s="187"/>
      <c r="I6" s="188">
        <v>30</v>
      </c>
      <c r="J6" s="189">
        <v>0</v>
      </c>
      <c r="K6" s="189">
        <v>1600</v>
      </c>
      <c r="L6" s="189" t="s">
        <v>268</v>
      </c>
      <c r="M6" s="189" t="s">
        <v>261</v>
      </c>
      <c r="N6" s="183" t="str">
        <f>IF(A6="k_CalRelNum_Cnt_u8[12]","CalRelNum",IF(F6="Y","TunSetCalSeg",IF(F6="N", "FlashCalSeg", "")))</f>
        <v>FlashCalSeg</v>
      </c>
    </row>
    <row r="7" spans="1:18" ht="30.6" x14ac:dyDescent="0.25">
      <c r="A7" s="190" t="s">
        <v>3766</v>
      </c>
      <c r="B7" s="184"/>
      <c r="C7" s="185" t="s">
        <v>3745</v>
      </c>
      <c r="D7" s="185" t="s">
        <v>232</v>
      </c>
      <c r="E7" s="185"/>
      <c r="F7" s="186" t="s">
        <v>82</v>
      </c>
      <c r="G7" s="187" t="s">
        <v>82</v>
      </c>
      <c r="H7" s="187"/>
      <c r="I7" s="188" t="s">
        <v>3767</v>
      </c>
      <c r="J7" s="189"/>
      <c r="K7" s="189"/>
      <c r="L7" s="189"/>
      <c r="M7" s="189" t="s">
        <v>604</v>
      </c>
      <c r="N7" s="247" t="str">
        <f>IF(A7="k_CalRelNum_Cnt_u8[12]","CalRelNum",IF(F7="Y","TunSetCalSeg",IF(F7="N", "FlashCalSeg", "")))</f>
        <v>FlashCalSeg</v>
      </c>
    </row>
    <row r="8" spans="1:18" ht="30.6" x14ac:dyDescent="0.25">
      <c r="A8" s="190" t="s">
        <v>3774</v>
      </c>
      <c r="B8" s="184" t="s">
        <v>3775</v>
      </c>
      <c r="C8" s="185" t="s">
        <v>3745</v>
      </c>
      <c r="D8" s="185" t="s">
        <v>232</v>
      </c>
      <c r="E8" s="185" t="s">
        <v>3776</v>
      </c>
      <c r="F8" s="186" t="s">
        <v>82</v>
      </c>
      <c r="G8" s="187" t="s">
        <v>82</v>
      </c>
      <c r="H8" s="187"/>
      <c r="I8" s="188">
        <v>1</v>
      </c>
      <c r="J8" s="189">
        <v>0</v>
      </c>
      <c r="K8" s="189">
        <v>255</v>
      </c>
      <c r="L8" s="189" t="s">
        <v>424</v>
      </c>
      <c r="M8" s="189" t="s">
        <v>267</v>
      </c>
      <c r="N8" s="247" t="str">
        <f>IF(A8="k_CalRelNum_Cnt_u8[12]","CalRelNum",IF(F8="Y","TunSetCalSeg",IF(F8="N", "FlashCalSeg", "")))</f>
        <v>FlashCalSeg</v>
      </c>
    </row>
    <row r="9" spans="1:18" ht="30.6" x14ac:dyDescent="0.25">
      <c r="A9" s="190" t="s">
        <v>3771</v>
      </c>
      <c r="B9" s="184" t="s">
        <v>3772</v>
      </c>
      <c r="C9" s="185" t="s">
        <v>3745</v>
      </c>
      <c r="D9" s="185" t="s">
        <v>232</v>
      </c>
      <c r="E9" s="185" t="s">
        <v>3773</v>
      </c>
      <c r="F9" s="186" t="s">
        <v>82</v>
      </c>
      <c r="G9" s="187" t="s">
        <v>82</v>
      </c>
      <c r="H9" s="187"/>
      <c r="I9" s="188">
        <v>4</v>
      </c>
      <c r="J9" s="189">
        <v>0</v>
      </c>
      <c r="K9" s="189">
        <v>255</v>
      </c>
      <c r="L9" s="189" t="s">
        <v>424</v>
      </c>
      <c r="M9" s="189" t="s">
        <v>267</v>
      </c>
      <c r="N9" s="247" t="str">
        <f>IF(A9="k_CalRelNum_Cnt_u8[12]","CalRelNum",IF(F9="Y","TunSetCalSeg",IF(F9="N", "FlashCalSeg", "")))</f>
        <v>FlashCalSeg</v>
      </c>
    </row>
    <row r="10" spans="1:18" ht="30.6" x14ac:dyDescent="0.25">
      <c r="A10" s="190" t="s">
        <v>3768</v>
      </c>
      <c r="B10" s="184" t="s">
        <v>3769</v>
      </c>
      <c r="C10" s="185" t="s">
        <v>3745</v>
      </c>
      <c r="D10" s="185" t="s">
        <v>232</v>
      </c>
      <c r="E10" s="185" t="s">
        <v>3770</v>
      </c>
      <c r="F10" s="186" t="s">
        <v>82</v>
      </c>
      <c r="G10" s="187" t="s">
        <v>82</v>
      </c>
      <c r="H10" s="187"/>
      <c r="I10" s="188">
        <v>200</v>
      </c>
      <c r="J10" s="189">
        <v>0</v>
      </c>
      <c r="K10" s="189">
        <v>65535</v>
      </c>
      <c r="L10" s="189" t="s">
        <v>424</v>
      </c>
      <c r="M10" s="189" t="s">
        <v>267</v>
      </c>
      <c r="N10" s="247" t="str">
        <f>IF(A10="k_CalRelNum_Cnt_u8[12]","CalRelNum",IF(F10="Y","TunSetCalSeg",IF(F10="N", "FlashCalSeg", "")))</f>
        <v>FlashCalSeg</v>
      </c>
    </row>
    <row r="11" spans="1:18" ht="61.2" x14ac:dyDescent="0.25">
      <c r="A11" s="190" t="s">
        <v>269</v>
      </c>
      <c r="B11" s="184" t="s">
        <v>270</v>
      </c>
      <c r="C11" s="185" t="s">
        <v>3745</v>
      </c>
      <c r="D11" s="185" t="s">
        <v>3828</v>
      </c>
      <c r="E11" s="185" t="s">
        <v>3724</v>
      </c>
      <c r="F11" s="186" t="s">
        <v>82</v>
      </c>
      <c r="G11" s="187" t="s">
        <v>82</v>
      </c>
      <c r="H11" s="187"/>
      <c r="I11" s="188">
        <v>0.2</v>
      </c>
      <c r="J11" s="189">
        <v>0</v>
      </c>
      <c r="K11" s="189">
        <v>1</v>
      </c>
      <c r="L11" s="189" t="s">
        <v>260</v>
      </c>
      <c r="M11" s="189" t="s">
        <v>261</v>
      </c>
      <c r="N11" s="247" t="str">
        <f>IF(A11="k_CalRelNum_Cnt_u8[12]","CalRelNum",IF(F11="Y","TunSetCalSeg",IF(F11="N", "FlashCalSeg", "")))</f>
        <v>FlashCalSeg</v>
      </c>
    </row>
    <row r="12" spans="1:18" ht="51" x14ac:dyDescent="0.25">
      <c r="A12" s="190" t="s">
        <v>3746</v>
      </c>
      <c r="B12" s="184" t="s">
        <v>3747</v>
      </c>
      <c r="C12" s="185" t="s">
        <v>3745</v>
      </c>
      <c r="D12" s="185" t="s">
        <v>232</v>
      </c>
      <c r="E12" s="185" t="s">
        <v>3748</v>
      </c>
      <c r="F12" s="186" t="s">
        <v>82</v>
      </c>
      <c r="G12" s="187" t="s">
        <v>82</v>
      </c>
      <c r="H12" s="187"/>
      <c r="I12" s="188">
        <v>0.21278</v>
      </c>
      <c r="J12" s="189">
        <v>0</v>
      </c>
      <c r="K12" s="189">
        <v>500</v>
      </c>
      <c r="L12" s="189" t="s">
        <v>262</v>
      </c>
      <c r="M12" s="189" t="s">
        <v>261</v>
      </c>
      <c r="N12" s="247" t="str">
        <f>IF(A12="k_CalRelNum_Cnt_u8[12]","CalRelNum",IF(F12="Y","TunSetCalSeg",IF(F12="N", "FlashCalSeg", "")))</f>
        <v>FlashCalSeg</v>
      </c>
    </row>
    <row r="13" spans="1:18" ht="30.6" x14ac:dyDescent="0.25">
      <c r="A13" s="190" t="s">
        <v>3749</v>
      </c>
      <c r="B13" s="184" t="s">
        <v>3750</v>
      </c>
      <c r="C13" s="185" t="s">
        <v>3745</v>
      </c>
      <c r="D13" s="185" t="s">
        <v>232</v>
      </c>
      <c r="E13" s="185" t="s">
        <v>3751</v>
      </c>
      <c r="F13" s="186" t="s">
        <v>82</v>
      </c>
      <c r="G13" s="187" t="s">
        <v>82</v>
      </c>
      <c r="H13" s="187"/>
      <c r="I13" s="188">
        <v>5</v>
      </c>
      <c r="J13" s="189">
        <v>0</v>
      </c>
      <c r="K13" s="189">
        <v>1620</v>
      </c>
      <c r="L13" s="189" t="s">
        <v>268</v>
      </c>
      <c r="M13" s="189" t="s">
        <v>261</v>
      </c>
      <c r="N13" s="247" t="str">
        <f>IF(A13="k_CalRelNum_Cnt_u8[12]","CalRelNum",IF(F13="Y","TunSetCalSeg",IF(F13="N", "FlashCalSeg", "")))</f>
        <v>FlashCalSeg</v>
      </c>
    </row>
    <row r="14" spans="1:18" ht="30.6" x14ac:dyDescent="0.25">
      <c r="A14" s="190" t="s">
        <v>3755</v>
      </c>
      <c r="B14" s="184" t="s">
        <v>3756</v>
      </c>
      <c r="C14" s="185" t="s">
        <v>3745</v>
      </c>
      <c r="D14" s="185" t="s">
        <v>232</v>
      </c>
      <c r="E14" s="185" t="s">
        <v>3757</v>
      </c>
      <c r="F14" s="186" t="s">
        <v>82</v>
      </c>
      <c r="G14" s="187" t="s">
        <v>82</v>
      </c>
      <c r="H14" s="187"/>
      <c r="I14" s="188">
        <v>1</v>
      </c>
      <c r="J14" s="189">
        <v>0</v>
      </c>
      <c r="K14" s="189">
        <v>1</v>
      </c>
      <c r="L14" s="189" t="s">
        <v>260</v>
      </c>
      <c r="M14" s="189" t="s">
        <v>261</v>
      </c>
      <c r="N14" s="247" t="str">
        <f>IF(A14="k_CalRelNum_Cnt_u8[12]","CalRelNum",IF(F14="Y","TunSetCalSeg",IF(F14="N", "FlashCalSeg", "")))</f>
        <v>FlashCalSeg</v>
      </c>
    </row>
    <row r="15" spans="1:18" ht="40.799999999999997" x14ac:dyDescent="0.25">
      <c r="A15" s="190" t="s">
        <v>3761</v>
      </c>
      <c r="B15" s="184" t="s">
        <v>272</v>
      </c>
      <c r="C15" s="185" t="s">
        <v>3745</v>
      </c>
      <c r="D15" s="185" t="s">
        <v>232</v>
      </c>
      <c r="E15" s="185" t="s">
        <v>3762</v>
      </c>
      <c r="F15" s="186" t="s">
        <v>81</v>
      </c>
      <c r="G15" s="187" t="s">
        <v>82</v>
      </c>
      <c r="H15" s="187"/>
      <c r="I15" s="188">
        <v>2100</v>
      </c>
      <c r="J15" s="189">
        <v>0</v>
      </c>
      <c r="K15" s="189">
        <v>5000</v>
      </c>
      <c r="L15" s="189" t="s">
        <v>268</v>
      </c>
      <c r="M15" s="189" t="s">
        <v>261</v>
      </c>
      <c r="N15" s="247" t="str">
        <f>IF(A15="k_CalRelNum_Cnt_u8[12]","CalRelNum",IF(F15="Y","TunSetCalSeg",IF(F15="N", "FlashCalSeg", "")))</f>
        <v>TunSetCalSeg</v>
      </c>
    </row>
    <row r="16" spans="1:18" ht="40.799999999999997" x14ac:dyDescent="0.25">
      <c r="A16" s="190" t="s">
        <v>5015</v>
      </c>
      <c r="B16" s="184" t="s">
        <v>5016</v>
      </c>
      <c r="C16" s="185" t="s">
        <v>3745</v>
      </c>
      <c r="D16" s="185" t="s">
        <v>232</v>
      </c>
      <c r="E16" s="185" t="s">
        <v>5017</v>
      </c>
      <c r="F16" s="186" t="s">
        <v>82</v>
      </c>
      <c r="G16" s="187" t="s">
        <v>82</v>
      </c>
      <c r="H16" s="187"/>
      <c r="I16" s="188">
        <v>1</v>
      </c>
      <c r="J16" s="189">
        <v>0</v>
      </c>
      <c r="K16" s="189">
        <v>1</v>
      </c>
      <c r="L16" s="189" t="s">
        <v>260</v>
      </c>
      <c r="M16" s="189" t="s">
        <v>261</v>
      </c>
      <c r="N16" s="247" t="str">
        <f>IF(A16="k_CalRelNum_Cnt_u8[12]","CalRelNum",IF(F16="Y","TunSetCalSeg",IF(F16="N", "FlashCalSeg", "")))</f>
        <v>FlashCalSeg</v>
      </c>
    </row>
    <row r="17" spans="1:14" ht="40.799999999999997" x14ac:dyDescent="0.25">
      <c r="A17" s="190" t="s">
        <v>3758</v>
      </c>
      <c r="B17" s="184" t="s">
        <v>3759</v>
      </c>
      <c r="C17" s="185" t="s">
        <v>3745</v>
      </c>
      <c r="D17" s="185" t="s">
        <v>232</v>
      </c>
      <c r="E17" s="185" t="s">
        <v>3760</v>
      </c>
      <c r="F17" s="186" t="s">
        <v>82</v>
      </c>
      <c r="G17" s="187" t="s">
        <v>82</v>
      </c>
      <c r="H17" s="187"/>
      <c r="I17" s="188">
        <v>5</v>
      </c>
      <c r="J17" s="189">
        <v>0</v>
      </c>
      <c r="K17" s="189">
        <v>1600</v>
      </c>
      <c r="L17" s="189" t="s">
        <v>268</v>
      </c>
      <c r="M17" s="189" t="s">
        <v>261</v>
      </c>
      <c r="N17" s="247" t="str">
        <f>IF(A17="k_CalRelNum_Cnt_u8[12]","CalRelNum",IF(F17="Y","TunSetCalSeg",IF(F17="N", "FlashCalSeg", "")))</f>
        <v>FlashCalSeg</v>
      </c>
    </row>
    <row r="18" spans="1:14" ht="40.799999999999997" x14ac:dyDescent="0.25">
      <c r="A18" s="190" t="s">
        <v>5012</v>
      </c>
      <c r="B18" s="184" t="s">
        <v>5013</v>
      </c>
      <c r="C18" s="185" t="s">
        <v>3745</v>
      </c>
      <c r="D18" s="185" t="s">
        <v>232</v>
      </c>
      <c r="E18" s="185" t="s">
        <v>5014</v>
      </c>
      <c r="F18" s="186" t="s">
        <v>82</v>
      </c>
      <c r="G18" s="187" t="s">
        <v>82</v>
      </c>
      <c r="H18" s="187"/>
      <c r="I18" s="188">
        <v>1</v>
      </c>
      <c r="J18" s="189">
        <v>0</v>
      </c>
      <c r="K18" s="189">
        <v>1</v>
      </c>
      <c r="L18" s="189" t="s">
        <v>260</v>
      </c>
      <c r="M18" s="189" t="s">
        <v>261</v>
      </c>
      <c r="N18" s="247" t="str">
        <f>IF(A18="k_CalRelNum_Cnt_u8[12]","CalRelNum",IF(F18="Y","TunSetCalSeg",IF(F18="N", "FlashCalSeg", "")))</f>
        <v>FlashCalSeg</v>
      </c>
    </row>
    <row r="19" spans="1:14" ht="51" x14ac:dyDescent="0.25">
      <c r="A19" s="190" t="s">
        <v>3752</v>
      </c>
      <c r="B19" s="184" t="s">
        <v>3753</v>
      </c>
      <c r="C19" s="185" t="s">
        <v>3745</v>
      </c>
      <c r="D19" s="185" t="s">
        <v>232</v>
      </c>
      <c r="E19" s="185" t="s">
        <v>3754</v>
      </c>
      <c r="F19" s="186" t="s">
        <v>82</v>
      </c>
      <c r="G19" s="187" t="s">
        <v>82</v>
      </c>
      <c r="H19" s="187"/>
      <c r="I19" s="188">
        <v>1</v>
      </c>
      <c r="J19" s="189">
        <v>0</v>
      </c>
      <c r="K19" s="189">
        <v>1</v>
      </c>
      <c r="L19" s="189" t="s">
        <v>260</v>
      </c>
      <c r="M19" s="189" t="s">
        <v>261</v>
      </c>
      <c r="N19" s="247" t="str">
        <f>IF(A19="k_CalRelNum_Cnt_u8[12]","CalRelNum",IF(F19="Y","TunSetCalSeg",IF(F19="N", "FlashCalSeg", "")))</f>
        <v>FlashCalSeg</v>
      </c>
    </row>
    <row r="20" spans="1:14" ht="40.799999999999997" x14ac:dyDescent="0.25">
      <c r="A20" s="190" t="s">
        <v>3742</v>
      </c>
      <c r="B20" s="240" t="s">
        <v>3743</v>
      </c>
      <c r="C20" s="241" t="s">
        <v>3745</v>
      </c>
      <c r="D20" s="241" t="s">
        <v>232</v>
      </c>
      <c r="E20" s="241" t="s">
        <v>3744</v>
      </c>
      <c r="F20" s="186" t="s">
        <v>82</v>
      </c>
      <c r="G20" s="187" t="s">
        <v>82</v>
      </c>
      <c r="H20" s="187"/>
      <c r="I20" s="252" t="b">
        <v>1</v>
      </c>
      <c r="J20" s="253" t="b">
        <v>0</v>
      </c>
      <c r="K20" s="189" t="b">
        <v>1</v>
      </c>
      <c r="L20" s="189" t="s">
        <v>271</v>
      </c>
      <c r="M20" s="189" t="s">
        <v>501</v>
      </c>
      <c r="N20" s="247" t="str">
        <f>IF(A20="k_CalRelNum_Cnt_u8[12]","CalRelNum",IF(F20="Y","TunSetCalSeg",IF(F20="N", "FlashCalSeg", "")))</f>
        <v>FlashCalSeg</v>
      </c>
    </row>
    <row r="21" spans="1:14" ht="30.6" x14ac:dyDescent="0.25">
      <c r="A21" s="190" t="s">
        <v>3777</v>
      </c>
      <c r="B21" s="240" t="s">
        <v>3778</v>
      </c>
      <c r="C21" s="241" t="s">
        <v>3745</v>
      </c>
      <c r="D21" s="241" t="s">
        <v>232</v>
      </c>
      <c r="E21" s="241"/>
      <c r="F21" s="186" t="s">
        <v>82</v>
      </c>
      <c r="G21" s="187" t="s">
        <v>82</v>
      </c>
      <c r="H21" s="187"/>
      <c r="I21" s="188">
        <v>1600</v>
      </c>
      <c r="J21" s="253">
        <v>0</v>
      </c>
      <c r="K21" s="189">
        <v>1600</v>
      </c>
      <c r="L21" s="189" t="s">
        <v>268</v>
      </c>
      <c r="M21" s="189" t="s">
        <v>261</v>
      </c>
      <c r="N21" s="247" t="str">
        <f>IF(A21="k_CalRelNum_Cnt_u8[12]","CalRelNum",IF(F21="Y","TunSetCalSeg",IF(F21="N", "FlashCalSeg", "")))</f>
        <v>FlashCalSeg</v>
      </c>
    </row>
    <row r="22" spans="1:14" ht="30.6" x14ac:dyDescent="0.25">
      <c r="A22" s="190" t="s">
        <v>297</v>
      </c>
      <c r="B22" s="184" t="s">
        <v>298</v>
      </c>
      <c r="C22" s="185" t="s">
        <v>277</v>
      </c>
      <c r="D22" s="185" t="s">
        <v>203</v>
      </c>
      <c r="E22" s="185" t="s">
        <v>299</v>
      </c>
      <c r="F22" s="186" t="s">
        <v>81</v>
      </c>
      <c r="G22" s="187" t="s">
        <v>82</v>
      </c>
      <c r="H22" s="187"/>
      <c r="I22" s="252">
        <v>1</v>
      </c>
      <c r="J22" s="253">
        <v>0</v>
      </c>
      <c r="K22" s="189">
        <v>1</v>
      </c>
      <c r="L22" s="189" t="s">
        <v>300</v>
      </c>
      <c r="M22" s="189" t="s">
        <v>261</v>
      </c>
      <c r="N22" s="247" t="str">
        <f>IF(A22="k_CalRelNum_Cnt_u8[12]","CalRelNum",IF(F22="Y","TunSetCalSeg",IF(F22="N", "FlashCalSeg", "")))</f>
        <v>TunSetCalSeg</v>
      </c>
    </row>
    <row r="23" spans="1:14" ht="30.6" x14ac:dyDescent="0.25">
      <c r="A23" s="190" t="s">
        <v>294</v>
      </c>
      <c r="B23" s="184" t="s">
        <v>295</v>
      </c>
      <c r="C23" s="185" t="s">
        <v>277</v>
      </c>
      <c r="D23" s="185" t="s">
        <v>203</v>
      </c>
      <c r="E23" s="185" t="s">
        <v>296</v>
      </c>
      <c r="F23" s="186" t="s">
        <v>81</v>
      </c>
      <c r="G23" s="187" t="s">
        <v>82</v>
      </c>
      <c r="H23" s="187"/>
      <c r="I23" s="188">
        <v>45</v>
      </c>
      <c r="J23" s="253">
        <v>0</v>
      </c>
      <c r="K23" s="189">
        <v>900</v>
      </c>
      <c r="L23" s="189" t="s">
        <v>268</v>
      </c>
      <c r="M23" s="189" t="s">
        <v>261</v>
      </c>
      <c r="N23" s="247" t="str">
        <f>IF(A23="k_CalRelNum_Cnt_u8[12]","CalRelNum",IF(F23="Y","TunSetCalSeg",IF(F23="N", "FlashCalSeg", "")))</f>
        <v>TunSetCalSeg</v>
      </c>
    </row>
    <row r="24" spans="1:14" ht="30.6" x14ac:dyDescent="0.25">
      <c r="A24" s="190" t="s">
        <v>291</v>
      </c>
      <c r="B24" s="184" t="s">
        <v>292</v>
      </c>
      <c r="C24" s="185" t="s">
        <v>277</v>
      </c>
      <c r="D24" s="185" t="s">
        <v>203</v>
      </c>
      <c r="E24" s="185" t="s">
        <v>293</v>
      </c>
      <c r="F24" s="186" t="s">
        <v>81</v>
      </c>
      <c r="G24" s="187" t="s">
        <v>82</v>
      </c>
      <c r="H24" s="187"/>
      <c r="I24" s="188">
        <v>2.8</v>
      </c>
      <c r="J24" s="189">
        <v>0</v>
      </c>
      <c r="K24" s="189">
        <v>10</v>
      </c>
      <c r="L24" s="189" t="s">
        <v>265</v>
      </c>
      <c r="M24" s="189" t="s">
        <v>261</v>
      </c>
      <c r="N24" s="247" t="str">
        <f>IF(A24="k_CalRelNum_Cnt_u8[12]","CalRelNum",IF(F24="Y","TunSetCalSeg",IF(F24="N", "FlashCalSeg", "")))</f>
        <v>TunSetCalSeg</v>
      </c>
    </row>
    <row r="25" spans="1:14" ht="30.6" x14ac:dyDescent="0.25">
      <c r="A25" s="190" t="s">
        <v>301</v>
      </c>
      <c r="B25" s="184" t="s">
        <v>302</v>
      </c>
      <c r="C25" s="185" t="s">
        <v>277</v>
      </c>
      <c r="D25" s="185" t="s">
        <v>203</v>
      </c>
      <c r="E25" s="185" t="s">
        <v>303</v>
      </c>
      <c r="F25" s="186" t="s">
        <v>81</v>
      </c>
      <c r="G25" s="187" t="s">
        <v>82</v>
      </c>
      <c r="H25" s="187"/>
      <c r="I25" s="188">
        <v>10</v>
      </c>
      <c r="J25" s="189">
        <v>0</v>
      </c>
      <c r="K25" s="189">
        <v>1500</v>
      </c>
      <c r="L25" s="189" t="s">
        <v>290</v>
      </c>
      <c r="M25" s="189" t="s">
        <v>261</v>
      </c>
      <c r="N25" s="247" t="str">
        <f>IF(A25="k_CalRelNum_Cnt_u8[12]","CalRelNum",IF(F25="Y","TunSetCalSeg",IF(F25="N", "FlashCalSeg", "")))</f>
        <v>TunSetCalSeg</v>
      </c>
    </row>
    <row r="26" spans="1:14" ht="30.6" x14ac:dyDescent="0.25">
      <c r="A26" s="190" t="s">
        <v>318</v>
      </c>
      <c r="B26" s="184" t="s">
        <v>319</v>
      </c>
      <c r="C26" s="185" t="s">
        <v>277</v>
      </c>
      <c r="D26" s="185" t="s">
        <v>203</v>
      </c>
      <c r="E26" s="185" t="s">
        <v>320</v>
      </c>
      <c r="F26" s="186" t="s">
        <v>81</v>
      </c>
      <c r="G26" s="187" t="s">
        <v>82</v>
      </c>
      <c r="H26" s="187"/>
      <c r="I26" s="188">
        <v>2000</v>
      </c>
      <c r="J26" s="189">
        <v>0</v>
      </c>
      <c r="K26" s="189">
        <v>60000</v>
      </c>
      <c r="L26" s="189" t="s">
        <v>273</v>
      </c>
      <c r="M26" s="189" t="s">
        <v>321</v>
      </c>
      <c r="N26" s="247" t="str">
        <f>IF(A26="k_CalRelNum_Cnt_u8[12]","CalRelNum",IF(F26="Y","TunSetCalSeg",IF(F26="N", "FlashCalSeg", "")))</f>
        <v>TunSetCalSeg</v>
      </c>
    </row>
    <row r="27" spans="1:14" ht="30.6" x14ac:dyDescent="0.25">
      <c r="A27" s="190" t="s">
        <v>312</v>
      </c>
      <c r="B27" s="184" t="s">
        <v>313</v>
      </c>
      <c r="C27" s="185" t="s">
        <v>277</v>
      </c>
      <c r="D27" s="185" t="s">
        <v>203</v>
      </c>
      <c r="E27" s="185" t="s">
        <v>314</v>
      </c>
      <c r="F27" s="186" t="s">
        <v>81</v>
      </c>
      <c r="G27" s="187" t="s">
        <v>82</v>
      </c>
      <c r="H27" s="187"/>
      <c r="I27" s="188">
        <v>160</v>
      </c>
      <c r="J27" s="189">
        <v>0</v>
      </c>
      <c r="K27" s="189">
        <v>255</v>
      </c>
      <c r="L27" s="189" t="s">
        <v>311</v>
      </c>
      <c r="M27" s="189" t="s">
        <v>261</v>
      </c>
      <c r="N27" s="247" t="str">
        <f>IF(A27="k_CalRelNum_Cnt_u8[12]","CalRelNum",IF(F27="Y","TunSetCalSeg",IF(F27="N", "FlashCalSeg", "")))</f>
        <v>TunSetCalSeg</v>
      </c>
    </row>
    <row r="28" spans="1:14" ht="30.6" x14ac:dyDescent="0.25">
      <c r="A28" s="190" t="s">
        <v>308</v>
      </c>
      <c r="B28" s="184" t="s">
        <v>309</v>
      </c>
      <c r="C28" s="185" t="s">
        <v>277</v>
      </c>
      <c r="D28" s="185" t="s">
        <v>203</v>
      </c>
      <c r="E28" s="185" t="s">
        <v>310</v>
      </c>
      <c r="F28" s="186" t="s">
        <v>81</v>
      </c>
      <c r="G28" s="187" t="s">
        <v>82</v>
      </c>
      <c r="H28" s="187"/>
      <c r="I28" s="188">
        <v>60</v>
      </c>
      <c r="J28" s="189">
        <v>0</v>
      </c>
      <c r="K28" s="189">
        <v>255</v>
      </c>
      <c r="L28" s="189" t="s">
        <v>311</v>
      </c>
      <c r="M28" s="189" t="s">
        <v>261</v>
      </c>
      <c r="N28" s="247" t="str">
        <f>IF(A28="k_CalRelNum_Cnt_u8[12]","CalRelNum",IF(F28="Y","TunSetCalSeg",IF(F28="N", "FlashCalSeg", "")))</f>
        <v>TunSetCalSeg</v>
      </c>
    </row>
    <row r="29" spans="1:14" ht="30.6" x14ac:dyDescent="0.25">
      <c r="A29" s="190" t="s">
        <v>304</v>
      </c>
      <c r="B29" s="184" t="s">
        <v>305</v>
      </c>
      <c r="C29" s="185" t="s">
        <v>277</v>
      </c>
      <c r="D29" s="185" t="s">
        <v>203</v>
      </c>
      <c r="E29" s="185" t="s">
        <v>306</v>
      </c>
      <c r="F29" s="186" t="s">
        <v>81</v>
      </c>
      <c r="G29" s="187" t="s">
        <v>82</v>
      </c>
      <c r="H29" s="187"/>
      <c r="I29" s="188">
        <v>1</v>
      </c>
      <c r="J29" s="189">
        <v>0</v>
      </c>
      <c r="K29" s="189">
        <v>100</v>
      </c>
      <c r="L29" s="189" t="s">
        <v>307</v>
      </c>
      <c r="M29" s="189" t="s">
        <v>261</v>
      </c>
      <c r="N29" s="247" t="str">
        <f>IF(A29="k_CalRelNum_Cnt_u8[12]","CalRelNum",IF(F29="Y","TunSetCalSeg",IF(F29="N", "FlashCalSeg", "")))</f>
        <v>TunSetCalSeg</v>
      </c>
    </row>
    <row r="30" spans="1:14" ht="30.6" x14ac:dyDescent="0.25">
      <c r="A30" s="190" t="s">
        <v>315</v>
      </c>
      <c r="B30" s="184" t="s">
        <v>316</v>
      </c>
      <c r="C30" s="185" t="s">
        <v>277</v>
      </c>
      <c r="D30" s="185" t="s">
        <v>203</v>
      </c>
      <c r="E30" s="185" t="s">
        <v>317</v>
      </c>
      <c r="F30" s="186" t="s">
        <v>81</v>
      </c>
      <c r="G30" s="187" t="s">
        <v>82</v>
      </c>
      <c r="H30" s="187"/>
      <c r="I30" s="188">
        <v>1</v>
      </c>
      <c r="J30" s="189">
        <v>0</v>
      </c>
      <c r="K30" s="189">
        <v>360</v>
      </c>
      <c r="L30" s="189" t="s">
        <v>290</v>
      </c>
      <c r="M30" s="189" t="s">
        <v>261</v>
      </c>
      <c r="N30" s="247" t="str">
        <f>IF(A30="k_CalRelNum_Cnt_u8[12]","CalRelNum",IF(F30="Y","TunSetCalSeg",IF(F30="N", "FlashCalSeg", "")))</f>
        <v>TunSetCalSeg</v>
      </c>
    </row>
    <row r="31" spans="1:14" ht="61.2" x14ac:dyDescent="0.25">
      <c r="A31" s="190" t="s">
        <v>344</v>
      </c>
      <c r="B31" s="184" t="s">
        <v>345</v>
      </c>
      <c r="C31" s="185" t="s">
        <v>277</v>
      </c>
      <c r="D31" s="185" t="s">
        <v>203</v>
      </c>
      <c r="E31" s="185" t="s">
        <v>346</v>
      </c>
      <c r="F31" s="186" t="s">
        <v>81</v>
      </c>
      <c r="G31" s="187" t="s">
        <v>82</v>
      </c>
      <c r="H31" s="187"/>
      <c r="I31" s="188">
        <v>0.25</v>
      </c>
      <c r="J31" s="189">
        <v>0</v>
      </c>
      <c r="K31" s="189">
        <v>10</v>
      </c>
      <c r="L31" s="189" t="s">
        <v>265</v>
      </c>
      <c r="M31" s="189" t="s">
        <v>261</v>
      </c>
      <c r="N31" s="247" t="str">
        <f>IF(A31="k_CalRelNum_Cnt_u8[12]","CalRelNum",IF(F31="Y","TunSetCalSeg",IF(F31="N", "FlashCalSeg", "")))</f>
        <v>TunSetCalSeg</v>
      </c>
    </row>
    <row r="32" spans="1:14" ht="40.799999999999997" x14ac:dyDescent="0.25">
      <c r="A32" s="190" t="s">
        <v>362</v>
      </c>
      <c r="B32" s="184" t="s">
        <v>363</v>
      </c>
      <c r="C32" s="185" t="s">
        <v>277</v>
      </c>
      <c r="D32" s="185" t="s">
        <v>203</v>
      </c>
      <c r="E32" s="185" t="s">
        <v>364</v>
      </c>
      <c r="F32" s="186" t="s">
        <v>81</v>
      </c>
      <c r="G32" s="187" t="s">
        <v>82</v>
      </c>
      <c r="H32" s="187"/>
      <c r="I32" s="188">
        <v>0.04</v>
      </c>
      <c r="J32" s="189">
        <v>0.03</v>
      </c>
      <c r="K32" s="189">
        <v>0.06</v>
      </c>
      <c r="L32" s="189" t="s">
        <v>300</v>
      </c>
      <c r="M32" s="189" t="s">
        <v>261</v>
      </c>
      <c r="N32" s="247" t="str">
        <f>IF(A32="k_CalRelNum_Cnt_u8[12]","CalRelNum",IF(F32="Y","TunSetCalSeg",IF(F32="N", "FlashCalSeg", "")))</f>
        <v>TunSetCalSeg</v>
      </c>
    </row>
    <row r="33" spans="1:14" ht="30.6" x14ac:dyDescent="0.25">
      <c r="A33" s="190" t="s">
        <v>278</v>
      </c>
      <c r="B33" s="184" t="s">
        <v>279</v>
      </c>
      <c r="C33" s="185" t="s">
        <v>277</v>
      </c>
      <c r="D33" s="185" t="s">
        <v>203</v>
      </c>
      <c r="E33" s="185" t="s">
        <v>280</v>
      </c>
      <c r="F33" s="186" t="s">
        <v>81</v>
      </c>
      <c r="G33" s="187" t="s">
        <v>82</v>
      </c>
      <c r="H33" s="187"/>
      <c r="I33" s="188">
        <v>0.22223232082821101</v>
      </c>
      <c r="J33" s="215">
        <v>1.25584782371357E-3</v>
      </c>
      <c r="K33" s="189">
        <v>0.71539045666397105</v>
      </c>
      <c r="L33" s="189" t="s">
        <v>262</v>
      </c>
      <c r="M33" s="189" t="s">
        <v>261</v>
      </c>
      <c r="N33" s="247" t="str">
        <f>IF(A33="k_CalRelNum_Cnt_u8[12]","CalRelNum",IF(F33="Y","TunSetCalSeg",IF(F33="N", "FlashCalSeg", "")))</f>
        <v>TunSetCalSeg</v>
      </c>
    </row>
    <row r="34" spans="1:14" ht="30.6" x14ac:dyDescent="0.25">
      <c r="A34" s="190" t="s">
        <v>353</v>
      </c>
      <c r="B34" s="184" t="s">
        <v>354</v>
      </c>
      <c r="C34" s="185" t="s">
        <v>277</v>
      </c>
      <c r="D34" s="185" t="s">
        <v>203</v>
      </c>
      <c r="E34" s="185" t="s">
        <v>355</v>
      </c>
      <c r="F34" s="186" t="s">
        <v>81</v>
      </c>
      <c r="G34" s="187" t="s">
        <v>82</v>
      </c>
      <c r="H34" s="187"/>
      <c r="I34" s="188">
        <v>0.26959730895135398</v>
      </c>
      <c r="J34" s="215">
        <v>6.2634873752217502E-3</v>
      </c>
      <c r="K34" s="189">
        <v>1</v>
      </c>
      <c r="L34" s="189" t="s">
        <v>262</v>
      </c>
      <c r="M34" s="189" t="s">
        <v>261</v>
      </c>
      <c r="N34" s="247" t="str">
        <f>IF(A34="k_CalRelNum_Cnt_u8[12]","CalRelNum",IF(F34="Y","TunSetCalSeg",IF(F34="N", "FlashCalSeg", "")))</f>
        <v>TunSetCalSeg</v>
      </c>
    </row>
    <row r="35" spans="1:14" ht="40.799999999999997" x14ac:dyDescent="0.25">
      <c r="A35" s="190" t="s">
        <v>356</v>
      </c>
      <c r="B35" s="184" t="s">
        <v>357</v>
      </c>
      <c r="C35" s="185" t="s">
        <v>277</v>
      </c>
      <c r="D35" s="185" t="s">
        <v>203</v>
      </c>
      <c r="E35" s="185" t="s">
        <v>358</v>
      </c>
      <c r="F35" s="186" t="s">
        <v>81</v>
      </c>
      <c r="G35" s="187" t="s">
        <v>82</v>
      </c>
      <c r="H35" s="187"/>
      <c r="I35" s="188">
        <v>3</v>
      </c>
      <c r="J35" s="189">
        <v>0</v>
      </c>
      <c r="K35" s="189">
        <v>10</v>
      </c>
      <c r="L35" s="189" t="s">
        <v>265</v>
      </c>
      <c r="M35" s="189" t="s">
        <v>261</v>
      </c>
      <c r="N35" s="247" t="str">
        <f>IF(A35="k_CalRelNum_Cnt_u8[12]","CalRelNum",IF(F35="Y","TunSetCalSeg",IF(F35="N", "FlashCalSeg", "")))</f>
        <v>TunSetCalSeg</v>
      </c>
    </row>
    <row r="36" spans="1:14" ht="30.6" x14ac:dyDescent="0.25">
      <c r="A36" s="190" t="s">
        <v>350</v>
      </c>
      <c r="B36" s="184" t="s">
        <v>351</v>
      </c>
      <c r="C36" s="185" t="s">
        <v>277</v>
      </c>
      <c r="D36" s="185" t="s">
        <v>203</v>
      </c>
      <c r="E36" s="185" t="s">
        <v>352</v>
      </c>
      <c r="F36" s="186" t="s">
        <v>81</v>
      </c>
      <c r="G36" s="187" t="s">
        <v>82</v>
      </c>
      <c r="H36" s="187"/>
      <c r="I36" s="188">
        <v>45</v>
      </c>
      <c r="J36" s="189">
        <v>5</v>
      </c>
      <c r="K36" s="189">
        <v>120</v>
      </c>
      <c r="L36" s="189" t="s">
        <v>134</v>
      </c>
      <c r="M36" s="189" t="s">
        <v>261</v>
      </c>
      <c r="N36" s="247" t="str">
        <f>IF(A36="k_CalRelNum_Cnt_u8[12]","CalRelNum",IF(F36="Y","TunSetCalSeg",IF(F36="N", "FlashCalSeg", "")))</f>
        <v>TunSetCalSeg</v>
      </c>
    </row>
    <row r="37" spans="1:14" ht="30.6" x14ac:dyDescent="0.25">
      <c r="A37" s="190" t="s">
        <v>347</v>
      </c>
      <c r="B37" s="184" t="s">
        <v>348</v>
      </c>
      <c r="C37" s="185" t="s">
        <v>277</v>
      </c>
      <c r="D37" s="185" t="s">
        <v>203</v>
      </c>
      <c r="E37" s="185" t="s">
        <v>349</v>
      </c>
      <c r="F37" s="186" t="s">
        <v>81</v>
      </c>
      <c r="G37" s="187" t="s">
        <v>82</v>
      </c>
      <c r="H37" s="187"/>
      <c r="I37" s="188">
        <v>0.5</v>
      </c>
      <c r="J37" s="189">
        <v>0</v>
      </c>
      <c r="K37" s="189">
        <v>4</v>
      </c>
      <c r="L37" s="189" t="s">
        <v>265</v>
      </c>
      <c r="M37" s="189" t="s">
        <v>261</v>
      </c>
      <c r="N37" s="247" t="str">
        <f>IF(A37="k_CalRelNum_Cnt_u8[12]","CalRelNum",IF(F37="Y","TunSetCalSeg",IF(F37="N", "FlashCalSeg", "")))</f>
        <v>TunSetCalSeg</v>
      </c>
    </row>
    <row r="38" spans="1:14" ht="30.6" x14ac:dyDescent="0.25">
      <c r="A38" s="190" t="s">
        <v>375</v>
      </c>
      <c r="B38" s="184" t="s">
        <v>376</v>
      </c>
      <c r="C38" s="185" t="s">
        <v>277</v>
      </c>
      <c r="D38" s="185" t="s">
        <v>203</v>
      </c>
      <c r="E38" s="185" t="s">
        <v>377</v>
      </c>
      <c r="F38" s="186" t="s">
        <v>81</v>
      </c>
      <c r="G38" s="187" t="s">
        <v>82</v>
      </c>
      <c r="H38" s="187"/>
      <c r="I38" s="188">
        <v>100</v>
      </c>
      <c r="J38" s="189">
        <v>0</v>
      </c>
      <c r="K38" s="189">
        <v>100</v>
      </c>
      <c r="L38" s="189" t="s">
        <v>378</v>
      </c>
      <c r="M38" s="189" t="s">
        <v>261</v>
      </c>
      <c r="N38" s="247" t="str">
        <f>IF(A38="k_CalRelNum_Cnt_u8[12]","CalRelNum",IF(F38="Y","TunSetCalSeg",IF(F38="N", "FlashCalSeg", "")))</f>
        <v>TunSetCalSeg</v>
      </c>
    </row>
    <row r="39" spans="1:14" ht="30.6" x14ac:dyDescent="0.25">
      <c r="A39" s="190" t="s">
        <v>341</v>
      </c>
      <c r="B39" s="184" t="s">
        <v>342</v>
      </c>
      <c r="C39" s="185" t="s">
        <v>277</v>
      </c>
      <c r="D39" s="185" t="s">
        <v>203</v>
      </c>
      <c r="E39" s="185" t="s">
        <v>343</v>
      </c>
      <c r="F39" s="186" t="s">
        <v>81</v>
      </c>
      <c r="G39" s="187" t="s">
        <v>82</v>
      </c>
      <c r="H39" s="187"/>
      <c r="I39" s="214">
        <v>6.2634873752217502E-3</v>
      </c>
      <c r="J39" s="215">
        <v>1.2565581079082599E-4</v>
      </c>
      <c r="K39" s="189">
        <v>0.71539045666397105</v>
      </c>
      <c r="L39" s="189" t="s">
        <v>262</v>
      </c>
      <c r="M39" s="189" t="s">
        <v>261</v>
      </c>
      <c r="N39" s="247" t="str">
        <f>IF(A39="k_CalRelNum_Cnt_u8[12]","CalRelNum",IF(F39="Y","TunSetCalSeg",IF(F39="N", "FlashCalSeg", "")))</f>
        <v>TunSetCalSeg</v>
      </c>
    </row>
    <row r="40" spans="1:14" ht="51" x14ac:dyDescent="0.25">
      <c r="A40" s="190" t="s">
        <v>338</v>
      </c>
      <c r="B40" s="184" t="s">
        <v>339</v>
      </c>
      <c r="C40" s="185" t="s">
        <v>277</v>
      </c>
      <c r="D40" s="185" t="s">
        <v>203</v>
      </c>
      <c r="E40" s="185" t="s">
        <v>340</v>
      </c>
      <c r="F40" s="186" t="s">
        <v>81</v>
      </c>
      <c r="G40" s="187" t="s">
        <v>82</v>
      </c>
      <c r="H40" s="187"/>
      <c r="I40" s="252">
        <v>3</v>
      </c>
      <c r="J40" s="253">
        <v>0</v>
      </c>
      <c r="K40" s="189">
        <v>10</v>
      </c>
      <c r="L40" s="189" t="s">
        <v>265</v>
      </c>
      <c r="M40" s="189" t="s">
        <v>261</v>
      </c>
      <c r="N40" s="247" t="str">
        <f>IF(A40="k_CalRelNum_Cnt_u8[12]","CalRelNum",IF(F40="Y","TunSetCalSeg",IF(F40="N", "FlashCalSeg", "")))</f>
        <v>TunSetCalSeg</v>
      </c>
    </row>
    <row r="41" spans="1:14" ht="102" x14ac:dyDescent="0.25">
      <c r="A41" s="190" t="s">
        <v>329</v>
      </c>
      <c r="B41" s="184" t="s">
        <v>330</v>
      </c>
      <c r="C41" s="185" t="s">
        <v>277</v>
      </c>
      <c r="D41" s="185" t="s">
        <v>203</v>
      </c>
      <c r="E41" s="185" t="s">
        <v>331</v>
      </c>
      <c r="F41" s="186" t="s">
        <v>81</v>
      </c>
      <c r="G41" s="187" t="s">
        <v>82</v>
      </c>
      <c r="H41" s="187"/>
      <c r="I41" s="188">
        <v>45</v>
      </c>
      <c r="J41" s="189">
        <v>5</v>
      </c>
      <c r="K41" s="189">
        <v>200</v>
      </c>
      <c r="L41" s="189" t="s">
        <v>328</v>
      </c>
      <c r="M41" s="189" t="s">
        <v>261</v>
      </c>
      <c r="N41" s="247" t="str">
        <f>IF(A41="k_CalRelNum_Cnt_u8[12]","CalRelNum",IF(F41="Y","TunSetCalSeg",IF(F41="N", "FlashCalSeg", "")))</f>
        <v>TunSetCalSeg</v>
      </c>
    </row>
    <row r="42" spans="1:14" ht="40.799999999999997" x14ac:dyDescent="0.25">
      <c r="A42" s="190" t="s">
        <v>325</v>
      </c>
      <c r="B42" s="184" t="s">
        <v>326</v>
      </c>
      <c r="C42" s="185" t="s">
        <v>277</v>
      </c>
      <c r="D42" s="185" t="s">
        <v>203</v>
      </c>
      <c r="E42" s="185" t="s">
        <v>327</v>
      </c>
      <c r="F42" s="186" t="s">
        <v>81</v>
      </c>
      <c r="G42" s="187" t="s">
        <v>82</v>
      </c>
      <c r="H42" s="187"/>
      <c r="I42" s="252">
        <v>45</v>
      </c>
      <c r="J42" s="253">
        <v>5</v>
      </c>
      <c r="K42" s="189">
        <v>200</v>
      </c>
      <c r="L42" s="189" t="s">
        <v>328</v>
      </c>
      <c r="M42" s="189" t="s">
        <v>261</v>
      </c>
      <c r="N42" s="247" t="str">
        <f>IF(A42="k_CalRelNum_Cnt_u8[12]","CalRelNum",IF(F42="Y","TunSetCalSeg",IF(F42="N", "FlashCalSeg", "")))</f>
        <v>TunSetCalSeg</v>
      </c>
    </row>
    <row r="43" spans="1:14" ht="30.6" x14ac:dyDescent="0.25">
      <c r="A43" s="190" t="s">
        <v>322</v>
      </c>
      <c r="B43" s="184" t="s">
        <v>323</v>
      </c>
      <c r="C43" s="185" t="s">
        <v>277</v>
      </c>
      <c r="D43" s="185" t="s">
        <v>203</v>
      </c>
      <c r="E43" s="185" t="s">
        <v>324</v>
      </c>
      <c r="F43" s="186" t="s">
        <v>81</v>
      </c>
      <c r="G43" s="187" t="s">
        <v>82</v>
      </c>
      <c r="H43" s="187"/>
      <c r="I43" s="188">
        <v>1</v>
      </c>
      <c r="J43" s="189">
        <v>0</v>
      </c>
      <c r="K43" s="189">
        <v>4</v>
      </c>
      <c r="L43" s="189" t="s">
        <v>265</v>
      </c>
      <c r="M43" s="189" t="s">
        <v>261</v>
      </c>
      <c r="N43" s="247" t="str">
        <f>IF(A43="k_CalRelNum_Cnt_u8[12]","CalRelNum",IF(F43="Y","TunSetCalSeg",IF(F43="N", "FlashCalSeg", "")))</f>
        <v>TunSetCalSeg</v>
      </c>
    </row>
    <row r="44" spans="1:14" ht="61.2" x14ac:dyDescent="0.25">
      <c r="A44" s="190" t="s">
        <v>332</v>
      </c>
      <c r="B44" s="184" t="s">
        <v>333</v>
      </c>
      <c r="C44" s="185" t="s">
        <v>277</v>
      </c>
      <c r="D44" s="185" t="s">
        <v>203</v>
      </c>
      <c r="E44" s="185" t="s">
        <v>334</v>
      </c>
      <c r="F44" s="186" t="s">
        <v>81</v>
      </c>
      <c r="G44" s="187" t="s">
        <v>82</v>
      </c>
      <c r="H44" s="187"/>
      <c r="I44" s="188">
        <v>100</v>
      </c>
      <c r="J44" s="253">
        <v>0</v>
      </c>
      <c r="K44" s="189">
        <v>30000</v>
      </c>
      <c r="L44" s="189" t="s">
        <v>273</v>
      </c>
      <c r="M44" s="189" t="s">
        <v>321</v>
      </c>
      <c r="N44" s="247" t="str">
        <f>IF(A44="k_CalRelNum_Cnt_u8[12]","CalRelNum",IF(F44="Y","TunSetCalSeg",IF(F44="N", "FlashCalSeg", "")))</f>
        <v>TunSetCalSeg</v>
      </c>
    </row>
    <row r="45" spans="1:14" ht="40.799999999999997" x14ac:dyDescent="0.25">
      <c r="A45" s="190" t="s">
        <v>335</v>
      </c>
      <c r="B45" s="184" t="s">
        <v>336</v>
      </c>
      <c r="C45" s="185" t="s">
        <v>277</v>
      </c>
      <c r="D45" s="185" t="s">
        <v>203</v>
      </c>
      <c r="E45" s="185" t="s">
        <v>337</v>
      </c>
      <c r="F45" s="186" t="s">
        <v>81</v>
      </c>
      <c r="G45" s="187" t="s">
        <v>82</v>
      </c>
      <c r="H45" s="187"/>
      <c r="I45" s="188">
        <v>1</v>
      </c>
      <c r="J45" s="189">
        <v>0.1</v>
      </c>
      <c r="K45" s="189">
        <v>30</v>
      </c>
      <c r="L45" s="189" t="s">
        <v>328</v>
      </c>
      <c r="M45" s="189" t="s">
        <v>261</v>
      </c>
      <c r="N45" s="247" t="str">
        <f>IF(A45="k_CalRelNum_Cnt_u8[12]","CalRelNum",IF(F45="Y","TunSetCalSeg",IF(F45="N", "FlashCalSeg", "")))</f>
        <v>TunSetCalSeg</v>
      </c>
    </row>
    <row r="46" spans="1:14" ht="30.6" x14ac:dyDescent="0.25">
      <c r="A46" s="190" t="s">
        <v>284</v>
      </c>
      <c r="B46" s="184" t="s">
        <v>285</v>
      </c>
      <c r="C46" s="185" t="s">
        <v>277</v>
      </c>
      <c r="D46" s="185" t="s">
        <v>203</v>
      </c>
      <c r="E46" s="185" t="s">
        <v>286</v>
      </c>
      <c r="F46" s="186" t="s">
        <v>81</v>
      </c>
      <c r="G46" s="187" t="s">
        <v>82</v>
      </c>
      <c r="H46" s="187"/>
      <c r="I46" s="188">
        <v>45</v>
      </c>
      <c r="J46" s="253">
        <v>0</v>
      </c>
      <c r="K46" s="189">
        <v>900</v>
      </c>
      <c r="L46" s="189" t="s">
        <v>268</v>
      </c>
      <c r="M46" s="189" t="s">
        <v>261</v>
      </c>
      <c r="N46" s="247" t="str">
        <f>IF(A46="k_CalRelNum_Cnt_u8[12]","CalRelNum",IF(F46="Y","TunSetCalSeg",IF(F46="N", "FlashCalSeg", "")))</f>
        <v>TunSetCalSeg</v>
      </c>
    </row>
    <row r="47" spans="1:14" ht="30.6" x14ac:dyDescent="0.25">
      <c r="A47" s="190" t="s">
        <v>281</v>
      </c>
      <c r="B47" s="184" t="s">
        <v>282</v>
      </c>
      <c r="C47" s="185" t="s">
        <v>277</v>
      </c>
      <c r="D47" s="185" t="s">
        <v>203</v>
      </c>
      <c r="E47" s="185" t="s">
        <v>283</v>
      </c>
      <c r="F47" s="186" t="s">
        <v>81</v>
      </c>
      <c r="G47" s="187" t="s">
        <v>82</v>
      </c>
      <c r="H47" s="187"/>
      <c r="I47" s="188">
        <v>3</v>
      </c>
      <c r="J47" s="189">
        <v>0</v>
      </c>
      <c r="K47" s="189">
        <v>10</v>
      </c>
      <c r="L47" s="189" t="s">
        <v>265</v>
      </c>
      <c r="M47" s="189" t="s">
        <v>261</v>
      </c>
      <c r="N47" s="247" t="str">
        <f>IF(A47="k_CalRelNum_Cnt_u8[12]","CalRelNum",IF(F47="Y","TunSetCalSeg",IF(F47="N", "FlashCalSeg", "")))</f>
        <v>TunSetCalSeg</v>
      </c>
    </row>
    <row r="48" spans="1:14" ht="30.6" x14ac:dyDescent="0.25">
      <c r="A48" s="190" t="s">
        <v>287</v>
      </c>
      <c r="B48" s="184" t="s">
        <v>288</v>
      </c>
      <c r="C48" s="185" t="s">
        <v>277</v>
      </c>
      <c r="D48" s="185" t="s">
        <v>203</v>
      </c>
      <c r="E48" s="185" t="s">
        <v>289</v>
      </c>
      <c r="F48" s="186" t="s">
        <v>81</v>
      </c>
      <c r="G48" s="187" t="s">
        <v>82</v>
      </c>
      <c r="H48" s="187"/>
      <c r="I48" s="188">
        <v>1</v>
      </c>
      <c r="J48" s="189">
        <v>0</v>
      </c>
      <c r="K48" s="189">
        <v>360</v>
      </c>
      <c r="L48" s="189" t="s">
        <v>290</v>
      </c>
      <c r="M48" s="189" t="s">
        <v>261</v>
      </c>
      <c r="N48" s="247" t="str">
        <f>IF(A48="k_CalRelNum_Cnt_u8[12]","CalRelNum",IF(F48="Y","TunSetCalSeg",IF(F48="N", "FlashCalSeg", "")))</f>
        <v>TunSetCalSeg</v>
      </c>
    </row>
    <row r="49" spans="1:14" ht="30.6" x14ac:dyDescent="0.25">
      <c r="A49" s="190" t="s">
        <v>359</v>
      </c>
      <c r="B49" s="184" t="s">
        <v>360</v>
      </c>
      <c r="C49" s="185" t="s">
        <v>277</v>
      </c>
      <c r="D49" s="185" t="s">
        <v>203</v>
      </c>
      <c r="E49" s="185" t="s">
        <v>361</v>
      </c>
      <c r="F49" s="186" t="s">
        <v>81</v>
      </c>
      <c r="G49" s="187" t="s">
        <v>82</v>
      </c>
      <c r="H49" s="187"/>
      <c r="I49" s="188">
        <v>1</v>
      </c>
      <c r="J49" s="189">
        <v>0</v>
      </c>
      <c r="K49" s="189">
        <v>10</v>
      </c>
      <c r="L49" s="189" t="s">
        <v>265</v>
      </c>
      <c r="M49" s="189" t="s">
        <v>261</v>
      </c>
      <c r="N49" s="247" t="str">
        <f>IF(A49="k_CalRelNum_Cnt_u8[12]","CalRelNum",IF(F49="Y","TunSetCalSeg",IF(F49="N", "FlashCalSeg", "")))</f>
        <v>TunSetCalSeg</v>
      </c>
    </row>
    <row r="50" spans="1:14" ht="30.6" x14ac:dyDescent="0.25">
      <c r="A50" s="190" t="s">
        <v>274</v>
      </c>
      <c r="B50" s="184" t="s">
        <v>275</v>
      </c>
      <c r="C50" s="185" t="s">
        <v>277</v>
      </c>
      <c r="D50" s="185" t="s">
        <v>203</v>
      </c>
      <c r="E50" s="185" t="s">
        <v>276</v>
      </c>
      <c r="F50" s="186" t="s">
        <v>81</v>
      </c>
      <c r="G50" s="187" t="s">
        <v>82</v>
      </c>
      <c r="H50" s="187"/>
      <c r="I50" s="214">
        <v>3.6997346603025102E-2</v>
      </c>
      <c r="J50" s="215">
        <v>1.25584782371357E-3</v>
      </c>
      <c r="K50" s="189">
        <v>0.71539045666397105</v>
      </c>
      <c r="L50" s="189" t="s">
        <v>262</v>
      </c>
      <c r="M50" s="189" t="s">
        <v>261</v>
      </c>
      <c r="N50" s="247" t="str">
        <f>IF(A50="k_CalRelNum_Cnt_u8[12]","CalRelNum",IF(F50="Y","TunSetCalSeg",IF(F50="N", "FlashCalSeg", "")))</f>
        <v>TunSetCalSeg</v>
      </c>
    </row>
    <row r="51" spans="1:14" ht="30.6" x14ac:dyDescent="0.25">
      <c r="A51" s="190" t="s">
        <v>365</v>
      </c>
      <c r="B51" s="184" t="s">
        <v>366</v>
      </c>
      <c r="C51" s="185" t="s">
        <v>277</v>
      </c>
      <c r="D51" s="185" t="s">
        <v>203</v>
      </c>
      <c r="E51" s="185" t="s">
        <v>367</v>
      </c>
      <c r="F51" s="186" t="s">
        <v>81</v>
      </c>
      <c r="G51" s="187" t="s">
        <v>82</v>
      </c>
      <c r="H51" s="187" t="s">
        <v>368</v>
      </c>
      <c r="I51" s="188" t="s">
        <v>369</v>
      </c>
      <c r="J51" s="189">
        <v>0</v>
      </c>
      <c r="K51" s="189">
        <v>255</v>
      </c>
      <c r="L51" s="189" t="s">
        <v>311</v>
      </c>
      <c r="M51" s="189" t="s">
        <v>370</v>
      </c>
      <c r="N51" s="247" t="str">
        <f>IF(A51="k_CalRelNum_Cnt_u8[12]","CalRelNum",IF(F51="Y","TunSetCalSeg",IF(F51="N", "FlashCalSeg", "")))</f>
        <v>TunSetCalSeg</v>
      </c>
    </row>
    <row r="52" spans="1:14" ht="30.6" x14ac:dyDescent="0.25">
      <c r="A52" s="190" t="s">
        <v>371</v>
      </c>
      <c r="B52" s="184" t="s">
        <v>366</v>
      </c>
      <c r="C52" s="185" t="s">
        <v>277</v>
      </c>
      <c r="D52" s="185" t="s">
        <v>203</v>
      </c>
      <c r="E52" s="185" t="s">
        <v>367</v>
      </c>
      <c r="F52" s="186" t="s">
        <v>81</v>
      </c>
      <c r="G52" s="187" t="s">
        <v>82</v>
      </c>
      <c r="H52" s="187" t="s">
        <v>372</v>
      </c>
      <c r="I52" s="188" t="s">
        <v>373</v>
      </c>
      <c r="J52" s="189">
        <v>0</v>
      </c>
      <c r="K52" s="189">
        <v>1</v>
      </c>
      <c r="L52" s="189" t="s">
        <v>300</v>
      </c>
      <c r="M52" s="189" t="s">
        <v>374</v>
      </c>
      <c r="N52" s="247" t="str">
        <f>IF(A52="k_CalRelNum_Cnt_u8[12]","CalRelNum",IF(F52="Y","TunSetCalSeg",IF(F52="N", "FlashCalSeg", "")))</f>
        <v>TunSetCalSeg</v>
      </c>
    </row>
    <row r="53" spans="1:14" ht="30.6" x14ac:dyDescent="0.25">
      <c r="A53" s="190" t="s">
        <v>382</v>
      </c>
      <c r="B53" s="184" t="s">
        <v>383</v>
      </c>
      <c r="C53" s="185" t="s">
        <v>381</v>
      </c>
      <c r="D53" s="185" t="s">
        <v>185</v>
      </c>
      <c r="E53" s="185"/>
      <c r="F53" s="186" t="s">
        <v>82</v>
      </c>
      <c r="G53" s="187" t="s">
        <v>82</v>
      </c>
      <c r="H53" s="187"/>
      <c r="I53" s="188">
        <v>50</v>
      </c>
      <c r="J53" s="189">
        <v>0</v>
      </c>
      <c r="K53" s="189">
        <v>1000</v>
      </c>
      <c r="L53" s="189" t="s">
        <v>384</v>
      </c>
      <c r="M53" s="189" t="s">
        <v>267</v>
      </c>
      <c r="N53" s="247" t="str">
        <f>IF(A53="k_CalRelNum_Cnt_u8[12]","CalRelNum",IF(F53="Y","TunSetCalSeg",IF(F53="N", "FlashCalSeg", "")))</f>
        <v>FlashCalSeg</v>
      </c>
    </row>
    <row r="54" spans="1:14" ht="30.6" x14ac:dyDescent="0.25">
      <c r="A54" s="190" t="s">
        <v>379</v>
      </c>
      <c r="B54" s="184" t="s">
        <v>380</v>
      </c>
      <c r="C54" s="185" t="s">
        <v>381</v>
      </c>
      <c r="D54" s="185" t="s">
        <v>185</v>
      </c>
      <c r="E54" s="185"/>
      <c r="F54" s="186" t="s">
        <v>82</v>
      </c>
      <c r="G54" s="187" t="s">
        <v>82</v>
      </c>
      <c r="H54" s="187"/>
      <c r="I54" s="188">
        <v>190988293</v>
      </c>
      <c r="J54" s="189">
        <v>0</v>
      </c>
      <c r="K54" s="189">
        <v>4294967296</v>
      </c>
      <c r="L54" s="189" t="s">
        <v>271</v>
      </c>
      <c r="M54" s="189" t="s">
        <v>321</v>
      </c>
      <c r="N54" s="247" t="str">
        <f>IF(A54="k_CalRelNum_Cnt_u8[12]","CalRelNum",IF(F54="Y","TunSetCalSeg",IF(F54="N", "FlashCalSeg", "")))</f>
        <v>FlashCalSeg</v>
      </c>
    </row>
    <row r="55" spans="1:14" x14ac:dyDescent="0.25">
      <c r="A55" s="190" t="s">
        <v>419</v>
      </c>
      <c r="B55" s="184" t="s">
        <v>420</v>
      </c>
      <c r="C55" s="185" t="s">
        <v>388</v>
      </c>
      <c r="D55" s="185" t="s">
        <v>189</v>
      </c>
      <c r="E55" s="185" t="s">
        <v>421</v>
      </c>
      <c r="F55" s="186" t="s">
        <v>82</v>
      </c>
      <c r="G55" s="187" t="s">
        <v>82</v>
      </c>
      <c r="H55" s="187" t="s">
        <v>422</v>
      </c>
      <c r="I55" s="188" t="s">
        <v>423</v>
      </c>
      <c r="J55" s="189">
        <v>0</v>
      </c>
      <c r="K55" s="189">
        <v>200</v>
      </c>
      <c r="L55" s="189" t="s">
        <v>424</v>
      </c>
      <c r="M55" s="189" t="s">
        <v>425</v>
      </c>
      <c r="N55" s="247" t="str">
        <f>IF(A55="k_CalRelNum_Cnt_u8[12]","CalRelNum",IF(F55="Y","TunSetCalSeg",IF(F55="N", "FlashCalSeg", "")))</f>
        <v>FlashCalSeg</v>
      </c>
    </row>
    <row r="56" spans="1:14" x14ac:dyDescent="0.25">
      <c r="A56" s="190" t="s">
        <v>426</v>
      </c>
      <c r="B56" s="184" t="s">
        <v>427</v>
      </c>
      <c r="C56" s="185" t="s">
        <v>388</v>
      </c>
      <c r="D56" s="185" t="s">
        <v>189</v>
      </c>
      <c r="E56" s="185" t="s">
        <v>428</v>
      </c>
      <c r="F56" s="186" t="s">
        <v>82</v>
      </c>
      <c r="G56" s="187" t="s">
        <v>82</v>
      </c>
      <c r="H56" s="187" t="s">
        <v>429</v>
      </c>
      <c r="I56" s="188" t="s">
        <v>430</v>
      </c>
      <c r="J56" s="189">
        <v>0</v>
      </c>
      <c r="K56" s="189">
        <v>1</v>
      </c>
      <c r="L56" s="189" t="s">
        <v>300</v>
      </c>
      <c r="M56" s="189" t="s">
        <v>374</v>
      </c>
      <c r="N56" s="247" t="str">
        <f>IF(A56="k_CalRelNum_Cnt_u8[12]","CalRelNum",IF(F56="Y","TunSetCalSeg",IF(F56="N", "FlashCalSeg", "")))</f>
        <v>FlashCalSeg</v>
      </c>
    </row>
    <row r="57" spans="1:14" ht="306" x14ac:dyDescent="0.25">
      <c r="A57" s="190" t="s">
        <v>394</v>
      </c>
      <c r="B57" s="184" t="s">
        <v>395</v>
      </c>
      <c r="C57" s="185" t="s">
        <v>388</v>
      </c>
      <c r="D57" s="185" t="s">
        <v>189</v>
      </c>
      <c r="E57" s="185" t="s">
        <v>396</v>
      </c>
      <c r="F57" s="186" t="s">
        <v>81</v>
      </c>
      <c r="G57" s="187"/>
      <c r="H57" s="187" t="s">
        <v>397</v>
      </c>
      <c r="I57" s="188" t="s">
        <v>3418</v>
      </c>
      <c r="J57" s="189">
        <v>-0.1</v>
      </c>
      <c r="K57" s="189">
        <v>15.99951171875</v>
      </c>
      <c r="L57" s="189" t="s">
        <v>256</v>
      </c>
      <c r="M57" s="189" t="s">
        <v>398</v>
      </c>
      <c r="N57" s="247" t="str">
        <f>IF(A57="k_CalRelNum_Cnt_u8[12]","CalRelNum",IF(F57="Y","TunSetCalSeg",IF(F57="N", "FlashCalSeg", "")))</f>
        <v>TunSetCalSeg</v>
      </c>
    </row>
    <row r="58" spans="1:14" ht="306" x14ac:dyDescent="0.25">
      <c r="A58" s="190" t="s">
        <v>399</v>
      </c>
      <c r="B58" s="184" t="s">
        <v>400</v>
      </c>
      <c r="C58" s="185" t="s">
        <v>388</v>
      </c>
      <c r="D58" s="185" t="s">
        <v>189</v>
      </c>
      <c r="E58" s="185" t="s">
        <v>401</v>
      </c>
      <c r="F58" s="186" t="s">
        <v>81</v>
      </c>
      <c r="G58" s="187" t="s">
        <v>82</v>
      </c>
      <c r="H58" s="187" t="s">
        <v>402</v>
      </c>
      <c r="I58" s="188" t="s">
        <v>3418</v>
      </c>
      <c r="J58" s="189">
        <v>-0.1</v>
      </c>
      <c r="K58" s="189">
        <v>15.99951171875</v>
      </c>
      <c r="L58" s="189" t="s">
        <v>256</v>
      </c>
      <c r="M58" s="189" t="s">
        <v>398</v>
      </c>
      <c r="N58" s="247" t="str">
        <f>IF(A58="k_CalRelNum_Cnt_u8[12]","CalRelNum",IF(F58="Y","TunSetCalSeg",IF(F58="N", "FlashCalSeg", "")))</f>
        <v>TunSetCalSeg</v>
      </c>
    </row>
    <row r="59" spans="1:14" ht="316.2" x14ac:dyDescent="0.25">
      <c r="A59" s="190" t="s">
        <v>385</v>
      </c>
      <c r="B59" s="184" t="s">
        <v>386</v>
      </c>
      <c r="C59" s="185" t="s">
        <v>388</v>
      </c>
      <c r="D59" s="185" t="s">
        <v>189</v>
      </c>
      <c r="E59" s="185" t="s">
        <v>387</v>
      </c>
      <c r="F59" s="186" t="s">
        <v>81</v>
      </c>
      <c r="G59" s="187"/>
      <c r="H59" s="187" t="s">
        <v>389</v>
      </c>
      <c r="I59" s="188" t="s">
        <v>3417</v>
      </c>
      <c r="J59" s="189">
        <v>0</v>
      </c>
      <c r="K59" s="189">
        <v>10</v>
      </c>
      <c r="L59" s="189" t="s">
        <v>265</v>
      </c>
      <c r="M59" s="189" t="s">
        <v>257</v>
      </c>
      <c r="N59" s="247" t="str">
        <f>IF(A59="k_CalRelNum_Cnt_u8[12]","CalRelNum",IF(F59="Y","TunSetCalSeg",IF(F59="N", "FlashCalSeg", "")))</f>
        <v>TunSetCalSeg</v>
      </c>
    </row>
    <row r="60" spans="1:14" ht="316.2" x14ac:dyDescent="0.25">
      <c r="A60" s="190" t="s">
        <v>390</v>
      </c>
      <c r="B60" s="184" t="s">
        <v>391</v>
      </c>
      <c r="C60" s="185" t="s">
        <v>388</v>
      </c>
      <c r="D60" s="185" t="s">
        <v>189</v>
      </c>
      <c r="E60" s="185" t="s">
        <v>392</v>
      </c>
      <c r="F60" s="186" t="s">
        <v>81</v>
      </c>
      <c r="G60" s="187"/>
      <c r="H60" s="187" t="s">
        <v>393</v>
      </c>
      <c r="I60" s="188" t="s">
        <v>3417</v>
      </c>
      <c r="J60" s="189">
        <v>0</v>
      </c>
      <c r="K60" s="189">
        <v>10</v>
      </c>
      <c r="L60" s="189" t="s">
        <v>265</v>
      </c>
      <c r="M60" s="189" t="s">
        <v>257</v>
      </c>
      <c r="N60" s="247" t="str">
        <f>IF(A60="k_CalRelNum_Cnt_u8[12]","CalRelNum",IF(F60="Y","TunSetCalSeg",IF(F60="N", "FlashCalSeg", "")))</f>
        <v>TunSetCalSeg</v>
      </c>
    </row>
    <row r="61" spans="1:14" ht="51" x14ac:dyDescent="0.25">
      <c r="A61" s="190" t="s">
        <v>415</v>
      </c>
      <c r="B61" s="184" t="s">
        <v>416</v>
      </c>
      <c r="C61" s="185" t="s">
        <v>388</v>
      </c>
      <c r="D61" s="185" t="s">
        <v>189</v>
      </c>
      <c r="E61" s="185" t="s">
        <v>417</v>
      </c>
      <c r="F61" s="186" t="s">
        <v>81</v>
      </c>
      <c r="G61" s="187" t="s">
        <v>82</v>
      </c>
      <c r="H61" s="187" t="s">
        <v>418</v>
      </c>
      <c r="I61" s="188" t="s">
        <v>3420</v>
      </c>
      <c r="J61" s="189">
        <v>0</v>
      </c>
      <c r="K61" s="189">
        <v>1</v>
      </c>
      <c r="L61" s="189" t="s">
        <v>260</v>
      </c>
      <c r="M61" s="189" t="s">
        <v>374</v>
      </c>
      <c r="N61" s="247" t="str">
        <f>IF(A61="k_CalRelNum_Cnt_u8[12]","CalRelNum",IF(F61="Y","TunSetCalSeg",IF(F61="N", "FlashCalSeg", "")))</f>
        <v>TunSetCalSeg</v>
      </c>
    </row>
    <row r="62" spans="1:14" ht="71.400000000000006" x14ac:dyDescent="0.25">
      <c r="A62" s="190" t="s">
        <v>410</v>
      </c>
      <c r="B62" s="184" t="s">
        <v>411</v>
      </c>
      <c r="C62" s="185" t="s">
        <v>388</v>
      </c>
      <c r="D62" s="185" t="s">
        <v>189</v>
      </c>
      <c r="E62" s="185" t="s">
        <v>412</v>
      </c>
      <c r="F62" s="186" t="s">
        <v>81</v>
      </c>
      <c r="G62" s="187" t="s">
        <v>82</v>
      </c>
      <c r="H62" s="187" t="s">
        <v>413</v>
      </c>
      <c r="I62" s="188" t="s">
        <v>3419</v>
      </c>
      <c r="J62" s="189">
        <v>0</v>
      </c>
      <c r="K62" s="189">
        <v>8</v>
      </c>
      <c r="L62" s="189" t="s">
        <v>256</v>
      </c>
      <c r="M62" s="189" t="s">
        <v>414</v>
      </c>
      <c r="N62" s="247" t="str">
        <f>IF(A62="k_CalRelNum_Cnt_u8[12]","CalRelNum",IF(F62="Y","TunSetCalSeg",IF(F62="N", "FlashCalSeg", "")))</f>
        <v>TunSetCalSeg</v>
      </c>
    </row>
    <row r="63" spans="1:14" ht="61.2" x14ac:dyDescent="0.25">
      <c r="A63" s="190" t="s">
        <v>403</v>
      </c>
      <c r="B63" s="184" t="s">
        <v>404</v>
      </c>
      <c r="C63" s="185" t="s">
        <v>406</v>
      </c>
      <c r="D63" s="185" t="s">
        <v>407</v>
      </c>
      <c r="E63" s="185" t="s">
        <v>405</v>
      </c>
      <c r="F63" s="186" t="s">
        <v>81</v>
      </c>
      <c r="G63" s="187" t="s">
        <v>82</v>
      </c>
      <c r="H63" s="187" t="s">
        <v>408</v>
      </c>
      <c r="I63" s="188" t="s">
        <v>409</v>
      </c>
      <c r="J63" s="189">
        <v>0</v>
      </c>
      <c r="K63" s="189">
        <v>511</v>
      </c>
      <c r="L63" s="189" t="s">
        <v>311</v>
      </c>
      <c r="M63" s="189" t="s">
        <v>370</v>
      </c>
      <c r="N63" s="247" t="str">
        <f>IF(A63="k_CalRelNum_Cnt_u8[12]","CalRelNum",IF(F63="Y","TunSetCalSeg",IF(F63="N", "FlashCalSeg", "")))</f>
        <v>TunSetCalSeg</v>
      </c>
    </row>
    <row r="64" spans="1:14" ht="30.6" x14ac:dyDescent="0.25">
      <c r="A64" s="190" t="s">
        <v>441</v>
      </c>
      <c r="B64" s="184" t="s">
        <v>442</v>
      </c>
      <c r="C64" s="185" t="s">
        <v>434</v>
      </c>
      <c r="D64" s="185" t="s">
        <v>247</v>
      </c>
      <c r="E64" s="185" t="s">
        <v>443</v>
      </c>
      <c r="F64" s="186" t="s">
        <v>81</v>
      </c>
      <c r="G64" s="187" t="s">
        <v>82</v>
      </c>
      <c r="H64" s="187"/>
      <c r="I64" s="188">
        <v>8</v>
      </c>
      <c r="J64" s="189">
        <v>0.1</v>
      </c>
      <c r="K64" s="189">
        <v>100</v>
      </c>
      <c r="L64" s="189" t="s">
        <v>262</v>
      </c>
      <c r="M64" s="189" t="s">
        <v>261</v>
      </c>
      <c r="N64" s="247" t="str">
        <f>IF(A64="k_CalRelNum_Cnt_u8[12]","CalRelNum",IF(F64="Y","TunSetCalSeg",IF(F64="N", "FlashCalSeg", "")))</f>
        <v>TunSetCalSeg</v>
      </c>
    </row>
    <row r="65" spans="1:14" ht="40.799999999999997" x14ac:dyDescent="0.25">
      <c r="A65" s="190" t="s">
        <v>444</v>
      </c>
      <c r="B65" s="184" t="s">
        <v>445</v>
      </c>
      <c r="C65" s="185" t="s">
        <v>434</v>
      </c>
      <c r="D65" s="185" t="s">
        <v>247</v>
      </c>
      <c r="E65" s="185" t="s">
        <v>446</v>
      </c>
      <c r="F65" s="186" t="s">
        <v>81</v>
      </c>
      <c r="G65" s="187" t="s">
        <v>82</v>
      </c>
      <c r="H65" s="187"/>
      <c r="I65" s="188">
        <v>50</v>
      </c>
      <c r="J65" s="189">
        <v>0.1</v>
      </c>
      <c r="K65" s="189">
        <v>100</v>
      </c>
      <c r="L65" s="189" t="s">
        <v>262</v>
      </c>
      <c r="M65" s="189" t="s">
        <v>261</v>
      </c>
      <c r="N65" s="247" t="str">
        <f>IF(A65="k_CalRelNum_Cnt_u8[12]","CalRelNum",IF(F65="Y","TunSetCalSeg",IF(F65="N", "FlashCalSeg", "")))</f>
        <v>TunSetCalSeg</v>
      </c>
    </row>
    <row r="66" spans="1:14" ht="20.399999999999999" x14ac:dyDescent="0.25">
      <c r="A66" s="190" t="s">
        <v>438</v>
      </c>
      <c r="B66" s="184" t="s">
        <v>439</v>
      </c>
      <c r="C66" s="185" t="s">
        <v>434</v>
      </c>
      <c r="D66" s="185" t="s">
        <v>247</v>
      </c>
      <c r="E66" s="185" t="s">
        <v>440</v>
      </c>
      <c r="F66" s="186" t="s">
        <v>81</v>
      </c>
      <c r="G66" s="187" t="s">
        <v>82</v>
      </c>
      <c r="H66" s="187"/>
      <c r="I66" s="188">
        <v>8.8000000000000007</v>
      </c>
      <c r="J66" s="189">
        <v>0</v>
      </c>
      <c r="K66" s="189">
        <v>8.8000000000000007</v>
      </c>
      <c r="L66" s="189" t="s">
        <v>256</v>
      </c>
      <c r="M66" s="189" t="s">
        <v>261</v>
      </c>
      <c r="N66" s="247" t="str">
        <f>IF(A66="k_CalRelNum_Cnt_u8[12]","CalRelNum",IF(F66="Y","TunSetCalSeg",IF(F66="N", "FlashCalSeg", "")))</f>
        <v>TunSetCalSeg</v>
      </c>
    </row>
    <row r="67" spans="1:14" ht="20.399999999999999" x14ac:dyDescent="0.25">
      <c r="A67" s="190" t="s">
        <v>435</v>
      </c>
      <c r="B67" s="184" t="s">
        <v>436</v>
      </c>
      <c r="C67" s="185" t="s">
        <v>434</v>
      </c>
      <c r="D67" s="185" t="s">
        <v>247</v>
      </c>
      <c r="E67" s="185" t="s">
        <v>437</v>
      </c>
      <c r="F67" s="186" t="s">
        <v>81</v>
      </c>
      <c r="G67" s="187" t="s">
        <v>82</v>
      </c>
      <c r="H67" s="187"/>
      <c r="I67" s="188">
        <v>8.8000000000000007</v>
      </c>
      <c r="J67" s="189">
        <v>0</v>
      </c>
      <c r="K67" s="189">
        <v>8.8000000000000007</v>
      </c>
      <c r="L67" s="189" t="s">
        <v>256</v>
      </c>
      <c r="M67" s="189" t="s">
        <v>261</v>
      </c>
      <c r="N67" s="247" t="str">
        <f>IF(A67="k_CalRelNum_Cnt_u8[12]","CalRelNum",IF(F67="Y","TunSetCalSeg",IF(F67="N", "FlashCalSeg", "")))</f>
        <v>TunSetCalSeg</v>
      </c>
    </row>
    <row r="68" spans="1:14" ht="20.399999999999999" x14ac:dyDescent="0.25">
      <c r="A68" s="190" t="s">
        <v>431</v>
      </c>
      <c r="B68" s="184" t="s">
        <v>432</v>
      </c>
      <c r="C68" s="185" t="s">
        <v>434</v>
      </c>
      <c r="D68" s="185" t="s">
        <v>247</v>
      </c>
      <c r="E68" s="185" t="s">
        <v>433</v>
      </c>
      <c r="F68" s="186" t="s">
        <v>82</v>
      </c>
      <c r="G68" s="187" t="s">
        <v>82</v>
      </c>
      <c r="H68" s="187"/>
      <c r="I68" s="188">
        <v>8.8000000000000007</v>
      </c>
      <c r="J68" s="189">
        <v>0</v>
      </c>
      <c r="K68" s="189">
        <v>8.8000000000000007</v>
      </c>
      <c r="L68" s="189" t="s">
        <v>256</v>
      </c>
      <c r="M68" s="189" t="s">
        <v>261</v>
      </c>
      <c r="N68" s="247" t="str">
        <f>IF(A68="k_CalRelNum_Cnt_u8[12]","CalRelNum",IF(F68="Y","TunSetCalSeg",IF(F68="N", "FlashCalSeg", "")))</f>
        <v>FlashCalSeg</v>
      </c>
    </row>
    <row r="69" spans="1:14" ht="20.399999999999999" x14ac:dyDescent="0.25">
      <c r="A69" s="190" t="s">
        <v>464</v>
      </c>
      <c r="B69" s="184" t="s">
        <v>465</v>
      </c>
      <c r="C69" s="185" t="s">
        <v>434</v>
      </c>
      <c r="D69" s="185" t="s">
        <v>247</v>
      </c>
      <c r="E69" s="185" t="s">
        <v>466</v>
      </c>
      <c r="F69" s="186" t="s">
        <v>81</v>
      </c>
      <c r="G69" s="187" t="s">
        <v>82</v>
      </c>
      <c r="H69" s="187"/>
      <c r="I69" s="188">
        <v>1</v>
      </c>
      <c r="J69" s="189">
        <v>0</v>
      </c>
      <c r="K69" s="189">
        <v>5000</v>
      </c>
      <c r="L69" s="189" t="s">
        <v>424</v>
      </c>
      <c r="M69" s="189" t="s">
        <v>267</v>
      </c>
      <c r="N69" s="247" t="str">
        <f>IF(A69="k_CalRelNum_Cnt_u8[12]","CalRelNum",IF(F69="Y","TunSetCalSeg",IF(F69="N", "FlashCalSeg", "")))</f>
        <v>TunSetCalSeg</v>
      </c>
    </row>
    <row r="70" spans="1:14" ht="20.399999999999999" x14ac:dyDescent="0.25">
      <c r="A70" s="190" t="s">
        <v>461</v>
      </c>
      <c r="B70" s="184" t="s">
        <v>462</v>
      </c>
      <c r="C70" s="185" t="s">
        <v>434</v>
      </c>
      <c r="D70" s="185" t="s">
        <v>247</v>
      </c>
      <c r="E70" s="185" t="s">
        <v>463</v>
      </c>
      <c r="F70" s="186" t="s">
        <v>81</v>
      </c>
      <c r="G70" s="187" t="s">
        <v>82</v>
      </c>
      <c r="H70" s="187"/>
      <c r="I70" s="188">
        <v>1</v>
      </c>
      <c r="J70" s="189">
        <v>0</v>
      </c>
      <c r="K70" s="189">
        <v>5000</v>
      </c>
      <c r="L70" s="189" t="s">
        <v>424</v>
      </c>
      <c r="M70" s="189" t="s">
        <v>267</v>
      </c>
      <c r="N70" s="247" t="str">
        <f>IF(A70="k_CalRelNum_Cnt_u8[12]","CalRelNum",IF(F70="Y","TunSetCalSeg",IF(F70="N", "FlashCalSeg", "")))</f>
        <v>TunSetCalSeg</v>
      </c>
    </row>
    <row r="71" spans="1:14" ht="40.799999999999997" x14ac:dyDescent="0.25">
      <c r="A71" s="190" t="s">
        <v>479</v>
      </c>
      <c r="B71" s="184" t="s">
        <v>480</v>
      </c>
      <c r="C71" s="185" t="s">
        <v>434</v>
      </c>
      <c r="D71" s="185" t="s">
        <v>247</v>
      </c>
      <c r="E71" s="185" t="s">
        <v>481</v>
      </c>
      <c r="F71" s="186" t="s">
        <v>81</v>
      </c>
      <c r="G71" s="187" t="s">
        <v>82</v>
      </c>
      <c r="H71" s="187"/>
      <c r="I71" s="188">
        <v>5</v>
      </c>
      <c r="J71" s="189">
        <v>0</v>
      </c>
      <c r="K71" s="189">
        <v>8.8000000000000007</v>
      </c>
      <c r="L71" s="189" t="s">
        <v>256</v>
      </c>
      <c r="M71" s="189" t="s">
        <v>261</v>
      </c>
      <c r="N71" s="247" t="str">
        <f>IF(A71="k_CalRelNum_Cnt_u8[12]","CalRelNum",IF(F71="Y","TunSetCalSeg",IF(F71="N", "FlashCalSeg", "")))</f>
        <v>TunSetCalSeg</v>
      </c>
    </row>
    <row r="72" spans="1:14" ht="20.399999999999999" x14ac:dyDescent="0.25">
      <c r="A72" s="190" t="s">
        <v>471</v>
      </c>
      <c r="B72" s="184" t="s">
        <v>472</v>
      </c>
      <c r="C72" s="185" t="s">
        <v>434</v>
      </c>
      <c r="D72" s="185" t="s">
        <v>247</v>
      </c>
      <c r="E72" s="185" t="s">
        <v>473</v>
      </c>
      <c r="F72" s="186" t="s">
        <v>81</v>
      </c>
      <c r="G72" s="187" t="s">
        <v>82</v>
      </c>
      <c r="H72" s="187"/>
      <c r="I72" s="188" t="s">
        <v>474</v>
      </c>
      <c r="J72" s="189">
        <v>0</v>
      </c>
      <c r="K72" s="189">
        <v>10</v>
      </c>
      <c r="L72" s="189" t="s">
        <v>265</v>
      </c>
      <c r="M72" s="189" t="s">
        <v>257</v>
      </c>
      <c r="N72" s="247" t="str">
        <f>IF(A72="k_CalRelNum_Cnt_u8[12]","CalRelNum",IF(F72="Y","TunSetCalSeg",IF(F72="N", "FlashCalSeg", "")))</f>
        <v>TunSetCalSeg</v>
      </c>
    </row>
    <row r="73" spans="1:14" ht="30.6" x14ac:dyDescent="0.25">
      <c r="A73" s="190" t="s">
        <v>475</v>
      </c>
      <c r="B73" s="184" t="s">
        <v>476</v>
      </c>
      <c r="C73" s="185" t="s">
        <v>434</v>
      </c>
      <c r="D73" s="185" t="s">
        <v>247</v>
      </c>
      <c r="E73" s="185" t="s">
        <v>477</v>
      </c>
      <c r="F73" s="186" t="s">
        <v>81</v>
      </c>
      <c r="G73" s="187" t="s">
        <v>82</v>
      </c>
      <c r="H73" s="187"/>
      <c r="I73" s="188" t="s">
        <v>478</v>
      </c>
      <c r="J73" s="189">
        <v>-0.1</v>
      </c>
      <c r="K73" s="189">
        <v>15.99951171875</v>
      </c>
      <c r="L73" s="189" t="s">
        <v>256</v>
      </c>
      <c r="M73" s="189" t="s">
        <v>398</v>
      </c>
      <c r="N73" s="247" t="str">
        <f>IF(A73="k_CalRelNum_Cnt_u8[12]","CalRelNum",IF(F73="Y","TunSetCalSeg",IF(F73="N", "FlashCalSeg", "")))</f>
        <v>TunSetCalSeg</v>
      </c>
    </row>
    <row r="74" spans="1:14" ht="30.6" x14ac:dyDescent="0.25">
      <c r="A74" s="190" t="s">
        <v>467</v>
      </c>
      <c r="B74" s="184" t="s">
        <v>468</v>
      </c>
      <c r="C74" s="185" t="s">
        <v>434</v>
      </c>
      <c r="D74" s="185" t="s">
        <v>247</v>
      </c>
      <c r="E74" s="185" t="s">
        <v>469</v>
      </c>
      <c r="F74" s="186" t="s">
        <v>81</v>
      </c>
      <c r="G74" s="187" t="s">
        <v>82</v>
      </c>
      <c r="H74" s="187"/>
      <c r="I74" s="188" t="s">
        <v>470</v>
      </c>
      <c r="J74" s="189">
        <v>0</v>
      </c>
      <c r="K74" s="189">
        <v>5000</v>
      </c>
      <c r="L74" s="189" t="s">
        <v>424</v>
      </c>
      <c r="M74" s="189" t="s">
        <v>267</v>
      </c>
      <c r="N74" s="247" t="str">
        <f>IF(A74="k_CalRelNum_Cnt_u8[12]","CalRelNum",IF(F74="Y","TunSetCalSeg",IF(F74="N", "FlashCalSeg", "")))</f>
        <v>TunSetCalSeg</v>
      </c>
    </row>
    <row r="75" spans="1:14" ht="40.799999999999997" x14ac:dyDescent="0.25">
      <c r="A75" s="190" t="s">
        <v>447</v>
      </c>
      <c r="B75" s="184" t="s">
        <v>448</v>
      </c>
      <c r="C75" s="185" t="s">
        <v>434</v>
      </c>
      <c r="D75" s="185" t="s">
        <v>449</v>
      </c>
      <c r="E75" s="185" t="s">
        <v>405</v>
      </c>
      <c r="F75" s="186" t="s">
        <v>81</v>
      </c>
      <c r="G75" s="187" t="s">
        <v>82</v>
      </c>
      <c r="H75" s="187" t="s">
        <v>450</v>
      </c>
      <c r="I75" s="188" t="s">
        <v>451</v>
      </c>
      <c r="J75" s="189">
        <v>0</v>
      </c>
      <c r="K75" s="189">
        <v>511</v>
      </c>
      <c r="L75" s="189" t="s">
        <v>311</v>
      </c>
      <c r="M75" s="189" t="s">
        <v>370</v>
      </c>
      <c r="N75" s="247" t="str">
        <f>IF(A75="k_CalRelNum_Cnt_u8[12]","CalRelNum",IF(F75="Y","TunSetCalSeg",IF(F75="N", "FlashCalSeg", "")))</f>
        <v>TunSetCalSeg</v>
      </c>
    </row>
    <row r="76" spans="1:14" ht="61.2" x14ac:dyDescent="0.25">
      <c r="A76" s="190" t="s">
        <v>452</v>
      </c>
      <c r="B76" s="184" t="s">
        <v>453</v>
      </c>
      <c r="C76" s="185" t="s">
        <v>434</v>
      </c>
      <c r="D76" s="185" t="s">
        <v>247</v>
      </c>
      <c r="E76" s="185" t="s">
        <v>454</v>
      </c>
      <c r="F76" s="186" t="s">
        <v>81</v>
      </c>
      <c r="G76" s="187" t="s">
        <v>82</v>
      </c>
      <c r="H76" s="187" t="s">
        <v>455</v>
      </c>
      <c r="I76" s="188" t="s">
        <v>456</v>
      </c>
      <c r="J76" s="189">
        <v>-10</v>
      </c>
      <c r="K76" s="189">
        <v>10</v>
      </c>
      <c r="L76" s="189" t="s">
        <v>265</v>
      </c>
      <c r="M76" s="189" t="s">
        <v>398</v>
      </c>
      <c r="N76" s="247" t="str">
        <f>IF(A76="k_CalRelNum_Cnt_u8[12]","CalRelNum",IF(F76="Y","TunSetCalSeg",IF(F76="N", "FlashCalSeg", "")))</f>
        <v>TunSetCalSeg</v>
      </c>
    </row>
    <row r="77" spans="1:14" ht="409.6" x14ac:dyDescent="0.25">
      <c r="A77" s="190" t="s">
        <v>457</v>
      </c>
      <c r="B77" s="184" t="s">
        <v>458</v>
      </c>
      <c r="C77" s="185" t="s">
        <v>434</v>
      </c>
      <c r="D77" s="185" t="s">
        <v>247</v>
      </c>
      <c r="E77" s="185" t="s">
        <v>459</v>
      </c>
      <c r="F77" s="186" t="s">
        <v>81</v>
      </c>
      <c r="G77" s="187" t="s">
        <v>82</v>
      </c>
      <c r="H77" s="187" t="s">
        <v>460</v>
      </c>
      <c r="I77" s="188" t="s">
        <v>1584</v>
      </c>
      <c r="J77" s="189">
        <v>-16</v>
      </c>
      <c r="K77" s="189">
        <v>15.99951171875</v>
      </c>
      <c r="L77" s="189" t="s">
        <v>256</v>
      </c>
      <c r="M77" s="189" t="s">
        <v>398</v>
      </c>
      <c r="N77" s="247" t="str">
        <f>IF(A77="k_CalRelNum_Cnt_u8[12]","CalRelNum",IF(F77="Y","TunSetCalSeg",IF(F77="N", "FlashCalSeg", "")))</f>
        <v>TunSetCalSeg</v>
      </c>
    </row>
    <row r="78" spans="1:14" ht="30.6" x14ac:dyDescent="0.25">
      <c r="A78" s="190" t="s">
        <v>482</v>
      </c>
      <c r="B78" s="184" t="s">
        <v>483</v>
      </c>
      <c r="C78" s="185" t="s">
        <v>485</v>
      </c>
      <c r="D78" s="185" t="s">
        <v>486</v>
      </c>
      <c r="E78" s="185" t="s">
        <v>484</v>
      </c>
      <c r="F78" s="186" t="s">
        <v>82</v>
      </c>
      <c r="G78" s="187" t="s">
        <v>82</v>
      </c>
      <c r="H78" s="187"/>
      <c r="I78" s="188">
        <v>8.8000000000000007</v>
      </c>
      <c r="J78" s="189">
        <v>0</v>
      </c>
      <c r="K78" s="189">
        <v>8.8000000000000007</v>
      </c>
      <c r="L78" s="189" t="s">
        <v>256</v>
      </c>
      <c r="M78" s="189" t="s">
        <v>261</v>
      </c>
      <c r="N78" s="247" t="str">
        <f>IF(A78="k_CalRelNum_Cnt_u8[12]","CalRelNum",IF(F78="Y","TunSetCalSeg",IF(F78="N", "FlashCalSeg", "")))</f>
        <v>FlashCalSeg</v>
      </c>
    </row>
    <row r="79" spans="1:14" ht="30.6" x14ac:dyDescent="0.25">
      <c r="A79" s="190" t="s">
        <v>526</v>
      </c>
      <c r="B79" s="184" t="s">
        <v>527</v>
      </c>
      <c r="C79" s="185" t="s">
        <v>490</v>
      </c>
      <c r="D79" s="185" t="s">
        <v>491</v>
      </c>
      <c r="E79" s="185" t="s">
        <v>528</v>
      </c>
      <c r="F79" s="186" t="s">
        <v>81</v>
      </c>
      <c r="G79" s="187" t="s">
        <v>82</v>
      </c>
      <c r="H79" s="187"/>
      <c r="I79" s="188">
        <v>0.1</v>
      </c>
      <c r="J79" s="189">
        <v>2.9999999999999997E-4</v>
      </c>
      <c r="K79" s="189">
        <v>16</v>
      </c>
      <c r="L79" s="189" t="s">
        <v>262</v>
      </c>
      <c r="M79" s="189" t="s">
        <v>261</v>
      </c>
      <c r="N79" s="247" t="str">
        <f>IF(A79="k_CalRelNum_Cnt_u8[12]","CalRelNum",IF(F79="Y","TunSetCalSeg",IF(F79="N", "FlashCalSeg", "")))</f>
        <v>TunSetCalSeg</v>
      </c>
    </row>
    <row r="80" spans="1:14" ht="30.6" x14ac:dyDescent="0.25">
      <c r="A80" s="190" t="s">
        <v>586</v>
      </c>
      <c r="B80" s="184" t="s">
        <v>587</v>
      </c>
      <c r="C80" s="185" t="s">
        <v>490</v>
      </c>
      <c r="D80" s="185" t="s">
        <v>491</v>
      </c>
      <c r="E80" s="185" t="s">
        <v>588</v>
      </c>
      <c r="F80" s="186" t="s">
        <v>81</v>
      </c>
      <c r="G80" s="187" t="s">
        <v>82</v>
      </c>
      <c r="H80" s="187"/>
      <c r="I80" s="188">
        <v>0</v>
      </c>
      <c r="J80" s="189">
        <v>-127</v>
      </c>
      <c r="K80" s="189">
        <v>127</v>
      </c>
      <c r="L80" s="189" t="s">
        <v>265</v>
      </c>
      <c r="M80" s="189" t="s">
        <v>261</v>
      </c>
      <c r="N80" s="247" t="str">
        <f>IF(A80="k_CalRelNum_Cnt_u8[12]","CalRelNum",IF(F80="Y","TunSetCalSeg",IF(F80="N", "FlashCalSeg", "")))</f>
        <v>TunSetCalSeg</v>
      </c>
    </row>
    <row r="81" spans="1:14" ht="30.6" x14ac:dyDescent="0.25">
      <c r="A81" s="190" t="s">
        <v>562</v>
      </c>
      <c r="B81" s="184" t="s">
        <v>563</v>
      </c>
      <c r="C81" s="185" t="s">
        <v>490</v>
      </c>
      <c r="D81" s="185" t="s">
        <v>491</v>
      </c>
      <c r="E81" s="185" t="s">
        <v>564</v>
      </c>
      <c r="F81" s="186" t="s">
        <v>81</v>
      </c>
      <c r="G81" s="187" t="s">
        <v>82</v>
      </c>
      <c r="H81" s="187"/>
      <c r="I81" s="188">
        <v>50</v>
      </c>
      <c r="J81" s="189">
        <v>1</v>
      </c>
      <c r="K81" s="189">
        <v>100</v>
      </c>
      <c r="L81" s="189" t="s">
        <v>262</v>
      </c>
      <c r="M81" s="189" t="s">
        <v>261</v>
      </c>
      <c r="N81" s="247" t="str">
        <f>IF(A81="k_CalRelNum_Cnt_u8[12]","CalRelNum",IF(F81="Y","TunSetCalSeg",IF(F81="N", "FlashCalSeg", "")))</f>
        <v>TunSetCalSeg</v>
      </c>
    </row>
    <row r="82" spans="1:14" ht="30.6" x14ac:dyDescent="0.25">
      <c r="A82" s="190" t="s">
        <v>594</v>
      </c>
      <c r="B82" s="184" t="s">
        <v>595</v>
      </c>
      <c r="C82" s="185" t="s">
        <v>490</v>
      </c>
      <c r="D82" s="185" t="s">
        <v>491</v>
      </c>
      <c r="E82" s="185" t="s">
        <v>588</v>
      </c>
      <c r="F82" s="186" t="s">
        <v>81</v>
      </c>
      <c r="G82" s="187" t="s">
        <v>82</v>
      </c>
      <c r="H82" s="187"/>
      <c r="I82" s="188">
        <v>5</v>
      </c>
      <c r="J82" s="189">
        <v>-127</v>
      </c>
      <c r="K82" s="189">
        <v>127</v>
      </c>
      <c r="L82" s="189" t="s">
        <v>265</v>
      </c>
      <c r="M82" s="189" t="s">
        <v>261</v>
      </c>
      <c r="N82" s="247" t="str">
        <f>IF(A82="k_CalRelNum_Cnt_u8[12]","CalRelNum",IF(F82="Y","TunSetCalSeg",IF(F82="N", "FlashCalSeg", "")))</f>
        <v>TunSetCalSeg</v>
      </c>
    </row>
    <row r="83" spans="1:14" ht="30.6" x14ac:dyDescent="0.25">
      <c r="A83" s="190" t="s">
        <v>592</v>
      </c>
      <c r="B83" s="184" t="s">
        <v>593</v>
      </c>
      <c r="C83" s="185" t="s">
        <v>490</v>
      </c>
      <c r="D83" s="185" t="s">
        <v>491</v>
      </c>
      <c r="E83" s="185" t="s">
        <v>591</v>
      </c>
      <c r="F83" s="186" t="s">
        <v>81</v>
      </c>
      <c r="G83" s="187" t="s">
        <v>82</v>
      </c>
      <c r="H83" s="187"/>
      <c r="I83" s="188">
        <v>-5</v>
      </c>
      <c r="J83" s="189">
        <v>-127</v>
      </c>
      <c r="K83" s="189">
        <v>127</v>
      </c>
      <c r="L83" s="189" t="s">
        <v>265</v>
      </c>
      <c r="M83" s="189" t="s">
        <v>261</v>
      </c>
      <c r="N83" s="247" t="str">
        <f>IF(A83="k_CalRelNum_Cnt_u8[12]","CalRelNum",IF(F83="Y","TunSetCalSeg",IF(F83="N", "FlashCalSeg", "")))</f>
        <v>TunSetCalSeg</v>
      </c>
    </row>
    <row r="84" spans="1:14" ht="30.6" x14ac:dyDescent="0.25">
      <c r="A84" s="190" t="s">
        <v>589</v>
      </c>
      <c r="B84" s="184" t="s">
        <v>590</v>
      </c>
      <c r="C84" s="185" t="s">
        <v>490</v>
      </c>
      <c r="D84" s="185" t="s">
        <v>491</v>
      </c>
      <c r="E84" s="185" t="s">
        <v>591</v>
      </c>
      <c r="F84" s="186" t="s">
        <v>81</v>
      </c>
      <c r="G84" s="187" t="s">
        <v>82</v>
      </c>
      <c r="H84" s="187"/>
      <c r="I84" s="188">
        <v>1</v>
      </c>
      <c r="J84" s="189">
        <v>-127</v>
      </c>
      <c r="K84" s="189">
        <v>127</v>
      </c>
      <c r="L84" s="189" t="s">
        <v>260</v>
      </c>
      <c r="M84" s="189" t="s">
        <v>261</v>
      </c>
      <c r="N84" s="247" t="str">
        <f>IF(A84="k_CalRelNum_Cnt_u8[12]","CalRelNum",IF(F84="Y","TunSetCalSeg",IF(F84="N", "FlashCalSeg", "")))</f>
        <v>TunSetCalSeg</v>
      </c>
    </row>
    <row r="85" spans="1:14" ht="30.6" x14ac:dyDescent="0.25">
      <c r="A85" s="190" t="s">
        <v>571</v>
      </c>
      <c r="B85" s="184" t="s">
        <v>572</v>
      </c>
      <c r="C85" s="185" t="s">
        <v>490</v>
      </c>
      <c r="D85" s="185" t="s">
        <v>491</v>
      </c>
      <c r="E85" s="185" t="s">
        <v>573</v>
      </c>
      <c r="F85" s="186" t="s">
        <v>81</v>
      </c>
      <c r="G85" s="187" t="s">
        <v>82</v>
      </c>
      <c r="H85" s="187"/>
      <c r="I85" s="188">
        <v>5</v>
      </c>
      <c r="J85" s="189">
        <v>-5</v>
      </c>
      <c r="K85" s="189">
        <v>5</v>
      </c>
      <c r="L85" s="189" t="s">
        <v>265</v>
      </c>
      <c r="M85" s="189" t="s">
        <v>261</v>
      </c>
      <c r="N85" s="247" t="str">
        <f>IF(A85="k_CalRelNum_Cnt_u8[12]","CalRelNum",IF(F85="Y","TunSetCalSeg",IF(F85="N", "FlashCalSeg", "")))</f>
        <v>TunSetCalSeg</v>
      </c>
    </row>
    <row r="86" spans="1:14" ht="30.6" x14ac:dyDescent="0.25">
      <c r="A86" s="190" t="s">
        <v>568</v>
      </c>
      <c r="B86" s="184" t="s">
        <v>569</v>
      </c>
      <c r="C86" s="185" t="s">
        <v>490</v>
      </c>
      <c r="D86" s="185" t="s">
        <v>491</v>
      </c>
      <c r="E86" s="185" t="s">
        <v>570</v>
      </c>
      <c r="F86" s="186" t="s">
        <v>81</v>
      </c>
      <c r="G86" s="187" t="s">
        <v>82</v>
      </c>
      <c r="H86" s="187"/>
      <c r="I86" s="188">
        <v>-5</v>
      </c>
      <c r="J86" s="189">
        <v>-5</v>
      </c>
      <c r="K86" s="189">
        <v>5</v>
      </c>
      <c r="L86" s="189" t="s">
        <v>265</v>
      </c>
      <c r="M86" s="189" t="s">
        <v>261</v>
      </c>
      <c r="N86" s="247" t="str">
        <f>IF(A86="k_CalRelNum_Cnt_u8[12]","CalRelNum",IF(F86="Y","TunSetCalSeg",IF(F86="N", "FlashCalSeg", "")))</f>
        <v>TunSetCalSeg</v>
      </c>
    </row>
    <row r="87" spans="1:14" ht="30.6" x14ac:dyDescent="0.25">
      <c r="A87" s="190" t="s">
        <v>552</v>
      </c>
      <c r="B87" s="184" t="s">
        <v>553</v>
      </c>
      <c r="C87" s="185" t="s">
        <v>490</v>
      </c>
      <c r="D87" s="185" t="s">
        <v>491</v>
      </c>
      <c r="E87" s="185" t="s">
        <v>554</v>
      </c>
      <c r="F87" s="186" t="s">
        <v>81</v>
      </c>
      <c r="G87" s="187" t="s">
        <v>82</v>
      </c>
      <c r="H87" s="187"/>
      <c r="I87" s="188">
        <v>50</v>
      </c>
      <c r="J87" s="189">
        <v>6.1035000000000001E-5</v>
      </c>
      <c r="K87" s="189">
        <v>4</v>
      </c>
      <c r="L87" s="189" t="s">
        <v>262</v>
      </c>
      <c r="M87" s="189" t="s">
        <v>261</v>
      </c>
      <c r="N87" s="247" t="str">
        <f>IF(A87="k_CalRelNum_Cnt_u8[12]","CalRelNum",IF(F87="Y","TunSetCalSeg",IF(F87="N", "FlashCalSeg", "")))</f>
        <v>TunSetCalSeg</v>
      </c>
    </row>
    <row r="88" spans="1:14" ht="30.6" x14ac:dyDescent="0.25">
      <c r="A88" s="190" t="s">
        <v>4392</v>
      </c>
      <c r="B88" s="184" t="s">
        <v>4393</v>
      </c>
      <c r="C88" s="185" t="s">
        <v>490</v>
      </c>
      <c r="D88" s="185" t="s">
        <v>491</v>
      </c>
      <c r="E88" s="185" t="s">
        <v>4394</v>
      </c>
      <c r="F88" s="186" t="s">
        <v>81</v>
      </c>
      <c r="G88" s="187" t="s">
        <v>82</v>
      </c>
      <c r="H88" s="187"/>
      <c r="I88" s="188">
        <v>15</v>
      </c>
      <c r="J88" s="189">
        <v>0</v>
      </c>
      <c r="K88" s="189">
        <v>127</v>
      </c>
      <c r="L88" s="189" t="s">
        <v>265</v>
      </c>
      <c r="M88" s="189" t="s">
        <v>261</v>
      </c>
      <c r="N88" s="247" t="str">
        <f>IF(A88="k_CalRelNum_Cnt_u8[12]","CalRelNum",IF(F88="Y","TunSetCalSeg",IF(F88="N", "FlashCalSeg", "")))</f>
        <v>TunSetCalSeg</v>
      </c>
    </row>
    <row r="89" spans="1:14" ht="30.6" x14ac:dyDescent="0.25">
      <c r="A89" s="190" t="s">
        <v>4395</v>
      </c>
      <c r="B89" s="184" t="s">
        <v>4396</v>
      </c>
      <c r="C89" s="185" t="s">
        <v>490</v>
      </c>
      <c r="D89" s="185" t="s">
        <v>491</v>
      </c>
      <c r="E89" s="185" t="s">
        <v>4397</v>
      </c>
      <c r="F89" s="186" t="s">
        <v>81</v>
      </c>
      <c r="G89" s="187" t="s">
        <v>82</v>
      </c>
      <c r="H89" s="187"/>
      <c r="I89" s="188">
        <v>50000</v>
      </c>
      <c r="J89" s="189">
        <v>0</v>
      </c>
      <c r="K89" s="189">
        <v>8100000</v>
      </c>
      <c r="L89" s="189" t="s">
        <v>273</v>
      </c>
      <c r="M89" s="189" t="s">
        <v>321</v>
      </c>
      <c r="N89" s="247" t="str">
        <f>IF(A89="k_CalRelNum_Cnt_u8[12]","CalRelNum",IF(F89="Y","TunSetCalSeg",IF(F89="N", "FlashCalSeg", "")))</f>
        <v>TunSetCalSeg</v>
      </c>
    </row>
    <row r="90" spans="1:14" ht="30.6" x14ac:dyDescent="0.25">
      <c r="A90" s="190" t="s">
        <v>529</v>
      </c>
      <c r="B90" s="184" t="s">
        <v>530</v>
      </c>
      <c r="C90" s="185" t="s">
        <v>490</v>
      </c>
      <c r="D90" s="185" t="s">
        <v>491</v>
      </c>
      <c r="E90" s="185" t="s">
        <v>531</v>
      </c>
      <c r="F90" s="186" t="s">
        <v>81</v>
      </c>
      <c r="G90" s="187" t="s">
        <v>82</v>
      </c>
      <c r="H90" s="187"/>
      <c r="I90" s="188">
        <v>0.98</v>
      </c>
      <c r="J90" s="189">
        <v>0</v>
      </c>
      <c r="K90" s="189">
        <v>1</v>
      </c>
      <c r="L90" s="189" t="s">
        <v>300</v>
      </c>
      <c r="M90" s="189" t="s">
        <v>261</v>
      </c>
      <c r="N90" s="247" t="str">
        <f>IF(A90="k_CalRelNum_Cnt_u8[12]","CalRelNum",IF(F90="Y","TunSetCalSeg",IF(F90="N", "FlashCalSeg", "")))</f>
        <v>TunSetCalSeg</v>
      </c>
    </row>
    <row r="91" spans="1:14" ht="30.6" x14ac:dyDescent="0.25">
      <c r="A91" s="190" t="s">
        <v>532</v>
      </c>
      <c r="B91" s="184" t="s">
        <v>533</v>
      </c>
      <c r="C91" s="185" t="s">
        <v>490</v>
      </c>
      <c r="D91" s="185" t="s">
        <v>491</v>
      </c>
      <c r="E91" s="185" t="s">
        <v>534</v>
      </c>
      <c r="F91" s="186" t="s">
        <v>81</v>
      </c>
      <c r="G91" s="187" t="s">
        <v>82</v>
      </c>
      <c r="H91" s="187"/>
      <c r="I91" s="188">
        <v>360</v>
      </c>
      <c r="J91" s="189">
        <v>0</v>
      </c>
      <c r="K91" s="189">
        <v>600</v>
      </c>
      <c r="L91" s="189" t="s">
        <v>535</v>
      </c>
      <c r="M91" s="189" t="s">
        <v>261</v>
      </c>
      <c r="N91" s="247" t="str">
        <f>IF(A91="k_CalRelNum_Cnt_u8[12]","CalRelNum",IF(F91="Y","TunSetCalSeg",IF(F91="N", "FlashCalSeg", "")))</f>
        <v>TunSetCalSeg</v>
      </c>
    </row>
    <row r="92" spans="1:14" ht="30.6" x14ac:dyDescent="0.25">
      <c r="A92" s="190" t="s">
        <v>536</v>
      </c>
      <c r="B92" s="184" t="s">
        <v>537</v>
      </c>
      <c r="C92" s="185" t="s">
        <v>490</v>
      </c>
      <c r="D92" s="185" t="s">
        <v>491</v>
      </c>
      <c r="E92" s="185" t="s">
        <v>538</v>
      </c>
      <c r="F92" s="186" t="s">
        <v>81</v>
      </c>
      <c r="G92" s="187" t="s">
        <v>82</v>
      </c>
      <c r="H92" s="187"/>
      <c r="I92" s="188">
        <v>800</v>
      </c>
      <c r="J92" s="189">
        <v>0</v>
      </c>
      <c r="K92" s="189">
        <v>600</v>
      </c>
      <c r="L92" s="189" t="s">
        <v>535</v>
      </c>
      <c r="M92" s="189" t="s">
        <v>261</v>
      </c>
      <c r="N92" s="247" t="str">
        <f>IF(A92="k_CalRelNum_Cnt_u8[12]","CalRelNum",IF(F92="Y","TunSetCalSeg",IF(F92="N", "FlashCalSeg", "")))</f>
        <v>TunSetCalSeg</v>
      </c>
    </row>
    <row r="93" spans="1:14" ht="30.6" x14ac:dyDescent="0.25">
      <c r="A93" s="190" t="s">
        <v>539</v>
      </c>
      <c r="B93" s="184" t="s">
        <v>540</v>
      </c>
      <c r="C93" s="185" t="s">
        <v>490</v>
      </c>
      <c r="D93" s="185" t="s">
        <v>491</v>
      </c>
      <c r="E93" s="185" t="s">
        <v>541</v>
      </c>
      <c r="F93" s="186" t="s">
        <v>81</v>
      </c>
      <c r="G93" s="187" t="s">
        <v>82</v>
      </c>
      <c r="H93" s="187"/>
      <c r="I93" s="188">
        <v>0</v>
      </c>
      <c r="J93" s="189">
        <v>0</v>
      </c>
      <c r="K93" s="189">
        <v>600</v>
      </c>
      <c r="L93" s="189" t="s">
        <v>535</v>
      </c>
      <c r="M93" s="189" t="s">
        <v>261</v>
      </c>
      <c r="N93" s="247" t="str">
        <f>IF(A93="k_CalRelNum_Cnt_u8[12]","CalRelNum",IF(F93="Y","TunSetCalSeg",IF(F93="N", "FlashCalSeg", "")))</f>
        <v>TunSetCalSeg</v>
      </c>
    </row>
    <row r="94" spans="1:14" ht="30.6" x14ac:dyDescent="0.25">
      <c r="A94" s="190" t="s">
        <v>565</v>
      </c>
      <c r="B94" s="184" t="s">
        <v>566</v>
      </c>
      <c r="C94" s="185" t="s">
        <v>490</v>
      </c>
      <c r="D94" s="185" t="s">
        <v>491</v>
      </c>
      <c r="E94" s="185" t="s">
        <v>567</v>
      </c>
      <c r="F94" s="186" t="s">
        <v>81</v>
      </c>
      <c r="G94" s="187" t="s">
        <v>82</v>
      </c>
      <c r="H94" s="187"/>
      <c r="I94" s="188">
        <v>100</v>
      </c>
      <c r="J94" s="189">
        <v>0</v>
      </c>
      <c r="K94" s="189">
        <v>127</v>
      </c>
      <c r="L94" s="189" t="s">
        <v>265</v>
      </c>
      <c r="M94" s="189" t="s">
        <v>261</v>
      </c>
      <c r="N94" s="247" t="str">
        <f>IF(A94="k_CalRelNum_Cnt_u8[12]","CalRelNum",IF(F94="Y","TunSetCalSeg",IF(F94="N", "FlashCalSeg", "")))</f>
        <v>TunSetCalSeg</v>
      </c>
    </row>
    <row r="95" spans="1:14" ht="30.6" x14ac:dyDescent="0.25">
      <c r="A95" s="190" t="s">
        <v>542</v>
      </c>
      <c r="B95" s="184" t="s">
        <v>543</v>
      </c>
      <c r="C95" s="185" t="s">
        <v>490</v>
      </c>
      <c r="D95" s="185" t="s">
        <v>491</v>
      </c>
      <c r="E95" s="185" t="s">
        <v>544</v>
      </c>
      <c r="F95" s="186" t="s">
        <v>81</v>
      </c>
      <c r="G95" s="187" t="s">
        <v>82</v>
      </c>
      <c r="H95" s="187"/>
      <c r="I95" s="188">
        <v>1</v>
      </c>
      <c r="J95" s="189">
        <v>-9.8000000000000007</v>
      </c>
      <c r="K95" s="189">
        <v>9.8000000000000007</v>
      </c>
      <c r="L95" s="189" t="s">
        <v>545</v>
      </c>
      <c r="M95" s="189" t="s">
        <v>261</v>
      </c>
      <c r="N95" s="247" t="str">
        <f>IF(A95="k_CalRelNum_Cnt_u8[12]","CalRelNum",IF(F95="Y","TunSetCalSeg",IF(F95="N", "FlashCalSeg", "")))</f>
        <v>TunSetCalSeg</v>
      </c>
    </row>
    <row r="96" spans="1:14" ht="30.6" x14ac:dyDescent="0.25">
      <c r="A96" s="190" t="s">
        <v>546</v>
      </c>
      <c r="B96" s="184" t="s">
        <v>547</v>
      </c>
      <c r="C96" s="185" t="s">
        <v>490</v>
      </c>
      <c r="D96" s="185" t="s">
        <v>491</v>
      </c>
      <c r="E96" s="185" t="s">
        <v>548</v>
      </c>
      <c r="F96" s="186" t="s">
        <v>81</v>
      </c>
      <c r="G96" s="187" t="s">
        <v>82</v>
      </c>
      <c r="H96" s="187"/>
      <c r="I96" s="188">
        <v>0</v>
      </c>
      <c r="J96" s="189">
        <v>-9.8000000000000007</v>
      </c>
      <c r="K96" s="189">
        <v>9.8000000000000007</v>
      </c>
      <c r="L96" s="189" t="s">
        <v>545</v>
      </c>
      <c r="M96" s="189" t="s">
        <v>261</v>
      </c>
      <c r="N96" s="247" t="str">
        <f>IF(A96="k_CalRelNum_Cnt_u8[12]","CalRelNum",IF(F96="Y","TunSetCalSeg",IF(F96="N", "FlashCalSeg", "")))</f>
        <v>TunSetCalSeg</v>
      </c>
    </row>
    <row r="97" spans="1:14" ht="30.6" x14ac:dyDescent="0.25">
      <c r="A97" s="190" t="s">
        <v>517</v>
      </c>
      <c r="B97" s="184" t="s">
        <v>518</v>
      </c>
      <c r="C97" s="185" t="s">
        <v>490</v>
      </c>
      <c r="D97" s="185" t="s">
        <v>491</v>
      </c>
      <c r="E97" s="185" t="s">
        <v>519</v>
      </c>
      <c r="F97" s="186" t="s">
        <v>81</v>
      </c>
      <c r="G97" s="187" t="s">
        <v>82</v>
      </c>
      <c r="H97" s="187"/>
      <c r="I97" s="188">
        <v>0.2</v>
      </c>
      <c r="J97" s="189">
        <v>0</v>
      </c>
      <c r="K97" s="189">
        <v>2</v>
      </c>
      <c r="L97" s="189" t="s">
        <v>300</v>
      </c>
      <c r="M97" s="189" t="s">
        <v>261</v>
      </c>
      <c r="N97" s="247" t="str">
        <f>IF(A97="k_CalRelNum_Cnt_u8[12]","CalRelNum",IF(F97="Y","TunSetCalSeg",IF(F97="N", "FlashCalSeg", "")))</f>
        <v>TunSetCalSeg</v>
      </c>
    </row>
    <row r="98" spans="1:14" ht="30.6" x14ac:dyDescent="0.25">
      <c r="A98" s="190" t="s">
        <v>520</v>
      </c>
      <c r="B98" s="184" t="s">
        <v>521</v>
      </c>
      <c r="C98" s="185" t="s">
        <v>490</v>
      </c>
      <c r="D98" s="185" t="s">
        <v>491</v>
      </c>
      <c r="E98" s="185" t="s">
        <v>522</v>
      </c>
      <c r="F98" s="186" t="s">
        <v>81</v>
      </c>
      <c r="G98" s="187" t="s">
        <v>82</v>
      </c>
      <c r="H98" s="187"/>
      <c r="I98" s="188">
        <v>1</v>
      </c>
      <c r="J98" s="189">
        <v>1</v>
      </c>
      <c r="K98" s="189">
        <v>65535</v>
      </c>
      <c r="L98" s="189" t="s">
        <v>300</v>
      </c>
      <c r="M98" s="189" t="s">
        <v>321</v>
      </c>
      <c r="N98" s="247" t="str">
        <f>IF(A98="k_CalRelNum_Cnt_u8[12]","CalRelNum",IF(F98="Y","TunSetCalSeg",IF(F98="N", "FlashCalSeg", "")))</f>
        <v>TunSetCalSeg</v>
      </c>
    </row>
    <row r="99" spans="1:14" ht="30.6" x14ac:dyDescent="0.25">
      <c r="A99" s="190" t="s">
        <v>523</v>
      </c>
      <c r="B99" s="184" t="s">
        <v>524</v>
      </c>
      <c r="C99" s="185" t="s">
        <v>490</v>
      </c>
      <c r="D99" s="185" t="s">
        <v>491</v>
      </c>
      <c r="E99" s="185" t="s">
        <v>525</v>
      </c>
      <c r="F99" s="186" t="s">
        <v>81</v>
      </c>
      <c r="G99" s="187" t="s">
        <v>82</v>
      </c>
      <c r="H99" s="187"/>
      <c r="I99" s="188">
        <v>65534</v>
      </c>
      <c r="J99" s="189">
        <v>1</v>
      </c>
      <c r="K99" s="189">
        <v>65534</v>
      </c>
      <c r="L99" s="189" t="s">
        <v>424</v>
      </c>
      <c r="M99" s="189" t="s">
        <v>267</v>
      </c>
      <c r="N99" s="247" t="str">
        <f>IF(A99="k_CalRelNum_Cnt_u8[12]","CalRelNum",IF(F99="Y","TunSetCalSeg",IF(F99="N", "FlashCalSeg", "")))</f>
        <v>TunSetCalSeg</v>
      </c>
    </row>
    <row r="100" spans="1:14" ht="30.6" x14ac:dyDescent="0.25">
      <c r="A100" s="190" t="s">
        <v>549</v>
      </c>
      <c r="B100" s="184" t="s">
        <v>550</v>
      </c>
      <c r="C100" s="185" t="s">
        <v>490</v>
      </c>
      <c r="D100" s="185" t="s">
        <v>491</v>
      </c>
      <c r="E100" s="185" t="s">
        <v>551</v>
      </c>
      <c r="F100" s="186" t="s">
        <v>81</v>
      </c>
      <c r="G100" s="187" t="s">
        <v>82</v>
      </c>
      <c r="H100" s="187"/>
      <c r="I100" s="188">
        <v>50</v>
      </c>
      <c r="J100" s="189">
        <v>-128</v>
      </c>
      <c r="K100" s="189">
        <v>128</v>
      </c>
      <c r="L100" s="189" t="s">
        <v>265</v>
      </c>
      <c r="M100" s="189" t="s">
        <v>261</v>
      </c>
      <c r="N100" s="247" t="str">
        <f>IF(A100="k_CalRelNum_Cnt_u8[12]","CalRelNum",IF(F100="Y","TunSetCalSeg",IF(F100="N", "FlashCalSeg", "")))</f>
        <v>TunSetCalSeg</v>
      </c>
    </row>
    <row r="101" spans="1:14" ht="30.6" x14ac:dyDescent="0.25">
      <c r="A101" s="190" t="s">
        <v>559</v>
      </c>
      <c r="B101" s="184" t="s">
        <v>560</v>
      </c>
      <c r="C101" s="185" t="s">
        <v>490</v>
      </c>
      <c r="D101" s="185" t="s">
        <v>491</v>
      </c>
      <c r="E101" s="185" t="s">
        <v>561</v>
      </c>
      <c r="F101" s="186" t="s">
        <v>81</v>
      </c>
      <c r="G101" s="187" t="s">
        <v>82</v>
      </c>
      <c r="H101" s="187"/>
      <c r="I101" s="188">
        <v>100</v>
      </c>
      <c r="J101" s="189">
        <v>-100</v>
      </c>
      <c r="K101" s="189">
        <v>400</v>
      </c>
      <c r="L101" s="189" t="s">
        <v>558</v>
      </c>
      <c r="M101" s="189" t="s">
        <v>261</v>
      </c>
      <c r="N101" s="247" t="str">
        <f>IF(A101="k_CalRelNum_Cnt_u8[12]","CalRelNum",IF(F101="Y","TunSetCalSeg",IF(F101="N", "FlashCalSeg", "")))</f>
        <v>TunSetCalSeg</v>
      </c>
    </row>
    <row r="102" spans="1:14" ht="30.6" x14ac:dyDescent="0.25">
      <c r="A102" s="190" t="s">
        <v>555</v>
      </c>
      <c r="B102" s="184" t="s">
        <v>556</v>
      </c>
      <c r="C102" s="185" t="s">
        <v>490</v>
      </c>
      <c r="D102" s="185" t="s">
        <v>491</v>
      </c>
      <c r="E102" s="185" t="s">
        <v>557</v>
      </c>
      <c r="F102" s="186" t="s">
        <v>81</v>
      </c>
      <c r="G102" s="187" t="s">
        <v>82</v>
      </c>
      <c r="H102" s="187"/>
      <c r="I102" s="188">
        <v>0</v>
      </c>
      <c r="J102" s="189">
        <v>-100</v>
      </c>
      <c r="K102" s="189">
        <v>400</v>
      </c>
      <c r="L102" s="189" t="s">
        <v>558</v>
      </c>
      <c r="M102" s="189" t="s">
        <v>261</v>
      </c>
      <c r="N102" s="247" t="str">
        <f>IF(A102="k_CalRelNum_Cnt_u8[12]","CalRelNum",IF(F102="Y","TunSetCalSeg",IF(F102="N", "FlashCalSeg", "")))</f>
        <v>TunSetCalSeg</v>
      </c>
    </row>
    <row r="103" spans="1:14" ht="40.799999999999997" x14ac:dyDescent="0.25">
      <c r="A103" s="190" t="s">
        <v>582</v>
      </c>
      <c r="B103" s="184" t="s">
        <v>583</v>
      </c>
      <c r="C103" s="185" t="s">
        <v>490</v>
      </c>
      <c r="D103" s="185" t="s">
        <v>491</v>
      </c>
      <c r="E103" s="185" t="s">
        <v>584</v>
      </c>
      <c r="F103" s="186" t="s">
        <v>81</v>
      </c>
      <c r="G103" s="187" t="s">
        <v>82</v>
      </c>
      <c r="H103" s="187"/>
      <c r="I103" s="188" t="s">
        <v>585</v>
      </c>
      <c r="J103" s="189">
        <v>0</v>
      </c>
      <c r="K103" s="189">
        <v>127</v>
      </c>
      <c r="L103" s="189" t="s">
        <v>265</v>
      </c>
      <c r="M103" s="189" t="s">
        <v>261</v>
      </c>
      <c r="N103" s="247" t="str">
        <f>IF(A103="k_CalRelNum_Cnt_u8[12]","CalRelNum",IF(F103="Y","TunSetCalSeg",IF(F103="N", "FlashCalSeg", "")))</f>
        <v>TunSetCalSeg</v>
      </c>
    </row>
    <row r="104" spans="1:14" ht="30.6" x14ac:dyDescent="0.25">
      <c r="A104" s="190" t="s">
        <v>487</v>
      </c>
      <c r="B104" s="184" t="s">
        <v>488</v>
      </c>
      <c r="C104" s="185" t="s">
        <v>490</v>
      </c>
      <c r="D104" s="185" t="s">
        <v>491</v>
      </c>
      <c r="E104" s="185" t="s">
        <v>489</v>
      </c>
      <c r="F104" s="186" t="s">
        <v>81</v>
      </c>
      <c r="G104" s="187" t="s">
        <v>82</v>
      </c>
      <c r="H104" s="187"/>
      <c r="I104" s="188" t="s">
        <v>492</v>
      </c>
      <c r="J104" s="189">
        <v>-1000</v>
      </c>
      <c r="K104" s="189">
        <v>1000</v>
      </c>
      <c r="L104" s="189" t="s">
        <v>268</v>
      </c>
      <c r="M104" s="189" t="s">
        <v>261</v>
      </c>
      <c r="N104" s="247" t="str">
        <f>IF(A104="k_CalRelNum_Cnt_u8[12]","CalRelNum",IF(F104="Y","TunSetCalSeg",IF(F104="N", "FlashCalSeg", "")))</f>
        <v>TunSetCalSeg</v>
      </c>
    </row>
    <row r="105" spans="1:14" ht="30.6" x14ac:dyDescent="0.25">
      <c r="A105" s="190" t="s">
        <v>502</v>
      </c>
      <c r="B105" s="184" t="s">
        <v>503</v>
      </c>
      <c r="C105" s="185" t="s">
        <v>490</v>
      </c>
      <c r="D105" s="185" t="s">
        <v>491</v>
      </c>
      <c r="E105" s="185" t="s">
        <v>504</v>
      </c>
      <c r="F105" s="186" t="s">
        <v>81</v>
      </c>
      <c r="G105" s="187" t="s">
        <v>82</v>
      </c>
      <c r="H105" s="187"/>
      <c r="I105" s="188" t="s">
        <v>500</v>
      </c>
      <c r="J105" s="189">
        <v>0</v>
      </c>
      <c r="K105" s="189">
        <v>1</v>
      </c>
      <c r="L105" s="189" t="s">
        <v>300</v>
      </c>
      <c r="M105" s="189" t="s">
        <v>261</v>
      </c>
      <c r="N105" s="247" t="str">
        <f>IF(A105="k_CalRelNum_Cnt_u8[12]","CalRelNum",IF(F105="Y","TunSetCalSeg",IF(F105="N", "FlashCalSeg", "")))</f>
        <v>TunSetCalSeg</v>
      </c>
    </row>
    <row r="106" spans="1:14" ht="30.6" x14ac:dyDescent="0.25">
      <c r="A106" s="190" t="s">
        <v>505</v>
      </c>
      <c r="B106" s="184" t="s">
        <v>506</v>
      </c>
      <c r="C106" s="185" t="s">
        <v>490</v>
      </c>
      <c r="D106" s="185" t="s">
        <v>491</v>
      </c>
      <c r="E106" s="185" t="s">
        <v>507</v>
      </c>
      <c r="F106" s="186" t="s">
        <v>81</v>
      </c>
      <c r="G106" s="187" t="s">
        <v>82</v>
      </c>
      <c r="H106" s="187" t="s">
        <v>508</v>
      </c>
      <c r="I106" s="188" t="s">
        <v>509</v>
      </c>
      <c r="J106" s="189">
        <v>0</v>
      </c>
      <c r="K106" s="189">
        <v>1000</v>
      </c>
      <c r="L106" s="189" t="s">
        <v>268</v>
      </c>
      <c r="M106" s="189" t="s">
        <v>510</v>
      </c>
      <c r="N106" s="247" t="str">
        <f>IF(A106="k_CalRelNum_Cnt_u8[12]","CalRelNum",IF(F106="Y","TunSetCalSeg",IF(F106="N", "FlashCalSeg", "")))</f>
        <v>TunSetCalSeg</v>
      </c>
    </row>
    <row r="107" spans="1:14" ht="30.6" x14ac:dyDescent="0.25">
      <c r="A107" s="190" t="s">
        <v>511</v>
      </c>
      <c r="B107" s="184" t="s">
        <v>512</v>
      </c>
      <c r="C107" s="185" t="s">
        <v>490</v>
      </c>
      <c r="D107" s="185" t="s">
        <v>491</v>
      </c>
      <c r="E107" s="185" t="s">
        <v>513</v>
      </c>
      <c r="F107" s="186" t="s">
        <v>81</v>
      </c>
      <c r="G107" s="187" t="s">
        <v>82</v>
      </c>
      <c r="H107" s="187" t="s">
        <v>514</v>
      </c>
      <c r="I107" s="188" t="s">
        <v>515</v>
      </c>
      <c r="J107" s="189">
        <v>0</v>
      </c>
      <c r="K107" s="189">
        <v>50</v>
      </c>
      <c r="L107" s="189" t="s">
        <v>516</v>
      </c>
      <c r="M107" s="189" t="s">
        <v>258</v>
      </c>
      <c r="N107" s="247" t="str">
        <f>IF(A107="k_CalRelNum_Cnt_u8[12]","CalRelNum",IF(F107="Y","TunSetCalSeg",IF(F107="N", "FlashCalSeg", "")))</f>
        <v>TunSetCalSeg</v>
      </c>
    </row>
    <row r="108" spans="1:14" ht="51" x14ac:dyDescent="0.25">
      <c r="A108" s="190" t="s">
        <v>497</v>
      </c>
      <c r="B108" s="184" t="s">
        <v>498</v>
      </c>
      <c r="C108" s="185" t="s">
        <v>490</v>
      </c>
      <c r="D108" s="185" t="s">
        <v>491</v>
      </c>
      <c r="E108" s="185" t="s">
        <v>499</v>
      </c>
      <c r="F108" s="186" t="s">
        <v>81</v>
      </c>
      <c r="G108" s="187" t="s">
        <v>82</v>
      </c>
      <c r="H108" s="187"/>
      <c r="I108" s="188" t="s">
        <v>500</v>
      </c>
      <c r="J108" s="189">
        <v>0</v>
      </c>
      <c r="K108" s="189">
        <v>1</v>
      </c>
      <c r="L108" s="189" t="s">
        <v>424</v>
      </c>
      <c r="M108" s="189" t="s">
        <v>501</v>
      </c>
      <c r="N108" s="247" t="str">
        <f>IF(A108="k_CalRelNum_Cnt_u8[12]","CalRelNum",IF(F108="Y","TunSetCalSeg",IF(F108="N", "FlashCalSeg", "")))</f>
        <v>TunSetCalSeg</v>
      </c>
    </row>
    <row r="109" spans="1:14" ht="30.6" x14ac:dyDescent="0.25">
      <c r="A109" s="190" t="s">
        <v>578</v>
      </c>
      <c r="B109" s="184" t="s">
        <v>579</v>
      </c>
      <c r="C109" s="185" t="s">
        <v>490</v>
      </c>
      <c r="D109" s="185" t="s">
        <v>491</v>
      </c>
      <c r="E109" s="185" t="s">
        <v>580</v>
      </c>
      <c r="F109" s="186" t="s">
        <v>81</v>
      </c>
      <c r="G109" s="187" t="s">
        <v>82</v>
      </c>
      <c r="H109" s="187"/>
      <c r="I109" s="188" t="s">
        <v>581</v>
      </c>
      <c r="J109" s="189">
        <v>0</v>
      </c>
      <c r="K109" s="189">
        <v>65534</v>
      </c>
      <c r="L109" s="189" t="s">
        <v>424</v>
      </c>
      <c r="M109" s="189" t="s">
        <v>267</v>
      </c>
      <c r="N109" s="247" t="str">
        <f>IF(A109="k_CalRelNum_Cnt_u8[12]","CalRelNum",IF(F109="Y","TunSetCalSeg",IF(F109="N", "FlashCalSeg", "")))</f>
        <v>TunSetCalSeg</v>
      </c>
    </row>
    <row r="110" spans="1:14" ht="30.6" x14ac:dyDescent="0.25">
      <c r="A110" s="190" t="s">
        <v>574</v>
      </c>
      <c r="B110" s="184" t="s">
        <v>575</v>
      </c>
      <c r="C110" s="185" t="s">
        <v>490</v>
      </c>
      <c r="D110" s="185" t="s">
        <v>491</v>
      </c>
      <c r="E110" s="185" t="s">
        <v>576</v>
      </c>
      <c r="F110" s="186" t="s">
        <v>81</v>
      </c>
      <c r="G110" s="187" t="s">
        <v>82</v>
      </c>
      <c r="H110" s="187"/>
      <c r="I110" s="188" t="s">
        <v>577</v>
      </c>
      <c r="J110" s="189">
        <v>-20</v>
      </c>
      <c r="K110" s="189">
        <v>20</v>
      </c>
      <c r="L110" s="189" t="s">
        <v>265</v>
      </c>
      <c r="M110" s="189" t="s">
        <v>261</v>
      </c>
      <c r="N110" s="247" t="str">
        <f>IF(A110="k_CalRelNum_Cnt_u8[12]","CalRelNum",IF(F110="Y","TunSetCalSeg",IF(F110="N", "FlashCalSeg", "")))</f>
        <v>TunSetCalSeg</v>
      </c>
    </row>
    <row r="111" spans="1:14" ht="30.6" x14ac:dyDescent="0.25">
      <c r="A111" s="190" t="s">
        <v>493</v>
      </c>
      <c r="B111" s="184" t="s">
        <v>494</v>
      </c>
      <c r="C111" s="185" t="s">
        <v>490</v>
      </c>
      <c r="D111" s="185" t="s">
        <v>491</v>
      </c>
      <c r="E111" s="185" t="s">
        <v>495</v>
      </c>
      <c r="F111" s="186" t="s">
        <v>81</v>
      </c>
      <c r="G111" s="187" t="s">
        <v>82</v>
      </c>
      <c r="H111" s="187"/>
      <c r="I111" s="188" t="s">
        <v>496</v>
      </c>
      <c r="J111" s="189">
        <v>0</v>
      </c>
      <c r="K111" s="189">
        <v>255</v>
      </c>
      <c r="L111" s="189" t="s">
        <v>311</v>
      </c>
      <c r="M111" s="189" t="s">
        <v>261</v>
      </c>
      <c r="N111" s="247" t="str">
        <f>IF(A111="k_CalRelNum_Cnt_u8[12]","CalRelNum",IF(F111="Y","TunSetCalSeg",IF(F111="N", "FlashCalSeg", "")))</f>
        <v>TunSetCalSeg</v>
      </c>
    </row>
    <row r="112" spans="1:14" ht="51" x14ac:dyDescent="0.25">
      <c r="A112" s="190" t="s">
        <v>600</v>
      </c>
      <c r="B112" s="184" t="s">
        <v>600</v>
      </c>
      <c r="C112" s="185" t="s">
        <v>598</v>
      </c>
      <c r="D112" s="185" t="s">
        <v>176</v>
      </c>
      <c r="E112" s="185" t="s">
        <v>601</v>
      </c>
      <c r="F112" s="186" t="s">
        <v>82</v>
      </c>
      <c r="G112" s="187" t="s">
        <v>82</v>
      </c>
      <c r="H112" s="187"/>
      <c r="I112" s="188">
        <v>0.5</v>
      </c>
      <c r="J112" s="189">
        <v>0</v>
      </c>
      <c r="K112" s="189">
        <v>6</v>
      </c>
      <c r="L112" s="189" t="s">
        <v>599</v>
      </c>
      <c r="M112" s="189" t="s">
        <v>261</v>
      </c>
      <c r="N112" s="247" t="str">
        <f>IF(A112="k_CalRelNum_Cnt_u8[12]","CalRelNum",IF(F112="Y","TunSetCalSeg",IF(F112="N", "FlashCalSeg", "")))</f>
        <v>FlashCalSeg</v>
      </c>
    </row>
    <row r="113" spans="1:14" x14ac:dyDescent="0.25">
      <c r="A113" s="190" t="s">
        <v>612</v>
      </c>
      <c r="B113" s="184"/>
      <c r="C113" s="185" t="s">
        <v>598</v>
      </c>
      <c r="D113" s="185" t="s">
        <v>989</v>
      </c>
      <c r="E113" s="185"/>
      <c r="F113" s="186" t="s">
        <v>82</v>
      </c>
      <c r="G113" s="187" t="s">
        <v>82</v>
      </c>
      <c r="H113" s="187"/>
      <c r="I113" s="188" t="s">
        <v>603</v>
      </c>
      <c r="J113" s="189"/>
      <c r="K113" s="189"/>
      <c r="L113" s="189"/>
      <c r="M113" s="189" t="s">
        <v>604</v>
      </c>
      <c r="N113" s="247" t="str">
        <f>IF(A113="k_CalRelNum_Cnt_u8[12]","CalRelNum",IF(F113="Y","TunSetCalSeg",IF(F113="N", "FlashCalSeg", "")))</f>
        <v>FlashCalSeg</v>
      </c>
    </row>
    <row r="114" spans="1:14" ht="30.6" x14ac:dyDescent="0.25">
      <c r="A114" s="190" t="s">
        <v>617</v>
      </c>
      <c r="B114" s="184" t="s">
        <v>618</v>
      </c>
      <c r="C114" s="185" t="s">
        <v>598</v>
      </c>
      <c r="D114" s="185" t="s">
        <v>176</v>
      </c>
      <c r="E114" s="185"/>
      <c r="F114" s="186" t="s">
        <v>82</v>
      </c>
      <c r="G114" s="187" t="s">
        <v>82</v>
      </c>
      <c r="H114" s="187"/>
      <c r="I114" s="188">
        <v>3</v>
      </c>
      <c r="J114" s="189">
        <v>0</v>
      </c>
      <c r="K114" s="189">
        <v>255</v>
      </c>
      <c r="L114" s="189" t="s">
        <v>607</v>
      </c>
      <c r="M114" s="189" t="s">
        <v>267</v>
      </c>
      <c r="N114" s="247" t="str">
        <f>IF(A114="k_CalRelNum_Cnt_u8[12]","CalRelNum",IF(F114="Y","TunSetCalSeg",IF(F114="N", "FlashCalSeg", "")))</f>
        <v>FlashCalSeg</v>
      </c>
    </row>
    <row r="115" spans="1:14" ht="30.6" x14ac:dyDescent="0.25">
      <c r="A115" s="190" t="s">
        <v>615</v>
      </c>
      <c r="B115" s="184" t="s">
        <v>616</v>
      </c>
      <c r="C115" s="185" t="s">
        <v>598</v>
      </c>
      <c r="D115" s="185" t="s">
        <v>176</v>
      </c>
      <c r="E115" s="185"/>
      <c r="F115" s="186" t="s">
        <v>82</v>
      </c>
      <c r="G115" s="187" t="s">
        <v>82</v>
      </c>
      <c r="H115" s="187"/>
      <c r="I115" s="188">
        <v>1</v>
      </c>
      <c r="J115" s="189">
        <v>0</v>
      </c>
      <c r="K115" s="189">
        <v>255</v>
      </c>
      <c r="L115" s="189" t="s">
        <v>607</v>
      </c>
      <c r="M115" s="189" t="s">
        <v>267</v>
      </c>
      <c r="N115" s="247" t="str">
        <f>IF(A115="k_CalRelNum_Cnt_u8[12]","CalRelNum",IF(F115="Y","TunSetCalSeg",IF(F115="N", "FlashCalSeg", "")))</f>
        <v>FlashCalSeg</v>
      </c>
    </row>
    <row r="116" spans="1:14" ht="30.6" x14ac:dyDescent="0.25">
      <c r="A116" s="190" t="s">
        <v>613</v>
      </c>
      <c r="B116" s="184" t="s">
        <v>614</v>
      </c>
      <c r="C116" s="185" t="s">
        <v>598</v>
      </c>
      <c r="D116" s="185" t="s">
        <v>176</v>
      </c>
      <c r="E116" s="185"/>
      <c r="F116" s="186" t="s">
        <v>82</v>
      </c>
      <c r="G116" s="187" t="s">
        <v>82</v>
      </c>
      <c r="H116" s="187"/>
      <c r="I116" s="188">
        <v>120</v>
      </c>
      <c r="J116" s="189">
        <v>0</v>
      </c>
      <c r="K116" s="189">
        <v>255</v>
      </c>
      <c r="L116" s="189" t="s">
        <v>607</v>
      </c>
      <c r="M116" s="189" t="s">
        <v>267</v>
      </c>
      <c r="N116" s="247" t="str">
        <f>IF(A116="k_CalRelNum_Cnt_u8[12]","CalRelNum",IF(F116="Y","TunSetCalSeg",IF(F116="N", "FlashCalSeg", "")))</f>
        <v>FlashCalSeg</v>
      </c>
    </row>
    <row r="117" spans="1:14" ht="30.6" x14ac:dyDescent="0.25">
      <c r="A117" s="190" t="s">
        <v>619</v>
      </c>
      <c r="B117" s="184" t="s">
        <v>620</v>
      </c>
      <c r="C117" s="185" t="s">
        <v>598</v>
      </c>
      <c r="D117" s="185" t="s">
        <v>176</v>
      </c>
      <c r="E117" s="185"/>
      <c r="F117" s="186" t="s">
        <v>82</v>
      </c>
      <c r="G117" s="187" t="s">
        <v>82</v>
      </c>
      <c r="H117" s="187"/>
      <c r="I117" s="188">
        <v>0.73</v>
      </c>
      <c r="J117" s="189">
        <v>0</v>
      </c>
      <c r="K117" s="189">
        <v>6</v>
      </c>
      <c r="L117" s="189" t="s">
        <v>599</v>
      </c>
      <c r="M117" s="189" t="s">
        <v>261</v>
      </c>
      <c r="N117" s="247" t="str">
        <f>IF(A117="k_CalRelNum_Cnt_u8[12]","CalRelNum",IF(F117="Y","TunSetCalSeg",IF(F117="N", "FlashCalSeg", "")))</f>
        <v>FlashCalSeg</v>
      </c>
    </row>
    <row r="118" spans="1:14" x14ac:dyDescent="0.25">
      <c r="A118" s="190" t="s">
        <v>602</v>
      </c>
      <c r="B118" s="184"/>
      <c r="C118" s="185" t="s">
        <v>598</v>
      </c>
      <c r="D118" s="185" t="s">
        <v>989</v>
      </c>
      <c r="E118" s="185"/>
      <c r="F118" s="186" t="s">
        <v>82</v>
      </c>
      <c r="G118" s="187" t="s">
        <v>82</v>
      </c>
      <c r="H118" s="187"/>
      <c r="I118" s="188" t="s">
        <v>603</v>
      </c>
      <c r="J118" s="189"/>
      <c r="K118" s="189"/>
      <c r="L118" s="189"/>
      <c r="M118" s="189" t="s">
        <v>604</v>
      </c>
      <c r="N118" s="247" t="str">
        <f>IF(A118="k_CalRelNum_Cnt_u8[12]","CalRelNum",IF(F118="Y","TunSetCalSeg",IF(F118="N", "FlashCalSeg", "")))</f>
        <v>FlashCalSeg</v>
      </c>
    </row>
    <row r="119" spans="1:14" ht="30.6" x14ac:dyDescent="0.25">
      <c r="A119" s="190" t="s">
        <v>610</v>
      </c>
      <c r="B119" s="184" t="s">
        <v>611</v>
      </c>
      <c r="C119" s="185" t="s">
        <v>598</v>
      </c>
      <c r="D119" s="185" t="s">
        <v>176</v>
      </c>
      <c r="E119" s="185"/>
      <c r="F119" s="186" t="s">
        <v>82</v>
      </c>
      <c r="G119" s="187" t="s">
        <v>82</v>
      </c>
      <c r="H119" s="187"/>
      <c r="I119" s="188">
        <v>3</v>
      </c>
      <c r="J119" s="189">
        <v>0</v>
      </c>
      <c r="K119" s="189">
        <v>255</v>
      </c>
      <c r="L119" s="189" t="s">
        <v>607</v>
      </c>
      <c r="M119" s="189" t="s">
        <v>267</v>
      </c>
      <c r="N119" s="247" t="str">
        <f>IF(A119="k_CalRelNum_Cnt_u8[12]","CalRelNum",IF(F119="Y","TunSetCalSeg",IF(F119="N", "FlashCalSeg", "")))</f>
        <v>FlashCalSeg</v>
      </c>
    </row>
    <row r="120" spans="1:14" ht="30.6" x14ac:dyDescent="0.25">
      <c r="A120" s="190" t="s">
        <v>608</v>
      </c>
      <c r="B120" s="184" t="s">
        <v>609</v>
      </c>
      <c r="C120" s="185" t="s">
        <v>598</v>
      </c>
      <c r="D120" s="185" t="s">
        <v>176</v>
      </c>
      <c r="E120" s="185"/>
      <c r="F120" s="186" t="s">
        <v>82</v>
      </c>
      <c r="G120" s="187" t="s">
        <v>82</v>
      </c>
      <c r="H120" s="187"/>
      <c r="I120" s="188">
        <v>1</v>
      </c>
      <c r="J120" s="189">
        <v>0</v>
      </c>
      <c r="K120" s="189">
        <v>255</v>
      </c>
      <c r="L120" s="189" t="s">
        <v>607</v>
      </c>
      <c r="M120" s="189" t="s">
        <v>267</v>
      </c>
      <c r="N120" s="247" t="str">
        <f>IF(A120="k_CalRelNum_Cnt_u8[12]","CalRelNum",IF(F120="Y","TunSetCalSeg",IF(F120="N", "FlashCalSeg", "")))</f>
        <v>FlashCalSeg</v>
      </c>
    </row>
    <row r="121" spans="1:14" ht="30.6" x14ac:dyDescent="0.25">
      <c r="A121" s="190" t="s">
        <v>605</v>
      </c>
      <c r="B121" s="184" t="s">
        <v>606</v>
      </c>
      <c r="C121" s="185" t="s">
        <v>598</v>
      </c>
      <c r="D121" s="185" t="s">
        <v>176</v>
      </c>
      <c r="E121" s="185"/>
      <c r="F121" s="186" t="s">
        <v>82</v>
      </c>
      <c r="G121" s="187" t="s">
        <v>82</v>
      </c>
      <c r="H121" s="187"/>
      <c r="I121" s="188">
        <v>120</v>
      </c>
      <c r="J121" s="189">
        <v>0</v>
      </c>
      <c r="K121" s="189">
        <v>255</v>
      </c>
      <c r="L121" s="189" t="s">
        <v>607</v>
      </c>
      <c r="M121" s="189" t="s">
        <v>267</v>
      </c>
      <c r="N121" s="247" t="str">
        <f>IF(A121="k_CalRelNum_Cnt_u8[12]","CalRelNum",IF(F121="Y","TunSetCalSeg",IF(F121="N", "FlashCalSeg", "")))</f>
        <v>FlashCalSeg</v>
      </c>
    </row>
    <row r="122" spans="1:14" ht="30.6" x14ac:dyDescent="0.25">
      <c r="A122" s="190" t="s">
        <v>621</v>
      </c>
      <c r="B122" s="184" t="s">
        <v>622</v>
      </c>
      <c r="C122" s="185" t="s">
        <v>598</v>
      </c>
      <c r="D122" s="185" t="s">
        <v>176</v>
      </c>
      <c r="E122" s="185"/>
      <c r="F122" s="186" t="s">
        <v>82</v>
      </c>
      <c r="G122" s="187" t="s">
        <v>82</v>
      </c>
      <c r="H122" s="187"/>
      <c r="I122" s="188">
        <v>0.73</v>
      </c>
      <c r="J122" s="189">
        <v>0</v>
      </c>
      <c r="K122" s="189">
        <v>6</v>
      </c>
      <c r="L122" s="189" t="s">
        <v>599</v>
      </c>
      <c r="M122" s="189" t="s">
        <v>261</v>
      </c>
      <c r="N122" s="247" t="str">
        <f>IF(A122="k_CalRelNum_Cnt_u8[12]","CalRelNum",IF(F122="Y","TunSetCalSeg",IF(F122="N", "FlashCalSeg", "")))</f>
        <v>FlashCalSeg</v>
      </c>
    </row>
    <row r="123" spans="1:14" ht="51" x14ac:dyDescent="0.25">
      <c r="A123" s="190" t="s">
        <v>596</v>
      </c>
      <c r="B123" s="184" t="s">
        <v>3725</v>
      </c>
      <c r="C123" s="185" t="s">
        <v>3549</v>
      </c>
      <c r="D123" s="185" t="s">
        <v>3430</v>
      </c>
      <c r="E123" s="185" t="s">
        <v>597</v>
      </c>
      <c r="F123" s="186" t="s">
        <v>82</v>
      </c>
      <c r="G123" s="187" t="s">
        <v>82</v>
      </c>
      <c r="H123" s="187"/>
      <c r="I123" s="188">
        <v>16</v>
      </c>
      <c r="J123" s="189">
        <v>0</v>
      </c>
      <c r="K123" s="189">
        <v>31</v>
      </c>
      <c r="L123" s="189" t="s">
        <v>599</v>
      </c>
      <c r="M123" s="189" t="s">
        <v>261</v>
      </c>
      <c r="N123" s="247" t="str">
        <f>IF(A123="k_CalRelNum_Cnt_u8[12]","CalRelNum",IF(F123="Y","TunSetCalSeg",IF(F123="N", "FlashCalSeg", "")))</f>
        <v>FlashCalSeg</v>
      </c>
    </row>
    <row r="124" spans="1:14" ht="40.799999999999997" x14ac:dyDescent="0.25">
      <c r="A124" s="190" t="s">
        <v>3477</v>
      </c>
      <c r="B124" s="184" t="s">
        <v>3478</v>
      </c>
      <c r="C124" s="185" t="s">
        <v>3436</v>
      </c>
      <c r="D124" s="185" t="s">
        <v>3437</v>
      </c>
      <c r="E124" s="185"/>
      <c r="F124" s="186" t="s">
        <v>82</v>
      </c>
      <c r="G124" s="187"/>
      <c r="H124" s="187"/>
      <c r="I124" s="188">
        <v>5</v>
      </c>
      <c r="J124" s="189">
        <v>0</v>
      </c>
      <c r="K124" s="189">
        <v>30</v>
      </c>
      <c r="L124" s="189" t="s">
        <v>654</v>
      </c>
      <c r="M124" s="189" t="s">
        <v>261</v>
      </c>
      <c r="N124" s="247" t="str">
        <f>IF(A124="k_CalRelNum_Cnt_u8[12]","CalRelNum",IF(F124="Y","TunSetCalSeg",IF(F124="N", "FlashCalSeg", "")))</f>
        <v>FlashCalSeg</v>
      </c>
    </row>
    <row r="125" spans="1:14" ht="40.799999999999997" x14ac:dyDescent="0.25">
      <c r="A125" s="190" t="s">
        <v>3475</v>
      </c>
      <c r="B125" s="184" t="s">
        <v>3476</v>
      </c>
      <c r="C125" s="185" t="s">
        <v>3436</v>
      </c>
      <c r="D125" s="185" t="s">
        <v>3437</v>
      </c>
      <c r="E125" s="185"/>
      <c r="F125" s="186" t="s">
        <v>82</v>
      </c>
      <c r="G125" s="187"/>
      <c r="H125" s="187"/>
      <c r="I125" s="188">
        <v>0</v>
      </c>
      <c r="J125" s="189">
        <v>0</v>
      </c>
      <c r="K125" s="189">
        <v>30</v>
      </c>
      <c r="L125" s="189" t="s">
        <v>654</v>
      </c>
      <c r="M125" s="189" t="s">
        <v>261</v>
      </c>
      <c r="N125" s="247" t="str">
        <f>IF(A125="k_CalRelNum_Cnt_u8[12]","CalRelNum",IF(F125="Y","TunSetCalSeg",IF(F125="N", "FlashCalSeg", "")))</f>
        <v>FlashCalSeg</v>
      </c>
    </row>
    <row r="126" spans="1:14" ht="40.799999999999997" x14ac:dyDescent="0.25">
      <c r="A126" s="190" t="s">
        <v>3479</v>
      </c>
      <c r="B126" s="184" t="s">
        <v>3480</v>
      </c>
      <c r="C126" s="185" t="s">
        <v>3436</v>
      </c>
      <c r="D126" s="185" t="s">
        <v>3437</v>
      </c>
      <c r="E126" s="185"/>
      <c r="F126" s="186" t="s">
        <v>82</v>
      </c>
      <c r="G126" s="187"/>
      <c r="H126" s="187"/>
      <c r="I126" s="188">
        <v>6</v>
      </c>
      <c r="J126" s="189">
        <v>0</v>
      </c>
      <c r="K126" s="189">
        <v>30</v>
      </c>
      <c r="L126" s="189" t="s">
        <v>654</v>
      </c>
      <c r="M126" s="189" t="s">
        <v>261</v>
      </c>
      <c r="N126" s="247" t="str">
        <f>IF(A126="k_CalRelNum_Cnt_u8[12]","CalRelNum",IF(F126="Y","TunSetCalSeg",IF(F126="N", "FlashCalSeg", "")))</f>
        <v>FlashCalSeg</v>
      </c>
    </row>
    <row r="127" spans="1:14" ht="40.799999999999997" x14ac:dyDescent="0.25">
      <c r="A127" s="190" t="s">
        <v>3468</v>
      </c>
      <c r="B127" s="184"/>
      <c r="C127" s="185" t="s">
        <v>3436</v>
      </c>
      <c r="D127" s="185" t="s">
        <v>3437</v>
      </c>
      <c r="E127" s="185" t="s">
        <v>3469</v>
      </c>
      <c r="F127" s="186" t="s">
        <v>82</v>
      </c>
      <c r="G127" s="187"/>
      <c r="H127" s="187"/>
      <c r="I127" s="188" t="s">
        <v>3470</v>
      </c>
      <c r="J127" s="189"/>
      <c r="K127" s="189"/>
      <c r="L127" s="189"/>
      <c r="M127" s="189" t="s">
        <v>604</v>
      </c>
      <c r="N127" s="247" t="str">
        <f>IF(A127="k_CalRelNum_Cnt_u8[12]","CalRelNum",IF(F127="Y","TunSetCalSeg",IF(F127="N", "FlashCalSeg", "")))</f>
        <v>FlashCalSeg</v>
      </c>
    </row>
    <row r="128" spans="1:14" ht="40.799999999999997" x14ac:dyDescent="0.25">
      <c r="A128" s="190" t="s">
        <v>3456</v>
      </c>
      <c r="B128" s="184" t="s">
        <v>3457</v>
      </c>
      <c r="C128" s="185" t="s">
        <v>3436</v>
      </c>
      <c r="D128" s="185" t="s">
        <v>3437</v>
      </c>
      <c r="E128" s="185" t="s">
        <v>3458</v>
      </c>
      <c r="F128" s="186" t="s">
        <v>82</v>
      </c>
      <c r="G128" s="187"/>
      <c r="H128" s="187"/>
      <c r="I128" s="188">
        <v>0.99</v>
      </c>
      <c r="J128" s="189">
        <v>0</v>
      </c>
      <c r="K128" s="189">
        <v>1</v>
      </c>
      <c r="L128" s="189" t="s">
        <v>300</v>
      </c>
      <c r="M128" s="189" t="s">
        <v>261</v>
      </c>
      <c r="N128" s="247" t="str">
        <f>IF(A128="k_CalRelNum_Cnt_u8[12]","CalRelNum",IF(F128="Y","TunSetCalSeg",IF(F128="N", "FlashCalSeg", "")))</f>
        <v>FlashCalSeg</v>
      </c>
    </row>
    <row r="129" spans="1:14" ht="40.799999999999997" x14ac:dyDescent="0.25">
      <c r="A129" s="190" t="s">
        <v>3459</v>
      </c>
      <c r="B129" s="184" t="s">
        <v>3460</v>
      </c>
      <c r="C129" s="185" t="s">
        <v>3436</v>
      </c>
      <c r="D129" s="185" t="s">
        <v>3437</v>
      </c>
      <c r="E129" s="185" t="s">
        <v>3461</v>
      </c>
      <c r="F129" s="186" t="s">
        <v>82</v>
      </c>
      <c r="G129" s="187"/>
      <c r="H129" s="187"/>
      <c r="I129" s="188">
        <v>0.98</v>
      </c>
      <c r="J129" s="189">
        <v>0</v>
      </c>
      <c r="K129" s="189">
        <v>1</v>
      </c>
      <c r="L129" s="189" t="s">
        <v>300</v>
      </c>
      <c r="M129" s="189" t="s">
        <v>261</v>
      </c>
      <c r="N129" s="247" t="str">
        <f>IF(A129="k_CalRelNum_Cnt_u8[12]","CalRelNum",IF(F129="Y","TunSetCalSeg",IF(F129="N", "FlashCalSeg", "")))</f>
        <v>FlashCalSeg</v>
      </c>
    </row>
    <row r="130" spans="1:14" ht="40.799999999999997" x14ac:dyDescent="0.25">
      <c r="A130" s="190" t="s">
        <v>3433</v>
      </c>
      <c r="B130" s="184" t="s">
        <v>3434</v>
      </c>
      <c r="C130" s="185" t="s">
        <v>3436</v>
      </c>
      <c r="D130" s="185" t="s">
        <v>3437</v>
      </c>
      <c r="E130" s="185" t="s">
        <v>3435</v>
      </c>
      <c r="F130" s="186" t="s">
        <v>82</v>
      </c>
      <c r="G130" s="187"/>
      <c r="H130" s="187"/>
      <c r="I130" s="188">
        <v>100</v>
      </c>
      <c r="J130" s="189">
        <v>0</v>
      </c>
      <c r="K130" s="189">
        <v>700</v>
      </c>
      <c r="L130" s="189" t="s">
        <v>263</v>
      </c>
      <c r="M130" s="189" t="s">
        <v>261</v>
      </c>
      <c r="N130" s="247" t="str">
        <f>IF(A130="k_CalRelNum_Cnt_u8[12]","CalRelNum",IF(F130="Y","TunSetCalSeg",IF(F130="N", "FlashCalSeg", "")))</f>
        <v>FlashCalSeg</v>
      </c>
    </row>
    <row r="131" spans="1:14" ht="40.799999999999997" x14ac:dyDescent="0.25">
      <c r="A131" s="190" t="s">
        <v>3442</v>
      </c>
      <c r="B131" s="184" t="s">
        <v>3443</v>
      </c>
      <c r="C131" s="185" t="s">
        <v>3436</v>
      </c>
      <c r="D131" s="185" t="s">
        <v>3437</v>
      </c>
      <c r="E131" s="185"/>
      <c r="F131" s="186" t="s">
        <v>82</v>
      </c>
      <c r="G131" s="187"/>
      <c r="H131" s="187"/>
      <c r="I131" s="188">
        <v>0.5</v>
      </c>
      <c r="J131" s="189">
        <v>0</v>
      </c>
      <c r="K131" s="189">
        <v>30</v>
      </c>
      <c r="L131" s="189" t="s">
        <v>599</v>
      </c>
      <c r="M131" s="189" t="s">
        <v>261</v>
      </c>
      <c r="N131" s="247" t="str">
        <f>IF(A131="k_CalRelNum_Cnt_u8[12]","CalRelNum",IF(F131="Y","TunSetCalSeg",IF(F131="N", "FlashCalSeg", "")))</f>
        <v>FlashCalSeg</v>
      </c>
    </row>
    <row r="132" spans="1:14" ht="40.799999999999997" x14ac:dyDescent="0.25">
      <c r="A132" s="190" t="s">
        <v>3440</v>
      </c>
      <c r="B132" s="184" t="s">
        <v>3441</v>
      </c>
      <c r="C132" s="185" t="s">
        <v>3436</v>
      </c>
      <c r="D132" s="185" t="s">
        <v>3437</v>
      </c>
      <c r="E132" s="185"/>
      <c r="F132" s="186" t="s">
        <v>82</v>
      </c>
      <c r="G132" s="187"/>
      <c r="H132" s="187"/>
      <c r="I132" s="188">
        <v>0.5</v>
      </c>
      <c r="J132" s="189">
        <v>0</v>
      </c>
      <c r="K132" s="189">
        <v>30</v>
      </c>
      <c r="L132" s="189" t="s">
        <v>599</v>
      </c>
      <c r="M132" s="189" t="s">
        <v>261</v>
      </c>
      <c r="N132" s="247" t="str">
        <f>IF(A132="k_CalRelNum_Cnt_u8[12]","CalRelNum",IF(F132="Y","TunSetCalSeg",IF(F132="N", "FlashCalSeg", "")))</f>
        <v>FlashCalSeg</v>
      </c>
    </row>
    <row r="133" spans="1:14" ht="40.799999999999997" x14ac:dyDescent="0.25">
      <c r="A133" s="190" t="s">
        <v>3454</v>
      </c>
      <c r="B133" s="184" t="s">
        <v>3455</v>
      </c>
      <c r="C133" s="185" t="s">
        <v>3436</v>
      </c>
      <c r="D133" s="185" t="s">
        <v>3437</v>
      </c>
      <c r="E133" s="185"/>
      <c r="F133" s="186" t="s">
        <v>82</v>
      </c>
      <c r="G133" s="187"/>
      <c r="H133" s="187"/>
      <c r="I133" s="188">
        <v>50</v>
      </c>
      <c r="J133" s="189">
        <v>0</v>
      </c>
      <c r="K133" s="189">
        <v>500</v>
      </c>
      <c r="L133" s="189" t="s">
        <v>273</v>
      </c>
      <c r="M133" s="189" t="s">
        <v>267</v>
      </c>
      <c r="N133" s="247" t="str">
        <f>IF(A133="k_CalRelNum_Cnt_u8[12]","CalRelNum",IF(F133="Y","TunSetCalSeg",IF(F133="N", "FlashCalSeg", "")))</f>
        <v>FlashCalSeg</v>
      </c>
    </row>
    <row r="134" spans="1:14" ht="40.799999999999997" x14ac:dyDescent="0.25">
      <c r="A134" s="190" t="s">
        <v>3452</v>
      </c>
      <c r="B134" s="184" t="s">
        <v>3453</v>
      </c>
      <c r="C134" s="185" t="s">
        <v>3436</v>
      </c>
      <c r="D134" s="185" t="s">
        <v>3437</v>
      </c>
      <c r="E134" s="185"/>
      <c r="F134" s="186" t="s">
        <v>82</v>
      </c>
      <c r="G134" s="187"/>
      <c r="H134" s="187"/>
      <c r="I134" s="188">
        <v>1</v>
      </c>
      <c r="J134" s="189">
        <v>0</v>
      </c>
      <c r="K134" s="189">
        <v>30</v>
      </c>
      <c r="L134" s="189" t="s">
        <v>599</v>
      </c>
      <c r="M134" s="189" t="s">
        <v>261</v>
      </c>
      <c r="N134" s="247" t="str">
        <f>IF(A134="k_CalRelNum_Cnt_u8[12]","CalRelNum",IF(F134="Y","TunSetCalSeg",IF(F134="N", "FlashCalSeg", "")))</f>
        <v>FlashCalSeg</v>
      </c>
    </row>
    <row r="135" spans="1:14" ht="40.799999999999997" x14ac:dyDescent="0.25">
      <c r="A135" s="190" t="s">
        <v>3450</v>
      </c>
      <c r="B135" s="184" t="s">
        <v>3451</v>
      </c>
      <c r="C135" s="185" t="s">
        <v>3436</v>
      </c>
      <c r="D135" s="185" t="s">
        <v>3437</v>
      </c>
      <c r="E135" s="185"/>
      <c r="F135" s="186" t="s">
        <v>82</v>
      </c>
      <c r="G135" s="187"/>
      <c r="H135" s="187"/>
      <c r="I135" s="188">
        <v>400</v>
      </c>
      <c r="J135" s="189">
        <v>0</v>
      </c>
      <c r="K135" s="189">
        <v>2000</v>
      </c>
      <c r="L135" s="189" t="s">
        <v>273</v>
      </c>
      <c r="M135" s="189" t="s">
        <v>267</v>
      </c>
      <c r="N135" s="247" t="str">
        <f>IF(A135="k_CalRelNum_Cnt_u8[12]","CalRelNum",IF(F135="Y","TunSetCalSeg",IF(F135="N", "FlashCalSeg", "")))</f>
        <v>FlashCalSeg</v>
      </c>
    </row>
    <row r="136" spans="1:14" ht="40.799999999999997" x14ac:dyDescent="0.25">
      <c r="A136" s="190" t="s">
        <v>3448</v>
      </c>
      <c r="B136" s="184" t="s">
        <v>3449</v>
      </c>
      <c r="C136" s="185" t="s">
        <v>3436</v>
      </c>
      <c r="D136" s="185" t="s">
        <v>3437</v>
      </c>
      <c r="E136" s="185"/>
      <c r="F136" s="186" t="s">
        <v>82</v>
      </c>
      <c r="G136" s="187"/>
      <c r="H136" s="187"/>
      <c r="I136" s="188">
        <v>0.5</v>
      </c>
      <c r="J136" s="189">
        <v>0</v>
      </c>
      <c r="K136" s="189">
        <v>30</v>
      </c>
      <c r="L136" s="189" t="s">
        <v>599</v>
      </c>
      <c r="M136" s="189" t="s">
        <v>261</v>
      </c>
      <c r="N136" s="247" t="str">
        <f>IF(A136="k_CalRelNum_Cnt_u8[12]","CalRelNum",IF(F136="Y","TunSetCalSeg",IF(F136="N", "FlashCalSeg", "")))</f>
        <v>FlashCalSeg</v>
      </c>
    </row>
    <row r="137" spans="1:14" ht="40.799999999999997" x14ac:dyDescent="0.25">
      <c r="A137" s="190" t="s">
        <v>3438</v>
      </c>
      <c r="B137" s="184" t="s">
        <v>3439</v>
      </c>
      <c r="C137" s="185" t="s">
        <v>3436</v>
      </c>
      <c r="D137" s="185" t="s">
        <v>3437</v>
      </c>
      <c r="E137" s="185"/>
      <c r="F137" s="186" t="s">
        <v>82</v>
      </c>
      <c r="G137" s="187"/>
      <c r="H137" s="187"/>
      <c r="I137" s="188">
        <v>2</v>
      </c>
      <c r="J137" s="189">
        <v>0</v>
      </c>
      <c r="K137" s="189">
        <v>30</v>
      </c>
      <c r="L137" s="189" t="s">
        <v>599</v>
      </c>
      <c r="M137" s="189" t="s">
        <v>261</v>
      </c>
      <c r="N137" s="247" t="str">
        <f>IF(A137="k_CalRelNum_Cnt_u8[12]","CalRelNum",IF(F137="Y","TunSetCalSeg",IF(F137="N", "FlashCalSeg", "")))</f>
        <v>FlashCalSeg</v>
      </c>
    </row>
    <row r="138" spans="1:14" ht="40.799999999999997" x14ac:dyDescent="0.25">
      <c r="A138" s="190" t="s">
        <v>3473</v>
      </c>
      <c r="B138" s="184" t="s">
        <v>3474</v>
      </c>
      <c r="C138" s="185" t="s">
        <v>3436</v>
      </c>
      <c r="D138" s="185" t="s">
        <v>3437</v>
      </c>
      <c r="E138" s="185"/>
      <c r="F138" s="186" t="s">
        <v>82</v>
      </c>
      <c r="G138" s="187"/>
      <c r="H138" s="187"/>
      <c r="I138" s="188">
        <v>8</v>
      </c>
      <c r="J138" s="189">
        <v>0</v>
      </c>
      <c r="K138" s="189">
        <v>30</v>
      </c>
      <c r="L138" s="189" t="s">
        <v>654</v>
      </c>
      <c r="M138" s="189" t="s">
        <v>261</v>
      </c>
      <c r="N138" s="247" t="str">
        <f>IF(A138="k_CalRelNum_Cnt_u8[12]","CalRelNum",IF(F138="Y","TunSetCalSeg",IF(F138="N", "FlashCalSeg", "")))</f>
        <v>FlashCalSeg</v>
      </c>
    </row>
    <row r="139" spans="1:14" ht="40.799999999999997" x14ac:dyDescent="0.25">
      <c r="A139" s="190" t="s">
        <v>3471</v>
      </c>
      <c r="B139" s="184" t="s">
        <v>3472</v>
      </c>
      <c r="C139" s="185" t="s">
        <v>3436</v>
      </c>
      <c r="D139" s="185" t="s">
        <v>3437</v>
      </c>
      <c r="E139" s="185"/>
      <c r="F139" s="186" t="s">
        <v>82</v>
      </c>
      <c r="G139" s="187"/>
      <c r="H139" s="187"/>
      <c r="I139" s="188">
        <v>7</v>
      </c>
      <c r="J139" s="189">
        <v>0</v>
      </c>
      <c r="K139" s="189">
        <v>30</v>
      </c>
      <c r="L139" s="189" t="s">
        <v>654</v>
      </c>
      <c r="M139" s="189" t="s">
        <v>261</v>
      </c>
      <c r="N139" s="247" t="str">
        <f>IF(A139="k_CalRelNum_Cnt_u8[12]","CalRelNum",IF(F139="Y","TunSetCalSeg",IF(F139="N", "FlashCalSeg", "")))</f>
        <v>FlashCalSeg</v>
      </c>
    </row>
    <row r="140" spans="1:14" ht="40.799999999999997" x14ac:dyDescent="0.25">
      <c r="A140" s="190" t="s">
        <v>4633</v>
      </c>
      <c r="B140" s="184"/>
      <c r="C140" s="185" t="s">
        <v>3436</v>
      </c>
      <c r="D140" s="185" t="s">
        <v>3437</v>
      </c>
      <c r="E140" s="185"/>
      <c r="F140" s="186" t="s">
        <v>82</v>
      </c>
      <c r="G140" s="187"/>
      <c r="H140" s="187"/>
      <c r="I140" s="188" t="s">
        <v>4634</v>
      </c>
      <c r="J140" s="189"/>
      <c r="K140" s="189"/>
      <c r="L140" s="189"/>
      <c r="M140" s="189" t="s">
        <v>604</v>
      </c>
      <c r="N140" s="247" t="str">
        <f>IF(A140="k_CalRelNum_Cnt_u8[12]","CalRelNum",IF(F140="Y","TunSetCalSeg",IF(F140="N", "FlashCalSeg", "")))</f>
        <v>FlashCalSeg</v>
      </c>
    </row>
    <row r="141" spans="1:14" ht="40.799999999999997" x14ac:dyDescent="0.25">
      <c r="A141" s="190" t="s">
        <v>3465</v>
      </c>
      <c r="B141" s="184" t="s">
        <v>3466</v>
      </c>
      <c r="C141" s="185" t="s">
        <v>3436</v>
      </c>
      <c r="D141" s="185" t="s">
        <v>3437</v>
      </c>
      <c r="E141" s="185" t="s">
        <v>3467</v>
      </c>
      <c r="F141" s="186" t="s">
        <v>82</v>
      </c>
      <c r="G141" s="187"/>
      <c r="H141" s="187"/>
      <c r="I141" s="188">
        <v>100</v>
      </c>
      <c r="J141" s="189">
        <v>0</v>
      </c>
      <c r="K141" s="189">
        <v>500</v>
      </c>
      <c r="L141" s="189" t="s">
        <v>273</v>
      </c>
      <c r="M141" s="189" t="s">
        <v>267</v>
      </c>
      <c r="N141" s="247" t="str">
        <f>IF(A141="k_CalRelNum_Cnt_u8[12]","CalRelNum",IF(F141="Y","TunSetCalSeg",IF(F141="N", "FlashCalSeg", "")))</f>
        <v>FlashCalSeg</v>
      </c>
    </row>
    <row r="142" spans="1:14" ht="40.799999999999997" x14ac:dyDescent="0.25">
      <c r="A142" s="190" t="s">
        <v>3444</v>
      </c>
      <c r="B142" s="184" t="s">
        <v>3445</v>
      </c>
      <c r="C142" s="185" t="s">
        <v>3436</v>
      </c>
      <c r="D142" s="185" t="s">
        <v>3437</v>
      </c>
      <c r="E142" s="185"/>
      <c r="F142" s="186" t="s">
        <v>82</v>
      </c>
      <c r="G142" s="187"/>
      <c r="H142" s="187"/>
      <c r="I142" s="188">
        <v>100</v>
      </c>
      <c r="J142" s="189">
        <v>0</v>
      </c>
      <c r="K142" s="189">
        <v>2000</v>
      </c>
      <c r="L142" s="189" t="s">
        <v>273</v>
      </c>
      <c r="M142" s="189" t="s">
        <v>267</v>
      </c>
      <c r="N142" s="247" t="str">
        <f>IF(A142="k_CalRelNum_Cnt_u8[12]","CalRelNum",IF(F142="Y","TunSetCalSeg",IF(F142="N", "FlashCalSeg", "")))</f>
        <v>FlashCalSeg</v>
      </c>
    </row>
    <row r="143" spans="1:14" ht="40.799999999999997" x14ac:dyDescent="0.25">
      <c r="A143" s="190" t="s">
        <v>3462</v>
      </c>
      <c r="B143" s="184" t="s">
        <v>3463</v>
      </c>
      <c r="C143" s="185" t="s">
        <v>3436</v>
      </c>
      <c r="D143" s="185" t="s">
        <v>3437</v>
      </c>
      <c r="E143" s="185" t="s">
        <v>3464</v>
      </c>
      <c r="F143" s="186" t="s">
        <v>82</v>
      </c>
      <c r="G143" s="187"/>
      <c r="H143" s="187"/>
      <c r="I143" s="188">
        <v>0.5</v>
      </c>
      <c r="J143" s="189">
        <v>0</v>
      </c>
      <c r="K143" s="189">
        <v>30</v>
      </c>
      <c r="L143" s="189" t="s">
        <v>599</v>
      </c>
      <c r="M143" s="189" t="s">
        <v>261</v>
      </c>
      <c r="N143" s="247" t="str">
        <f>IF(A143="k_CalRelNum_Cnt_u8[12]","CalRelNum",IF(F143="Y","TunSetCalSeg",IF(F143="N", "FlashCalSeg", "")))</f>
        <v>FlashCalSeg</v>
      </c>
    </row>
    <row r="144" spans="1:14" ht="40.799999999999997" x14ac:dyDescent="0.25">
      <c r="A144" s="190" t="s">
        <v>3446</v>
      </c>
      <c r="B144" s="184" t="s">
        <v>3447</v>
      </c>
      <c r="C144" s="185" t="s">
        <v>3436</v>
      </c>
      <c r="D144" s="185" t="s">
        <v>3437</v>
      </c>
      <c r="E144" s="185"/>
      <c r="F144" s="186" t="s">
        <v>82</v>
      </c>
      <c r="G144" s="187"/>
      <c r="H144" s="187"/>
      <c r="I144" s="188">
        <v>100</v>
      </c>
      <c r="J144" s="189">
        <v>0</v>
      </c>
      <c r="K144" s="189">
        <v>2000</v>
      </c>
      <c r="L144" s="189" t="s">
        <v>273</v>
      </c>
      <c r="M144" s="189" t="s">
        <v>267</v>
      </c>
      <c r="N144" s="247" t="str">
        <f>IF(A144="k_CalRelNum_Cnt_u8[12]","CalRelNum",IF(F144="Y","TunSetCalSeg",IF(F144="N", "FlashCalSeg", "")))</f>
        <v>FlashCalSeg</v>
      </c>
    </row>
    <row r="145" spans="1:14" x14ac:dyDescent="0.25">
      <c r="A145" s="190" t="s">
        <v>4409</v>
      </c>
      <c r="B145" s="184"/>
      <c r="C145" s="185" t="s">
        <v>625</v>
      </c>
      <c r="D145" s="185" t="s">
        <v>223</v>
      </c>
      <c r="E145" s="185" t="s">
        <v>4403</v>
      </c>
      <c r="F145" s="186" t="s">
        <v>82</v>
      </c>
      <c r="G145" s="187" t="s">
        <v>82</v>
      </c>
      <c r="H145" s="187"/>
      <c r="I145" s="188">
        <v>10</v>
      </c>
      <c r="J145" s="189">
        <v>5</v>
      </c>
      <c r="K145" s="189">
        <v>31</v>
      </c>
      <c r="L145" s="189" t="s">
        <v>599</v>
      </c>
      <c r="M145" s="189" t="s">
        <v>626</v>
      </c>
      <c r="N145" s="247" t="str">
        <f>IF(A145="k_CalRelNum_Cnt_u8[12]","CalRelNum",IF(F145="Y","TunSetCalSeg",IF(F145="N", "FlashCalSeg", "")))</f>
        <v>FlashCalSeg</v>
      </c>
    </row>
    <row r="146" spans="1:14" x14ac:dyDescent="0.25">
      <c r="A146" s="190" t="s">
        <v>4402</v>
      </c>
      <c r="B146" s="184"/>
      <c r="C146" s="185" t="s">
        <v>625</v>
      </c>
      <c r="D146" s="185" t="s">
        <v>223</v>
      </c>
      <c r="E146" s="185" t="s">
        <v>4403</v>
      </c>
      <c r="F146" s="186" t="s">
        <v>82</v>
      </c>
      <c r="G146" s="187" t="s">
        <v>82</v>
      </c>
      <c r="H146" s="187"/>
      <c r="I146" s="188">
        <v>9</v>
      </c>
      <c r="J146" s="189">
        <v>5</v>
      </c>
      <c r="K146" s="189">
        <v>31</v>
      </c>
      <c r="L146" s="189" t="s">
        <v>599</v>
      </c>
      <c r="M146" s="189" t="s">
        <v>626</v>
      </c>
      <c r="N146" s="247" t="str">
        <f>IF(A146="k_CalRelNum_Cnt_u8[12]","CalRelNum",IF(F146="Y","TunSetCalSeg",IF(F146="N", "FlashCalSeg", "")))</f>
        <v>FlashCalSeg</v>
      </c>
    </row>
    <row r="147" spans="1:14" x14ac:dyDescent="0.25">
      <c r="A147" s="190" t="s">
        <v>4408</v>
      </c>
      <c r="B147" s="184"/>
      <c r="C147" s="185" t="s">
        <v>625</v>
      </c>
      <c r="D147" s="185" t="s">
        <v>223</v>
      </c>
      <c r="E147" s="185" t="s">
        <v>4403</v>
      </c>
      <c r="F147" s="186" t="s">
        <v>82</v>
      </c>
      <c r="G147" s="187" t="s">
        <v>82</v>
      </c>
      <c r="H147" s="187"/>
      <c r="I147" s="188">
        <v>16.5</v>
      </c>
      <c r="J147" s="189">
        <v>5</v>
      </c>
      <c r="K147" s="189">
        <v>31</v>
      </c>
      <c r="L147" s="189" t="s">
        <v>599</v>
      </c>
      <c r="M147" s="189" t="s">
        <v>626</v>
      </c>
      <c r="N147" s="247" t="str">
        <f>IF(A147="k_CalRelNum_Cnt_u8[12]","CalRelNum",IF(F147="Y","TunSetCalSeg",IF(F147="N", "FlashCalSeg", "")))</f>
        <v>FlashCalSeg</v>
      </c>
    </row>
    <row r="148" spans="1:14" x14ac:dyDescent="0.25">
      <c r="A148" s="190" t="s">
        <v>638</v>
      </c>
      <c r="B148" s="184" t="s">
        <v>638</v>
      </c>
      <c r="C148" s="185" t="s">
        <v>625</v>
      </c>
      <c r="D148" s="185" t="s">
        <v>223</v>
      </c>
      <c r="E148" s="185" t="s">
        <v>639</v>
      </c>
      <c r="F148" s="186" t="s">
        <v>82</v>
      </c>
      <c r="G148" s="187" t="s">
        <v>82</v>
      </c>
      <c r="H148" s="187"/>
      <c r="I148" s="188">
        <v>1000</v>
      </c>
      <c r="J148" s="189">
        <v>0</v>
      </c>
      <c r="K148" s="189">
        <v>65000</v>
      </c>
      <c r="L148" s="189" t="s">
        <v>631</v>
      </c>
      <c r="M148" s="189" t="s">
        <v>425</v>
      </c>
      <c r="N148" s="247" t="str">
        <f>IF(A148="k_CalRelNum_Cnt_u8[12]","CalRelNum",IF(F148="Y","TunSetCalSeg",IF(F148="N", "FlashCalSeg", "")))</f>
        <v>FlashCalSeg</v>
      </c>
    </row>
    <row r="149" spans="1:14" ht="20.399999999999999" x14ac:dyDescent="0.25">
      <c r="A149" s="190" t="s">
        <v>636</v>
      </c>
      <c r="B149" s="184" t="s">
        <v>636</v>
      </c>
      <c r="C149" s="185" t="s">
        <v>625</v>
      </c>
      <c r="D149" s="185" t="s">
        <v>223</v>
      </c>
      <c r="E149" s="185" t="s">
        <v>637</v>
      </c>
      <c r="F149" s="186" t="s">
        <v>82</v>
      </c>
      <c r="G149" s="187" t="s">
        <v>82</v>
      </c>
      <c r="H149" s="187"/>
      <c r="I149" s="188">
        <v>9</v>
      </c>
      <c r="J149" s="189">
        <v>5</v>
      </c>
      <c r="K149" s="189">
        <v>31</v>
      </c>
      <c r="L149" s="189" t="s">
        <v>599</v>
      </c>
      <c r="M149" s="189" t="s">
        <v>626</v>
      </c>
      <c r="N149" s="247" t="str">
        <f>IF(A149="k_CalRelNum_Cnt_u8[12]","CalRelNum",IF(F149="Y","TunSetCalSeg",IF(F149="N", "FlashCalSeg", "")))</f>
        <v>FlashCalSeg</v>
      </c>
    </row>
    <row r="150" spans="1:14" ht="20.399999999999999" x14ac:dyDescent="0.25">
      <c r="A150" s="190" t="s">
        <v>640</v>
      </c>
      <c r="B150" s="184" t="s">
        <v>640</v>
      </c>
      <c r="C150" s="185" t="s">
        <v>625</v>
      </c>
      <c r="D150" s="185" t="s">
        <v>223</v>
      </c>
      <c r="E150" s="185" t="s">
        <v>641</v>
      </c>
      <c r="F150" s="186" t="s">
        <v>82</v>
      </c>
      <c r="G150" s="187" t="s">
        <v>82</v>
      </c>
      <c r="H150" s="187"/>
      <c r="I150" s="188">
        <v>600</v>
      </c>
      <c r="J150" s="189">
        <v>0</v>
      </c>
      <c r="K150" s="189">
        <v>65000</v>
      </c>
      <c r="L150" s="189" t="s">
        <v>631</v>
      </c>
      <c r="M150" s="189" t="s">
        <v>425</v>
      </c>
      <c r="N150" s="247" t="str">
        <f>IF(A150="k_CalRelNum_Cnt_u8[12]","CalRelNum",IF(F150="Y","TunSetCalSeg",IF(F150="N", "FlashCalSeg", "")))</f>
        <v>FlashCalSeg</v>
      </c>
    </row>
    <row r="151" spans="1:14" ht="20.399999999999999" x14ac:dyDescent="0.25">
      <c r="A151" s="190" t="s">
        <v>634</v>
      </c>
      <c r="B151" s="184" t="s">
        <v>634</v>
      </c>
      <c r="C151" s="185" t="s">
        <v>625</v>
      </c>
      <c r="D151" s="185" t="s">
        <v>223</v>
      </c>
      <c r="E151" s="185" t="s">
        <v>635</v>
      </c>
      <c r="F151" s="186" t="s">
        <v>82</v>
      </c>
      <c r="G151" s="187" t="s">
        <v>82</v>
      </c>
      <c r="H151" s="187"/>
      <c r="I151" s="188">
        <v>9</v>
      </c>
      <c r="J151" s="189">
        <v>5</v>
      </c>
      <c r="K151" s="189">
        <v>31</v>
      </c>
      <c r="L151" s="189" t="s">
        <v>599</v>
      </c>
      <c r="M151" s="189" t="s">
        <v>626</v>
      </c>
      <c r="N151" s="247" t="str">
        <f>IF(A151="k_CalRelNum_Cnt_u8[12]","CalRelNum",IF(F151="Y","TunSetCalSeg",IF(F151="N", "FlashCalSeg", "")))</f>
        <v>FlashCalSeg</v>
      </c>
    </row>
    <row r="152" spans="1:14" x14ac:dyDescent="0.25">
      <c r="A152" s="190" t="s">
        <v>4400</v>
      </c>
      <c r="B152" s="184" t="s">
        <v>638</v>
      </c>
      <c r="C152" s="185" t="s">
        <v>625</v>
      </c>
      <c r="D152" s="185" t="s">
        <v>223</v>
      </c>
      <c r="E152" s="185" t="s">
        <v>639</v>
      </c>
      <c r="F152" s="186" t="s">
        <v>82</v>
      </c>
      <c r="G152" s="187" t="s">
        <v>82</v>
      </c>
      <c r="H152" s="187"/>
      <c r="I152" s="188">
        <v>1000</v>
      </c>
      <c r="J152" s="189">
        <v>0</v>
      </c>
      <c r="K152" s="189">
        <v>65000</v>
      </c>
      <c r="L152" s="189" t="s">
        <v>631</v>
      </c>
      <c r="M152" s="189" t="s">
        <v>425</v>
      </c>
      <c r="N152" s="247" t="str">
        <f>IF(A152="k_CalRelNum_Cnt_u8[12]","CalRelNum",IF(F152="Y","TunSetCalSeg",IF(F152="N", "FlashCalSeg", "")))</f>
        <v>FlashCalSeg</v>
      </c>
    </row>
    <row r="153" spans="1:14" ht="20.399999999999999" x14ac:dyDescent="0.25">
      <c r="A153" s="190" t="s">
        <v>4399</v>
      </c>
      <c r="B153" s="184" t="s">
        <v>636</v>
      </c>
      <c r="C153" s="185" t="s">
        <v>625</v>
      </c>
      <c r="D153" s="185" t="s">
        <v>223</v>
      </c>
      <c r="E153" s="185" t="s">
        <v>637</v>
      </c>
      <c r="F153" s="186" t="s">
        <v>82</v>
      </c>
      <c r="G153" s="187" t="s">
        <v>82</v>
      </c>
      <c r="H153" s="187"/>
      <c r="I153" s="188">
        <v>9</v>
      </c>
      <c r="J153" s="189">
        <v>5</v>
      </c>
      <c r="K153" s="189">
        <v>31</v>
      </c>
      <c r="L153" s="189" t="s">
        <v>599</v>
      </c>
      <c r="M153" s="189" t="s">
        <v>626</v>
      </c>
      <c r="N153" s="247" t="str">
        <f>IF(A153="k_CalRelNum_Cnt_u8[12]","CalRelNum",IF(F153="Y","TunSetCalSeg",IF(F153="N", "FlashCalSeg", "")))</f>
        <v>FlashCalSeg</v>
      </c>
    </row>
    <row r="154" spans="1:14" ht="20.399999999999999" x14ac:dyDescent="0.25">
      <c r="A154" s="190" t="s">
        <v>4401</v>
      </c>
      <c r="B154" s="184" t="s">
        <v>640</v>
      </c>
      <c r="C154" s="185" t="s">
        <v>625</v>
      </c>
      <c r="D154" s="185" t="s">
        <v>223</v>
      </c>
      <c r="E154" s="185" t="s">
        <v>641</v>
      </c>
      <c r="F154" s="186" t="s">
        <v>82</v>
      </c>
      <c r="G154" s="187" t="s">
        <v>82</v>
      </c>
      <c r="H154" s="187"/>
      <c r="I154" s="188">
        <v>600</v>
      </c>
      <c r="J154" s="189">
        <v>0</v>
      </c>
      <c r="K154" s="189">
        <v>65000</v>
      </c>
      <c r="L154" s="189" t="s">
        <v>631</v>
      </c>
      <c r="M154" s="189" t="s">
        <v>425</v>
      </c>
      <c r="N154" s="247" t="str">
        <f>IF(A154="k_CalRelNum_Cnt_u8[12]","CalRelNum",IF(F154="Y","TunSetCalSeg",IF(F154="N", "FlashCalSeg", "")))</f>
        <v>FlashCalSeg</v>
      </c>
    </row>
    <row r="155" spans="1:14" ht="20.399999999999999" x14ac:dyDescent="0.25">
      <c r="A155" s="190" t="s">
        <v>4398</v>
      </c>
      <c r="B155" s="184" t="s">
        <v>634</v>
      </c>
      <c r="C155" s="185" t="s">
        <v>625</v>
      </c>
      <c r="D155" s="185" t="s">
        <v>223</v>
      </c>
      <c r="E155" s="185" t="s">
        <v>635</v>
      </c>
      <c r="F155" s="186" t="s">
        <v>82</v>
      </c>
      <c r="G155" s="187" t="s">
        <v>82</v>
      </c>
      <c r="H155" s="187"/>
      <c r="I155" s="188">
        <v>9</v>
      </c>
      <c r="J155" s="189">
        <v>5</v>
      </c>
      <c r="K155" s="189">
        <v>31</v>
      </c>
      <c r="L155" s="189" t="s">
        <v>599</v>
      </c>
      <c r="M155" s="189" t="s">
        <v>626</v>
      </c>
      <c r="N155" s="247" t="str">
        <f>IF(A155="k_CalRelNum_Cnt_u8[12]","CalRelNum",IF(F155="Y","TunSetCalSeg",IF(F155="N", "FlashCalSeg", "")))</f>
        <v>FlashCalSeg</v>
      </c>
    </row>
    <row r="156" spans="1:14" x14ac:dyDescent="0.25">
      <c r="A156" s="190" t="s">
        <v>629</v>
      </c>
      <c r="B156" s="184" t="s">
        <v>629</v>
      </c>
      <c r="C156" s="185" t="s">
        <v>625</v>
      </c>
      <c r="D156" s="185" t="s">
        <v>223</v>
      </c>
      <c r="E156" s="185" t="s">
        <v>630</v>
      </c>
      <c r="F156" s="186" t="s">
        <v>82</v>
      </c>
      <c r="G156" s="187" t="s">
        <v>82</v>
      </c>
      <c r="H156" s="187"/>
      <c r="I156" s="188">
        <v>1000</v>
      </c>
      <c r="J156" s="189">
        <v>0</v>
      </c>
      <c r="K156" s="189">
        <v>65000</v>
      </c>
      <c r="L156" s="189" t="s">
        <v>631</v>
      </c>
      <c r="M156" s="189" t="s">
        <v>425</v>
      </c>
      <c r="N156" s="247" t="str">
        <f>IF(A156="k_CalRelNum_Cnt_u8[12]","CalRelNum",IF(F156="Y","TunSetCalSeg",IF(F156="N", "FlashCalSeg", "")))</f>
        <v>FlashCalSeg</v>
      </c>
    </row>
    <row r="157" spans="1:14" ht="20.399999999999999" x14ac:dyDescent="0.25">
      <c r="A157" s="190" t="s">
        <v>623</v>
      </c>
      <c r="B157" s="184" t="s">
        <v>623</v>
      </c>
      <c r="C157" s="185" t="s">
        <v>625</v>
      </c>
      <c r="D157" s="185" t="s">
        <v>223</v>
      </c>
      <c r="E157" s="185" t="s">
        <v>624</v>
      </c>
      <c r="F157" s="186" t="s">
        <v>82</v>
      </c>
      <c r="G157" s="187" t="s">
        <v>82</v>
      </c>
      <c r="H157" s="187"/>
      <c r="I157" s="188">
        <v>18</v>
      </c>
      <c r="J157" s="189">
        <v>5</v>
      </c>
      <c r="K157" s="189">
        <v>31</v>
      </c>
      <c r="L157" s="189" t="s">
        <v>599</v>
      </c>
      <c r="M157" s="189" t="s">
        <v>626</v>
      </c>
      <c r="N157" s="247" t="str">
        <f>IF(A157="k_CalRelNum_Cnt_u8[12]","CalRelNum",IF(F157="Y","TunSetCalSeg",IF(F157="N", "FlashCalSeg", "")))</f>
        <v>FlashCalSeg</v>
      </c>
    </row>
    <row r="158" spans="1:14" ht="20.399999999999999" x14ac:dyDescent="0.25">
      <c r="A158" s="190" t="s">
        <v>632</v>
      </c>
      <c r="B158" s="184" t="s">
        <v>632</v>
      </c>
      <c r="C158" s="185" t="s">
        <v>625</v>
      </c>
      <c r="D158" s="185" t="s">
        <v>223</v>
      </c>
      <c r="E158" s="185" t="s">
        <v>633</v>
      </c>
      <c r="F158" s="186" t="s">
        <v>82</v>
      </c>
      <c r="G158" s="187" t="s">
        <v>82</v>
      </c>
      <c r="H158" s="187"/>
      <c r="I158" s="188">
        <v>600</v>
      </c>
      <c r="J158" s="189">
        <v>0</v>
      </c>
      <c r="K158" s="189">
        <v>65000</v>
      </c>
      <c r="L158" s="189" t="s">
        <v>631</v>
      </c>
      <c r="M158" s="189" t="s">
        <v>425</v>
      </c>
      <c r="N158" s="247" t="str">
        <f>IF(A158="k_CalRelNum_Cnt_u8[12]","CalRelNum",IF(F158="Y","TunSetCalSeg",IF(F158="N", "FlashCalSeg", "")))</f>
        <v>FlashCalSeg</v>
      </c>
    </row>
    <row r="159" spans="1:14" ht="20.399999999999999" x14ac:dyDescent="0.25">
      <c r="A159" s="190" t="s">
        <v>627</v>
      </c>
      <c r="B159" s="184" t="s">
        <v>627</v>
      </c>
      <c r="C159" s="185" t="s">
        <v>625</v>
      </c>
      <c r="D159" s="249" t="s">
        <v>223</v>
      </c>
      <c r="E159" s="185" t="s">
        <v>628</v>
      </c>
      <c r="F159" s="186" t="s">
        <v>82</v>
      </c>
      <c r="G159" s="187" t="s">
        <v>82</v>
      </c>
      <c r="H159" s="187"/>
      <c r="I159" s="188">
        <v>18</v>
      </c>
      <c r="J159" s="189">
        <v>5</v>
      </c>
      <c r="K159" s="189">
        <v>31</v>
      </c>
      <c r="L159" s="189" t="s">
        <v>599</v>
      </c>
      <c r="M159" s="189" t="s">
        <v>626</v>
      </c>
      <c r="N159" s="247" t="str">
        <f>IF(A159="k_CalRelNum_Cnt_u8[12]","CalRelNum",IF(F159="Y","TunSetCalSeg",IF(F159="N", "FlashCalSeg", "")))</f>
        <v>FlashCalSeg</v>
      </c>
    </row>
    <row r="160" spans="1:14" x14ac:dyDescent="0.25">
      <c r="A160" s="190" t="s">
        <v>4406</v>
      </c>
      <c r="B160" s="184"/>
      <c r="C160" s="185" t="s">
        <v>625</v>
      </c>
      <c r="D160" s="249" t="s">
        <v>223</v>
      </c>
      <c r="E160" s="185" t="s">
        <v>4407</v>
      </c>
      <c r="F160" s="186" t="s">
        <v>82</v>
      </c>
      <c r="G160" s="187" t="s">
        <v>82</v>
      </c>
      <c r="H160" s="187"/>
      <c r="I160" s="188">
        <v>15000</v>
      </c>
      <c r="J160" s="189">
        <v>0</v>
      </c>
      <c r="K160" s="189">
        <v>65000</v>
      </c>
      <c r="L160" s="189" t="s">
        <v>631</v>
      </c>
      <c r="M160" s="189" t="s">
        <v>425</v>
      </c>
      <c r="N160" s="247" t="str">
        <f>IF(A160="k_CalRelNum_Cnt_u8[12]","CalRelNum",IF(F160="Y","TunSetCalSeg",IF(F160="N", "FlashCalSeg", "")))</f>
        <v>FlashCalSeg</v>
      </c>
    </row>
    <row r="161" spans="1:14" x14ac:dyDescent="0.25">
      <c r="A161" s="190" t="s">
        <v>4404</v>
      </c>
      <c r="B161" s="184"/>
      <c r="C161" s="185" t="s">
        <v>625</v>
      </c>
      <c r="D161" s="185" t="s">
        <v>223</v>
      </c>
      <c r="E161" s="185" t="s">
        <v>4405</v>
      </c>
      <c r="F161" s="186" t="s">
        <v>82</v>
      </c>
      <c r="G161" s="187" t="s">
        <v>82</v>
      </c>
      <c r="H161" s="187"/>
      <c r="I161" s="188">
        <v>15000</v>
      </c>
      <c r="J161" s="189">
        <v>0</v>
      </c>
      <c r="K161" s="189">
        <v>65000</v>
      </c>
      <c r="L161" s="189" t="s">
        <v>631</v>
      </c>
      <c r="M161" s="189" t="s">
        <v>425</v>
      </c>
      <c r="N161" s="247" t="str">
        <f>IF(A161="k_CalRelNum_Cnt_u8[12]","CalRelNum",IF(F161="Y","TunSetCalSeg",IF(F161="N", "FlashCalSeg", "")))</f>
        <v>FlashCalSeg</v>
      </c>
    </row>
    <row r="162" spans="1:14" ht="20.399999999999999" x14ac:dyDescent="0.25">
      <c r="A162" s="190" t="s">
        <v>4199</v>
      </c>
      <c r="B162" s="184" t="s">
        <v>642</v>
      </c>
      <c r="C162" s="185" t="s">
        <v>644</v>
      </c>
      <c r="D162" s="249" t="s">
        <v>645</v>
      </c>
      <c r="E162" s="185" t="s">
        <v>643</v>
      </c>
      <c r="F162" s="186" t="s">
        <v>82</v>
      </c>
      <c r="G162" s="187" t="s">
        <v>82</v>
      </c>
      <c r="H162" s="187"/>
      <c r="I162" s="188">
        <v>1.7953429000000001</v>
      </c>
      <c r="J162" s="189">
        <v>0</v>
      </c>
      <c r="K162" s="189">
        <v>882.54240000000004</v>
      </c>
      <c r="L162" s="189" t="s">
        <v>262</v>
      </c>
      <c r="M162" s="189" t="s">
        <v>261</v>
      </c>
      <c r="N162" s="247" t="str">
        <f>IF(A162="k_CalRelNum_Cnt_u8[12]","CalRelNum",IF(F162="Y","TunSetCalSeg",IF(F162="N", "FlashCalSeg", "")))</f>
        <v>FlashCalSeg</v>
      </c>
    </row>
    <row r="163" spans="1:14" ht="20.399999999999999" x14ac:dyDescent="0.25">
      <c r="A163" s="190" t="s">
        <v>646</v>
      </c>
      <c r="B163" s="184" t="s">
        <v>647</v>
      </c>
      <c r="C163" s="185" t="s">
        <v>644</v>
      </c>
      <c r="D163" s="249" t="s">
        <v>645</v>
      </c>
      <c r="E163" s="185"/>
      <c r="F163" s="186" t="s">
        <v>82</v>
      </c>
      <c r="G163" s="187" t="s">
        <v>82</v>
      </c>
      <c r="H163" s="187"/>
      <c r="I163" s="188">
        <v>0</v>
      </c>
      <c r="J163" s="189">
        <v>0</v>
      </c>
      <c r="K163" s="189">
        <v>50</v>
      </c>
      <c r="L163" s="189" t="s">
        <v>648</v>
      </c>
      <c r="M163" s="189" t="s">
        <v>261</v>
      </c>
      <c r="N163" s="247" t="str">
        <f>IF(A163="k_CalRelNum_Cnt_u8[12]","CalRelNum",IF(F163="Y","TunSetCalSeg",IF(F163="N", "FlashCalSeg", "")))</f>
        <v>FlashCalSeg</v>
      </c>
    </row>
    <row r="164" spans="1:14" ht="20.399999999999999" x14ac:dyDescent="0.25">
      <c r="A164" s="190" t="s">
        <v>662</v>
      </c>
      <c r="B164" s="184" t="s">
        <v>663</v>
      </c>
      <c r="C164" s="185" t="s">
        <v>644</v>
      </c>
      <c r="D164" s="185" t="s">
        <v>645</v>
      </c>
      <c r="E164" s="185"/>
      <c r="F164" s="186" t="s">
        <v>82</v>
      </c>
      <c r="G164" s="187" t="s">
        <v>82</v>
      </c>
      <c r="H164" s="187"/>
      <c r="I164" s="188">
        <v>45</v>
      </c>
      <c r="J164" s="189">
        <v>10</v>
      </c>
      <c r="K164" s="189">
        <v>100</v>
      </c>
      <c r="L164" s="189" t="s">
        <v>648</v>
      </c>
      <c r="M164" s="189" t="s">
        <v>261</v>
      </c>
      <c r="N164" s="247" t="str">
        <f>IF(A164="k_CalRelNum_Cnt_u8[12]","CalRelNum",IF(F164="Y","TunSetCalSeg",IF(F164="N", "FlashCalSeg", "")))</f>
        <v>FlashCalSeg</v>
      </c>
    </row>
    <row r="165" spans="1:14" ht="20.399999999999999" x14ac:dyDescent="0.25">
      <c r="A165" s="190" t="s">
        <v>666</v>
      </c>
      <c r="B165" s="184" t="s">
        <v>667</v>
      </c>
      <c r="C165" s="185" t="s">
        <v>644</v>
      </c>
      <c r="D165" s="185" t="s">
        <v>645</v>
      </c>
      <c r="E165" s="185"/>
      <c r="F165" s="186" t="s">
        <v>82</v>
      </c>
      <c r="G165" s="187" t="s">
        <v>82</v>
      </c>
      <c r="H165" s="187"/>
      <c r="I165" s="188">
        <v>1462</v>
      </c>
      <c r="J165" s="189">
        <v>0</v>
      </c>
      <c r="K165" s="189">
        <v>65535</v>
      </c>
      <c r="L165" s="189" t="s">
        <v>271</v>
      </c>
      <c r="M165" s="189" t="s">
        <v>267</v>
      </c>
      <c r="N165" s="247" t="str">
        <f>IF(A165="k_CalRelNum_Cnt_u8[12]","CalRelNum",IF(F165="Y","TunSetCalSeg",IF(F165="N", "FlashCalSeg", "")))</f>
        <v>FlashCalSeg</v>
      </c>
    </row>
    <row r="166" spans="1:14" ht="20.399999999999999" x14ac:dyDescent="0.25">
      <c r="A166" s="190" t="s">
        <v>5007</v>
      </c>
      <c r="B166" s="184" t="s">
        <v>5008</v>
      </c>
      <c r="C166" s="185" t="s">
        <v>644</v>
      </c>
      <c r="D166" s="185" t="s">
        <v>645</v>
      </c>
      <c r="E166" s="185"/>
      <c r="F166" s="186" t="s">
        <v>82</v>
      </c>
      <c r="G166" s="187" t="s">
        <v>82</v>
      </c>
      <c r="H166" s="187"/>
      <c r="I166" s="188">
        <v>900</v>
      </c>
      <c r="J166" s="189">
        <v>1</v>
      </c>
      <c r="K166" s="189">
        <v>10000</v>
      </c>
      <c r="L166" s="189" t="s">
        <v>271</v>
      </c>
      <c r="M166" s="189" t="s">
        <v>267</v>
      </c>
      <c r="N166" s="247" t="str">
        <f>IF(A166="k_CalRelNum_Cnt_u8[12]","CalRelNum",IF(F166="Y","TunSetCalSeg",IF(F166="N", "FlashCalSeg", "")))</f>
        <v>FlashCalSeg</v>
      </c>
    </row>
    <row r="167" spans="1:14" ht="20.399999999999999" x14ac:dyDescent="0.25">
      <c r="A167" s="190" t="s">
        <v>664</v>
      </c>
      <c r="B167" s="184" t="s">
        <v>665</v>
      </c>
      <c r="C167" s="249" t="s">
        <v>644</v>
      </c>
      <c r="D167" s="249" t="s">
        <v>645</v>
      </c>
      <c r="E167" s="185"/>
      <c r="F167" s="186" t="s">
        <v>82</v>
      </c>
      <c r="G167" s="187" t="s">
        <v>82</v>
      </c>
      <c r="H167" s="187"/>
      <c r="I167" s="188">
        <v>10</v>
      </c>
      <c r="J167" s="189">
        <v>-20</v>
      </c>
      <c r="K167" s="189">
        <v>20</v>
      </c>
      <c r="L167" s="189" t="s">
        <v>263</v>
      </c>
      <c r="M167" s="189" t="s">
        <v>261</v>
      </c>
      <c r="N167" s="247" t="str">
        <f>IF(A167="k_CalRelNum_Cnt_u8[12]","CalRelNum",IF(F167="Y","TunSetCalSeg",IF(F167="N", "FlashCalSeg", "")))</f>
        <v>FlashCalSeg</v>
      </c>
    </row>
    <row r="168" spans="1:14" ht="20.399999999999999" x14ac:dyDescent="0.25">
      <c r="A168" s="190" t="s">
        <v>660</v>
      </c>
      <c r="B168" s="184" t="s">
        <v>661</v>
      </c>
      <c r="C168" s="249" t="s">
        <v>644</v>
      </c>
      <c r="D168" s="249" t="s">
        <v>645</v>
      </c>
      <c r="E168" s="185"/>
      <c r="F168" s="186" t="s">
        <v>82</v>
      </c>
      <c r="G168" s="187" t="s">
        <v>82</v>
      </c>
      <c r="H168" s="187"/>
      <c r="I168" s="188">
        <v>110</v>
      </c>
      <c r="J168" s="189">
        <v>20</v>
      </c>
      <c r="K168" s="189">
        <v>125</v>
      </c>
      <c r="L168" s="189" t="s">
        <v>659</v>
      </c>
      <c r="M168" s="189" t="s">
        <v>261</v>
      </c>
      <c r="N168" s="247" t="str">
        <f>IF(A168="k_CalRelNum_Cnt_u8[12]","CalRelNum",IF(F168="Y","TunSetCalSeg",IF(F168="N", "FlashCalSeg", "")))</f>
        <v>FlashCalSeg</v>
      </c>
    </row>
    <row r="169" spans="1:14" ht="20.399999999999999" x14ac:dyDescent="0.25">
      <c r="A169" s="190" t="s">
        <v>655</v>
      </c>
      <c r="B169" s="184" t="s">
        <v>656</v>
      </c>
      <c r="C169" s="185" t="s">
        <v>644</v>
      </c>
      <c r="D169" s="185" t="s">
        <v>645</v>
      </c>
      <c r="E169" s="185"/>
      <c r="F169" s="186" t="s">
        <v>82</v>
      </c>
      <c r="G169" s="187" t="s">
        <v>82</v>
      </c>
      <c r="H169" s="187"/>
      <c r="I169" s="188">
        <v>2.8</v>
      </c>
      <c r="J169" s="189">
        <v>1</v>
      </c>
      <c r="K169" s="189">
        <v>3</v>
      </c>
      <c r="L169" s="189" t="s">
        <v>654</v>
      </c>
      <c r="M169" s="189" t="s">
        <v>261</v>
      </c>
      <c r="N169" s="247" t="str">
        <f>IF(A169="k_CalRelNum_Cnt_u8[12]","CalRelNum",IF(F169="Y","TunSetCalSeg",IF(F169="N", "FlashCalSeg", "")))</f>
        <v>FlashCalSeg</v>
      </c>
    </row>
    <row r="170" spans="1:14" ht="20.399999999999999" x14ac:dyDescent="0.25">
      <c r="A170" s="190" t="s">
        <v>657</v>
      </c>
      <c r="B170" s="184" t="s">
        <v>658</v>
      </c>
      <c r="C170" s="185" t="s">
        <v>644</v>
      </c>
      <c r="D170" s="185" t="s">
        <v>645</v>
      </c>
      <c r="E170" s="185"/>
      <c r="F170" s="186" t="s">
        <v>82</v>
      </c>
      <c r="G170" s="187" t="s">
        <v>82</v>
      </c>
      <c r="H170" s="187"/>
      <c r="I170" s="188">
        <v>90</v>
      </c>
      <c r="J170" s="189">
        <v>20</v>
      </c>
      <c r="K170" s="189">
        <v>125</v>
      </c>
      <c r="L170" s="189" t="s">
        <v>659</v>
      </c>
      <c r="M170" s="189" t="s">
        <v>261</v>
      </c>
      <c r="N170" s="247" t="str">
        <f>IF(A170="k_CalRelNum_Cnt_u8[12]","CalRelNum",IF(F170="Y","TunSetCalSeg",IF(F170="N", "FlashCalSeg", "")))</f>
        <v>FlashCalSeg</v>
      </c>
    </row>
    <row r="171" spans="1:14" ht="20.399999999999999" x14ac:dyDescent="0.25">
      <c r="A171" s="190" t="s">
        <v>652</v>
      </c>
      <c r="B171" s="184" t="s">
        <v>653</v>
      </c>
      <c r="C171" s="185" t="s">
        <v>644</v>
      </c>
      <c r="D171" s="185" t="s">
        <v>645</v>
      </c>
      <c r="E171" s="185"/>
      <c r="F171" s="186" t="s">
        <v>82</v>
      </c>
      <c r="G171" s="187" t="s">
        <v>82</v>
      </c>
      <c r="H171" s="187"/>
      <c r="I171" s="188">
        <v>2.2000000000000002</v>
      </c>
      <c r="J171" s="189">
        <v>1</v>
      </c>
      <c r="K171" s="189">
        <v>3</v>
      </c>
      <c r="L171" s="189" t="s">
        <v>654</v>
      </c>
      <c r="M171" s="189" t="s">
        <v>261</v>
      </c>
      <c r="N171" s="247" t="str">
        <f>IF(A171="k_CalRelNum_Cnt_u8[12]","CalRelNum",IF(F171="Y","TunSetCalSeg",IF(F171="N", "FlashCalSeg", "")))</f>
        <v>FlashCalSeg</v>
      </c>
    </row>
    <row r="172" spans="1:14" ht="20.399999999999999" x14ac:dyDescent="0.25">
      <c r="A172" s="190" t="s">
        <v>5006</v>
      </c>
      <c r="B172" s="184" t="s">
        <v>5006</v>
      </c>
      <c r="C172" s="185" t="s">
        <v>644</v>
      </c>
      <c r="D172" s="185" t="s">
        <v>645</v>
      </c>
      <c r="E172" s="185"/>
      <c r="F172" s="186" t="s">
        <v>82</v>
      </c>
      <c r="G172" s="187" t="s">
        <v>82</v>
      </c>
      <c r="H172" s="187"/>
      <c r="I172" s="188">
        <v>500</v>
      </c>
      <c r="J172" s="189">
        <v>500</v>
      </c>
      <c r="K172" s="189">
        <v>1500</v>
      </c>
      <c r="L172" s="189" t="s">
        <v>271</v>
      </c>
      <c r="M172" s="189" t="s">
        <v>267</v>
      </c>
      <c r="N172" s="247" t="str">
        <f>IF(A172="k_CalRelNum_Cnt_u8[12]","CalRelNum",IF(F172="Y","TunSetCalSeg",IF(F172="N", "FlashCalSeg", "")))</f>
        <v>FlashCalSeg</v>
      </c>
    </row>
    <row r="173" spans="1:14" ht="20.399999999999999" x14ac:dyDescent="0.25">
      <c r="A173" s="190" t="s">
        <v>649</v>
      </c>
      <c r="B173" s="184" t="s">
        <v>650</v>
      </c>
      <c r="C173" s="185" t="s">
        <v>644</v>
      </c>
      <c r="D173" s="185" t="s">
        <v>645</v>
      </c>
      <c r="E173" s="185"/>
      <c r="F173" s="186" t="s">
        <v>82</v>
      </c>
      <c r="G173" s="187" t="s">
        <v>82</v>
      </c>
      <c r="H173" s="187"/>
      <c r="I173" s="188">
        <v>9.6000000000000002E-5</v>
      </c>
      <c r="J173" s="189">
        <v>2.5000000000000001E-5</v>
      </c>
      <c r="K173" s="189">
        <v>2.0000000000000001E-4</v>
      </c>
      <c r="L173" s="189" t="s">
        <v>651</v>
      </c>
      <c r="M173" s="189" t="s">
        <v>261</v>
      </c>
      <c r="N173" s="247" t="str">
        <f>IF(A173="k_CalRelNum_Cnt_u8[12]","CalRelNum",IF(F173="Y","TunSetCalSeg",IF(F173="N", "FlashCalSeg", "")))</f>
        <v>FlashCalSeg</v>
      </c>
    </row>
    <row r="174" spans="1:14" x14ac:dyDescent="0.25">
      <c r="A174" s="190" t="s">
        <v>4591</v>
      </c>
      <c r="B174" s="184"/>
      <c r="C174" s="185" t="s">
        <v>669</v>
      </c>
      <c r="D174" s="185" t="s">
        <v>2243</v>
      </c>
      <c r="E174" s="185"/>
      <c r="F174" s="186" t="s">
        <v>82</v>
      </c>
      <c r="G174" s="187" t="s">
        <v>82</v>
      </c>
      <c r="H174" s="187"/>
      <c r="I174" s="188">
        <v>1</v>
      </c>
      <c r="J174" s="189">
        <v>-1</v>
      </c>
      <c r="K174" s="189">
        <v>1</v>
      </c>
      <c r="L174" s="189" t="s">
        <v>4592</v>
      </c>
      <c r="M174" s="189" t="s">
        <v>2265</v>
      </c>
      <c r="N174" s="247" t="str">
        <f>IF(A174="k_CalRelNum_Cnt_u8[12]","CalRelNum",IF(F174="Y","TunSetCalSeg",IF(F174="N", "FlashCalSeg", "")))</f>
        <v>FlashCalSeg</v>
      </c>
    </row>
    <row r="175" spans="1:14" x14ac:dyDescent="0.25">
      <c r="A175" s="190" t="s">
        <v>672</v>
      </c>
      <c r="B175" s="184"/>
      <c r="C175" s="185" t="s">
        <v>669</v>
      </c>
      <c r="D175" s="185" t="s">
        <v>2243</v>
      </c>
      <c r="E175" s="185"/>
      <c r="F175" s="186" t="s">
        <v>82</v>
      </c>
      <c r="G175" s="187" t="s">
        <v>82</v>
      </c>
      <c r="H175" s="187"/>
      <c r="I175" s="188">
        <v>0.5</v>
      </c>
      <c r="J175" s="189">
        <v>0</v>
      </c>
      <c r="K175" s="189">
        <v>10</v>
      </c>
      <c r="L175" s="189" t="s">
        <v>265</v>
      </c>
      <c r="M175" s="189" t="s">
        <v>261</v>
      </c>
      <c r="N175" s="247" t="str">
        <f>IF(A175="k_CalRelNum_Cnt_u8[12]","CalRelNum",IF(F175="Y","TunSetCalSeg",IF(F175="N", "FlashCalSeg", "")))</f>
        <v>FlashCalSeg</v>
      </c>
    </row>
    <row r="176" spans="1:14" x14ac:dyDescent="0.25">
      <c r="A176" s="190" t="s">
        <v>671</v>
      </c>
      <c r="B176" s="184"/>
      <c r="C176" s="185" t="s">
        <v>669</v>
      </c>
      <c r="D176" s="185" t="s">
        <v>2243</v>
      </c>
      <c r="E176" s="185"/>
      <c r="F176" s="186" t="s">
        <v>82</v>
      </c>
      <c r="G176" s="187" t="s">
        <v>82</v>
      </c>
      <c r="H176" s="187"/>
      <c r="I176" s="188">
        <v>5000</v>
      </c>
      <c r="J176" s="189">
        <v>0</v>
      </c>
      <c r="K176" s="189">
        <v>65000</v>
      </c>
      <c r="L176" s="189" t="s">
        <v>273</v>
      </c>
      <c r="M176" s="189" t="s">
        <v>267</v>
      </c>
      <c r="N176" s="247" t="str">
        <f>IF(A176="k_CalRelNum_Cnt_u8[12]","CalRelNum",IF(F176="Y","TunSetCalSeg",IF(F176="N", "FlashCalSeg", "")))</f>
        <v>FlashCalSeg</v>
      </c>
    </row>
    <row r="177" spans="1:14" x14ac:dyDescent="0.25">
      <c r="A177" s="190" t="s">
        <v>670</v>
      </c>
      <c r="B177" s="184"/>
      <c r="C177" s="185" t="s">
        <v>669</v>
      </c>
      <c r="D177" s="185" t="s">
        <v>2243</v>
      </c>
      <c r="E177" s="185"/>
      <c r="F177" s="186" t="s">
        <v>82</v>
      </c>
      <c r="G177" s="187" t="s">
        <v>82</v>
      </c>
      <c r="H177" s="187"/>
      <c r="I177" s="188">
        <v>5000</v>
      </c>
      <c r="J177" s="189">
        <v>0</v>
      </c>
      <c r="K177" s="189">
        <v>65000</v>
      </c>
      <c r="L177" s="189" t="s">
        <v>273</v>
      </c>
      <c r="M177" s="189" t="s">
        <v>267</v>
      </c>
      <c r="N177" s="247" t="str">
        <f>IF(A177="k_CalRelNum_Cnt_u8[12]","CalRelNum",IF(F177="Y","TunSetCalSeg",IF(F177="N", "FlashCalSeg", "")))</f>
        <v>FlashCalSeg</v>
      </c>
    </row>
    <row r="178" spans="1:14" x14ac:dyDescent="0.25">
      <c r="A178" s="190" t="s">
        <v>668</v>
      </c>
      <c r="B178" s="184"/>
      <c r="C178" s="185" t="s">
        <v>669</v>
      </c>
      <c r="D178" s="185" t="s">
        <v>2243</v>
      </c>
      <c r="E178" s="185"/>
      <c r="F178" s="186" t="s">
        <v>82</v>
      </c>
      <c r="G178" s="187" t="s">
        <v>82</v>
      </c>
      <c r="H178" s="187"/>
      <c r="I178" s="188">
        <v>2</v>
      </c>
      <c r="J178" s="189">
        <v>0</v>
      </c>
      <c r="K178" s="189">
        <v>1440.11</v>
      </c>
      <c r="L178" s="189" t="s">
        <v>268</v>
      </c>
      <c r="M178" s="189" t="s">
        <v>261</v>
      </c>
      <c r="N178" s="247" t="str">
        <f>IF(A178="k_CalRelNum_Cnt_u8[12]","CalRelNum",IF(F178="Y","TunSetCalSeg",IF(F178="N", "FlashCalSeg", "")))</f>
        <v>FlashCalSeg</v>
      </c>
    </row>
    <row r="179" spans="1:14" x14ac:dyDescent="0.25">
      <c r="A179" s="190" t="s">
        <v>1000</v>
      </c>
      <c r="B179" s="184"/>
      <c r="C179" s="185" t="s">
        <v>3411</v>
      </c>
      <c r="D179" s="185" t="s">
        <v>1002</v>
      </c>
      <c r="E179" s="185" t="s">
        <v>1001</v>
      </c>
      <c r="F179" s="186" t="s">
        <v>82</v>
      </c>
      <c r="G179" s="187"/>
      <c r="H179" s="187"/>
      <c r="I179" s="188" t="s">
        <v>5108</v>
      </c>
      <c r="J179" s="189">
        <v>0</v>
      </c>
      <c r="K179" s="189">
        <v>255</v>
      </c>
      <c r="L179" s="189" t="s">
        <v>424</v>
      </c>
      <c r="M179" s="189" t="s">
        <v>1003</v>
      </c>
      <c r="N179" s="247" t="str">
        <f>IF(A179="k_CalRelNum_Cnt_u8[12]","CalRelNum",IF(F179="Y","TunSetCalSeg",IF(F179="N", "FlashCalSeg", "")))</f>
        <v>CalRelNum</v>
      </c>
    </row>
    <row r="180" spans="1:14" ht="20.399999999999999" x14ac:dyDescent="0.25">
      <c r="A180" s="190" t="s">
        <v>3426</v>
      </c>
      <c r="B180" s="184"/>
      <c r="C180" s="185" t="s">
        <v>3411</v>
      </c>
      <c r="D180" s="185" t="s">
        <v>1002</v>
      </c>
      <c r="E180" s="185" t="s">
        <v>3427</v>
      </c>
      <c r="F180" s="186" t="s">
        <v>82</v>
      </c>
      <c r="G180" s="187"/>
      <c r="H180" s="187"/>
      <c r="I180" s="188">
        <v>1</v>
      </c>
      <c r="J180" s="189">
        <v>0</v>
      </c>
      <c r="K180" s="189">
        <v>8.8000000000000007</v>
      </c>
      <c r="L180" s="189" t="s">
        <v>265</v>
      </c>
      <c r="M180" s="189" t="s">
        <v>261</v>
      </c>
      <c r="N180" s="247" t="str">
        <f>IF(A180="k_CalRelNum_Cnt_u8[12]","CalRelNum",IF(F180="Y","TunSetCalSeg",IF(F180="N", "FlashCalSeg", "")))</f>
        <v>FlashCalSeg</v>
      </c>
    </row>
    <row r="181" spans="1:14" x14ac:dyDescent="0.25">
      <c r="A181" s="190" t="s">
        <v>3428</v>
      </c>
      <c r="B181" s="184"/>
      <c r="C181" s="185" t="s">
        <v>3411</v>
      </c>
      <c r="D181" s="185" t="s">
        <v>1002</v>
      </c>
      <c r="E181" s="185" t="s">
        <v>3429</v>
      </c>
      <c r="F181" s="186" t="s">
        <v>82</v>
      </c>
      <c r="G181" s="187"/>
      <c r="H181" s="187"/>
      <c r="I181" s="188">
        <v>10</v>
      </c>
      <c r="J181" s="189">
        <v>0</v>
      </c>
      <c r="K181" s="189">
        <v>255</v>
      </c>
      <c r="L181" s="189" t="s">
        <v>311</v>
      </c>
      <c r="M181" s="189" t="s">
        <v>261</v>
      </c>
      <c r="N181" s="247" t="str">
        <f>IF(A181="k_CalRelNum_Cnt_u8[12]","CalRelNum",IF(F181="Y","TunSetCalSeg",IF(F181="N", "FlashCalSeg", "")))</f>
        <v>FlashCalSeg</v>
      </c>
    </row>
    <row r="182" spans="1:14" ht="20.399999999999999" x14ac:dyDescent="0.25">
      <c r="A182" s="190" t="s">
        <v>4002</v>
      </c>
      <c r="B182" s="184" t="s">
        <v>3997</v>
      </c>
      <c r="C182" s="185" t="s">
        <v>3999</v>
      </c>
      <c r="D182" s="185" t="s">
        <v>4006</v>
      </c>
      <c r="E182" s="185"/>
      <c r="F182" s="186" t="s">
        <v>82</v>
      </c>
      <c r="G182" s="187" t="s">
        <v>82</v>
      </c>
      <c r="H182" s="187"/>
      <c r="I182" s="188" t="s">
        <v>2186</v>
      </c>
      <c r="J182" s="189">
        <v>0</v>
      </c>
      <c r="K182" s="189">
        <v>128</v>
      </c>
      <c r="L182" s="189" t="s">
        <v>4000</v>
      </c>
      <c r="M182" s="189" t="s">
        <v>257</v>
      </c>
      <c r="N182" s="247" t="str">
        <f>IF(A182="k_CalRelNum_Cnt_u8[12]","CalRelNum",IF(F182="Y","TunSetCalSeg",IF(F182="N", "FlashCalSeg", "")))</f>
        <v>FlashCalSeg</v>
      </c>
    </row>
    <row r="183" spans="1:14" ht="20.399999999999999" x14ac:dyDescent="0.25">
      <c r="A183" s="190" t="s">
        <v>4003</v>
      </c>
      <c r="B183" s="184" t="s">
        <v>3998</v>
      </c>
      <c r="C183" s="185" t="s">
        <v>3999</v>
      </c>
      <c r="D183" s="185" t="s">
        <v>4006</v>
      </c>
      <c r="E183" s="185"/>
      <c r="F183" s="186" t="s">
        <v>82</v>
      </c>
      <c r="G183" s="187" t="s">
        <v>82</v>
      </c>
      <c r="H183" s="187"/>
      <c r="I183" s="188" t="s">
        <v>4001</v>
      </c>
      <c r="J183" s="189">
        <v>0</v>
      </c>
      <c r="K183" s="189">
        <v>8.8000000000000007</v>
      </c>
      <c r="L183" s="189" t="s">
        <v>256</v>
      </c>
      <c r="M183" s="189" t="s">
        <v>414</v>
      </c>
      <c r="N183" s="247" t="str">
        <f>IF(A183="k_CalRelNum_Cnt_u8[12]","CalRelNum",IF(F183="Y","TunSetCalSeg",IF(F183="N", "FlashCalSeg", "")))</f>
        <v>FlashCalSeg</v>
      </c>
    </row>
    <row r="184" spans="1:14" ht="30.6" x14ac:dyDescent="0.25">
      <c r="A184" s="190" t="s">
        <v>681</v>
      </c>
      <c r="B184" s="184" t="s">
        <v>682</v>
      </c>
      <c r="C184" s="185" t="s">
        <v>676</v>
      </c>
      <c r="D184" s="185" t="s">
        <v>215</v>
      </c>
      <c r="E184" s="185" t="s">
        <v>683</v>
      </c>
      <c r="F184" s="186" t="s">
        <v>82</v>
      </c>
      <c r="G184" s="187"/>
      <c r="H184" s="187"/>
      <c r="I184" s="188">
        <v>0</v>
      </c>
      <c r="J184" s="189">
        <v>0</v>
      </c>
      <c r="K184" s="189">
        <v>1</v>
      </c>
      <c r="L184" s="189" t="s">
        <v>260</v>
      </c>
      <c r="M184" s="189" t="s">
        <v>257</v>
      </c>
      <c r="N184" s="247" t="str">
        <f>IF(A184="k_CalRelNum_Cnt_u8[12]","CalRelNum",IF(F184="Y","TunSetCalSeg",IF(F184="N", "FlashCalSeg", "")))</f>
        <v>FlashCalSeg</v>
      </c>
    </row>
    <row r="185" spans="1:14" ht="30.6" x14ac:dyDescent="0.25">
      <c r="A185" s="190" t="s">
        <v>687</v>
      </c>
      <c r="B185" s="184" t="s">
        <v>688</v>
      </c>
      <c r="C185" s="185" t="s">
        <v>676</v>
      </c>
      <c r="D185" s="185" t="s">
        <v>215</v>
      </c>
      <c r="E185" s="185" t="s">
        <v>689</v>
      </c>
      <c r="F185" s="186" t="s">
        <v>82</v>
      </c>
      <c r="G185" s="187"/>
      <c r="H185" s="187"/>
      <c r="I185" s="188">
        <v>100</v>
      </c>
      <c r="J185" s="189">
        <v>0</v>
      </c>
      <c r="K185" s="189">
        <v>1000</v>
      </c>
      <c r="L185" s="189" t="s">
        <v>273</v>
      </c>
      <c r="M185" s="189" t="s">
        <v>267</v>
      </c>
      <c r="N185" s="247" t="str">
        <f>IF(A185="k_CalRelNum_Cnt_u8[12]","CalRelNum",IF(F185="Y","TunSetCalSeg",IF(F185="N", "FlashCalSeg", "")))</f>
        <v>FlashCalSeg</v>
      </c>
    </row>
    <row r="186" spans="1:14" ht="30.6" x14ac:dyDescent="0.25">
      <c r="A186" s="190" t="s">
        <v>690</v>
      </c>
      <c r="B186" s="184" t="s">
        <v>691</v>
      </c>
      <c r="C186" s="185" t="s">
        <v>676</v>
      </c>
      <c r="D186" s="185" t="s">
        <v>215</v>
      </c>
      <c r="E186" s="185" t="s">
        <v>692</v>
      </c>
      <c r="F186" s="186" t="s">
        <v>82</v>
      </c>
      <c r="G186" s="187"/>
      <c r="H186" s="187"/>
      <c r="I186" s="188">
        <v>1000</v>
      </c>
      <c r="J186" s="189">
        <v>0</v>
      </c>
      <c r="K186" s="189">
        <v>1000</v>
      </c>
      <c r="L186" s="189" t="s">
        <v>273</v>
      </c>
      <c r="M186" s="189" t="s">
        <v>267</v>
      </c>
      <c r="N186" s="247" t="str">
        <f>IF(A186="k_CalRelNum_Cnt_u8[12]","CalRelNum",IF(F186="Y","TunSetCalSeg",IF(F186="N", "FlashCalSeg", "")))</f>
        <v>FlashCalSeg</v>
      </c>
    </row>
    <row r="187" spans="1:14" ht="30.6" x14ac:dyDescent="0.25">
      <c r="A187" s="190" t="s">
        <v>678</v>
      </c>
      <c r="B187" s="184" t="s">
        <v>679</v>
      </c>
      <c r="C187" s="185" t="s">
        <v>676</v>
      </c>
      <c r="D187" s="185" t="s">
        <v>215</v>
      </c>
      <c r="E187" s="185" t="s">
        <v>680</v>
      </c>
      <c r="F187" s="186" t="s">
        <v>82</v>
      </c>
      <c r="G187" s="187"/>
      <c r="H187" s="187"/>
      <c r="I187" s="188">
        <v>2.2999999999999998</v>
      </c>
      <c r="J187" s="189">
        <v>0</v>
      </c>
      <c r="K187" s="189">
        <v>700</v>
      </c>
      <c r="L187" s="189" t="s">
        <v>263</v>
      </c>
      <c r="M187" s="189" t="s">
        <v>261</v>
      </c>
      <c r="N187" s="247" t="str">
        <f>IF(A187="k_CalRelNum_Cnt_u8[12]","CalRelNum",IF(F187="Y","TunSetCalSeg",IF(F187="N", "FlashCalSeg", "")))</f>
        <v>FlashCalSeg</v>
      </c>
    </row>
    <row r="188" spans="1:14" ht="30.6" x14ac:dyDescent="0.25">
      <c r="A188" s="190" t="s">
        <v>673</v>
      </c>
      <c r="B188" s="184" t="s">
        <v>674</v>
      </c>
      <c r="C188" s="185" t="s">
        <v>676</v>
      </c>
      <c r="D188" s="185" t="s">
        <v>215</v>
      </c>
      <c r="E188" s="185" t="s">
        <v>675</v>
      </c>
      <c r="F188" s="186" t="s">
        <v>82</v>
      </c>
      <c r="G188" s="187"/>
      <c r="H188" s="187"/>
      <c r="I188" s="188">
        <v>3.5999999999999997E-2</v>
      </c>
      <c r="J188" s="189">
        <v>0</v>
      </c>
      <c r="K188" s="189">
        <v>2</v>
      </c>
      <c r="L188" s="189" t="s">
        <v>677</v>
      </c>
      <c r="M188" s="189" t="s">
        <v>261</v>
      </c>
      <c r="N188" s="247" t="str">
        <f>IF(A188="k_CalRelNum_Cnt_u8[12]","CalRelNum",IF(F188="Y","TunSetCalSeg",IF(F188="N", "FlashCalSeg", "")))</f>
        <v>FlashCalSeg</v>
      </c>
    </row>
    <row r="189" spans="1:14" ht="30.6" x14ac:dyDescent="0.25">
      <c r="A189" s="190" t="s">
        <v>684</v>
      </c>
      <c r="B189" s="184" t="s">
        <v>685</v>
      </c>
      <c r="C189" s="185" t="s">
        <v>676</v>
      </c>
      <c r="D189" s="185" t="s">
        <v>215</v>
      </c>
      <c r="E189" s="185" t="s">
        <v>686</v>
      </c>
      <c r="F189" s="186" t="s">
        <v>82</v>
      </c>
      <c r="G189" s="187"/>
      <c r="H189" s="187"/>
      <c r="I189" s="188">
        <v>3</v>
      </c>
      <c r="J189" s="189">
        <v>0</v>
      </c>
      <c r="K189" s="189">
        <v>5.75</v>
      </c>
      <c r="L189" s="189" t="s">
        <v>256</v>
      </c>
      <c r="M189" s="189" t="s">
        <v>261</v>
      </c>
      <c r="N189" s="247" t="str">
        <f>IF(A189="k_CalRelNum_Cnt_u8[12]","CalRelNum",IF(F189="Y","TunSetCalSeg",IF(F189="N", "FlashCalSeg", "")))</f>
        <v>FlashCalSeg</v>
      </c>
    </row>
    <row r="190" spans="1:14" ht="40.799999999999997" x14ac:dyDescent="0.25">
      <c r="A190" s="190" t="s">
        <v>4209</v>
      </c>
      <c r="B190" s="184" t="s">
        <v>4210</v>
      </c>
      <c r="C190" s="185" t="s">
        <v>694</v>
      </c>
      <c r="D190" s="185" t="s">
        <v>198</v>
      </c>
      <c r="E190" s="185" t="s">
        <v>4211</v>
      </c>
      <c r="F190" s="186" t="s">
        <v>82</v>
      </c>
      <c r="G190" s="187" t="s">
        <v>82</v>
      </c>
      <c r="H190" s="187"/>
      <c r="I190" s="188" t="b">
        <v>0</v>
      </c>
      <c r="J190" s="189" t="b">
        <v>0</v>
      </c>
      <c r="K190" s="189" t="b">
        <v>1</v>
      </c>
      <c r="L190" s="189" t="s">
        <v>271</v>
      </c>
      <c r="M190" s="189" t="s">
        <v>501</v>
      </c>
      <c r="N190" s="247" t="str">
        <f>IF(A190="k_CalRelNum_Cnt_u8[12]","CalRelNum",IF(F190="Y","TunSetCalSeg",IF(F190="N", "FlashCalSeg", "")))</f>
        <v>FlashCalSeg</v>
      </c>
    </row>
    <row r="191" spans="1:14" ht="30.6" x14ac:dyDescent="0.25">
      <c r="A191" s="190" t="s">
        <v>4206</v>
      </c>
      <c r="B191" s="184" t="s">
        <v>4207</v>
      </c>
      <c r="C191" s="185" t="s">
        <v>694</v>
      </c>
      <c r="D191" s="185" t="s">
        <v>198</v>
      </c>
      <c r="E191" s="185" t="s">
        <v>4208</v>
      </c>
      <c r="F191" s="186" t="s">
        <v>82</v>
      </c>
      <c r="G191" s="187" t="s">
        <v>82</v>
      </c>
      <c r="H191" s="187"/>
      <c r="I191" s="188">
        <v>-30</v>
      </c>
      <c r="J191" s="189">
        <v>-150</v>
      </c>
      <c r="K191" s="189">
        <v>150</v>
      </c>
      <c r="L191" s="189" t="s">
        <v>558</v>
      </c>
      <c r="M191" s="189" t="s">
        <v>261</v>
      </c>
      <c r="N191" s="247" t="str">
        <f>IF(A191="k_CalRelNum_Cnt_u8[12]","CalRelNum",IF(F191="Y","TunSetCalSeg",IF(F191="N", "FlashCalSeg", "")))</f>
        <v>FlashCalSeg</v>
      </c>
    </row>
    <row r="192" spans="1:14" ht="30.6" x14ac:dyDescent="0.25">
      <c r="A192" s="190" t="s">
        <v>699</v>
      </c>
      <c r="B192" s="184"/>
      <c r="C192" s="185" t="s">
        <v>694</v>
      </c>
      <c r="D192" s="185" t="s">
        <v>198</v>
      </c>
      <c r="E192" s="185"/>
      <c r="F192" s="186" t="s">
        <v>82</v>
      </c>
      <c r="G192" s="187" t="s">
        <v>82</v>
      </c>
      <c r="H192" s="187"/>
      <c r="I192" s="188" t="s">
        <v>700</v>
      </c>
      <c r="J192" s="189"/>
      <c r="K192" s="189"/>
      <c r="L192" s="189"/>
      <c r="M192" s="189" t="s">
        <v>604</v>
      </c>
      <c r="N192" s="247" t="str">
        <f>IF(A192="k_CalRelNum_Cnt_u8[12]","CalRelNum",IF(F192="Y","TunSetCalSeg",IF(F192="N", "FlashCalSeg", "")))</f>
        <v>FlashCalSeg</v>
      </c>
    </row>
    <row r="193" spans="1:14" ht="30.6" x14ac:dyDescent="0.25">
      <c r="A193" s="190" t="s">
        <v>4203</v>
      </c>
      <c r="B193" s="184" t="s">
        <v>4204</v>
      </c>
      <c r="C193" s="185" t="s">
        <v>694</v>
      </c>
      <c r="D193" s="185" t="s">
        <v>198</v>
      </c>
      <c r="E193" s="185" t="s">
        <v>4205</v>
      </c>
      <c r="F193" s="186" t="s">
        <v>82</v>
      </c>
      <c r="G193" s="187"/>
      <c r="H193" s="187"/>
      <c r="I193" s="188">
        <v>1</v>
      </c>
      <c r="J193" s="189">
        <v>0</v>
      </c>
      <c r="K193" s="189">
        <v>255</v>
      </c>
      <c r="L193" s="189" t="s">
        <v>271</v>
      </c>
      <c r="M193" s="189" t="s">
        <v>267</v>
      </c>
      <c r="N193" s="247" t="str">
        <f>IF(A193="k_CalRelNum_Cnt_u8[12]","CalRelNum",IF(F193="Y","TunSetCalSeg",IF(F193="N", "FlashCalSeg", "")))</f>
        <v>FlashCalSeg</v>
      </c>
    </row>
    <row r="194" spans="1:14" ht="30.6" x14ac:dyDescent="0.25">
      <c r="A194" s="190" t="s">
        <v>4200</v>
      </c>
      <c r="B194" s="184" t="s">
        <v>4201</v>
      </c>
      <c r="C194" s="185" t="s">
        <v>694</v>
      </c>
      <c r="D194" s="185" t="s">
        <v>198</v>
      </c>
      <c r="E194" s="185" t="s">
        <v>4202</v>
      </c>
      <c r="F194" s="186" t="s">
        <v>82</v>
      </c>
      <c r="G194" s="187"/>
      <c r="H194" s="187"/>
      <c r="I194" s="188">
        <v>2</v>
      </c>
      <c r="J194" s="189">
        <v>0</v>
      </c>
      <c r="K194" s="189">
        <v>255</v>
      </c>
      <c r="L194" s="189" t="s">
        <v>271</v>
      </c>
      <c r="M194" s="189" t="s">
        <v>267</v>
      </c>
      <c r="N194" s="247" t="str">
        <f>IF(A194="k_CalRelNum_Cnt_u8[12]","CalRelNum",IF(F194="Y","TunSetCalSeg",IF(F194="N", "FlashCalSeg", "")))</f>
        <v>FlashCalSeg</v>
      </c>
    </row>
    <row r="195" spans="1:14" ht="40.799999999999997" x14ac:dyDescent="0.25">
      <c r="A195" s="190" t="s">
        <v>701</v>
      </c>
      <c r="B195" s="184" t="s">
        <v>4161</v>
      </c>
      <c r="C195" s="185" t="s">
        <v>694</v>
      </c>
      <c r="D195" s="185" t="s">
        <v>198</v>
      </c>
      <c r="E195" s="185" t="s">
        <v>4162</v>
      </c>
      <c r="F195" s="186" t="s">
        <v>82</v>
      </c>
      <c r="G195" s="187"/>
      <c r="H195" s="187"/>
      <c r="I195" s="188">
        <v>40</v>
      </c>
      <c r="J195" s="189">
        <v>0</v>
      </c>
      <c r="K195" s="189">
        <v>255</v>
      </c>
      <c r="L195" s="189" t="s">
        <v>271</v>
      </c>
      <c r="M195" s="189" t="s">
        <v>267</v>
      </c>
      <c r="N195" s="247" t="str">
        <f>IF(A195="k_CalRelNum_Cnt_u8[12]","CalRelNum",IF(F195="Y","TunSetCalSeg",IF(F195="N", "FlashCalSeg", "")))</f>
        <v>FlashCalSeg</v>
      </c>
    </row>
    <row r="196" spans="1:14" ht="40.799999999999997" x14ac:dyDescent="0.25">
      <c r="A196" s="190" t="s">
        <v>703</v>
      </c>
      <c r="B196" s="184" t="s">
        <v>4165</v>
      </c>
      <c r="C196" s="185" t="s">
        <v>694</v>
      </c>
      <c r="D196" s="185" t="s">
        <v>198</v>
      </c>
      <c r="E196" s="185" t="s">
        <v>4166</v>
      </c>
      <c r="F196" s="186" t="s">
        <v>82</v>
      </c>
      <c r="G196" s="187" t="s">
        <v>82</v>
      </c>
      <c r="H196" s="187"/>
      <c r="I196" s="188">
        <v>150</v>
      </c>
      <c r="J196" s="189">
        <v>-40</v>
      </c>
      <c r="K196" s="189">
        <v>150</v>
      </c>
      <c r="L196" s="189" t="s">
        <v>271</v>
      </c>
      <c r="M196" s="189" t="s">
        <v>261</v>
      </c>
      <c r="N196" s="247" t="str">
        <f>IF(A196="k_CalRelNum_Cnt_u8[12]","CalRelNum",IF(F196="Y","TunSetCalSeg",IF(F196="N", "FlashCalSeg", "")))</f>
        <v>FlashCalSeg</v>
      </c>
    </row>
    <row r="197" spans="1:14" ht="40.799999999999997" x14ac:dyDescent="0.25">
      <c r="A197" s="190" t="s">
        <v>702</v>
      </c>
      <c r="B197" s="184" t="s">
        <v>4163</v>
      </c>
      <c r="C197" s="185" t="s">
        <v>694</v>
      </c>
      <c r="D197" s="185" t="s">
        <v>198</v>
      </c>
      <c r="E197" s="185" t="s">
        <v>4164</v>
      </c>
      <c r="F197" s="186" t="s">
        <v>82</v>
      </c>
      <c r="G197" s="187" t="s">
        <v>82</v>
      </c>
      <c r="H197" s="187"/>
      <c r="I197" s="188">
        <v>-40</v>
      </c>
      <c r="J197" s="189">
        <v>-40</v>
      </c>
      <c r="K197" s="189">
        <v>150</v>
      </c>
      <c r="L197" s="189" t="s">
        <v>271</v>
      </c>
      <c r="M197" s="189" t="s">
        <v>261</v>
      </c>
      <c r="N197" s="247" t="str">
        <f>IF(A197="k_CalRelNum_Cnt_u8[12]","CalRelNum",IF(F197="Y","TunSetCalSeg",IF(F197="N", "FlashCalSeg", "")))</f>
        <v>FlashCalSeg</v>
      </c>
    </row>
    <row r="198" spans="1:14" ht="30.6" x14ac:dyDescent="0.25">
      <c r="A198" s="190" t="s">
        <v>698</v>
      </c>
      <c r="B198" s="184" t="s">
        <v>4159</v>
      </c>
      <c r="C198" s="185" t="s">
        <v>694</v>
      </c>
      <c r="D198" s="185" t="s">
        <v>198</v>
      </c>
      <c r="E198" s="185" t="s">
        <v>4160</v>
      </c>
      <c r="F198" s="186" t="s">
        <v>82</v>
      </c>
      <c r="G198" s="187" t="s">
        <v>82</v>
      </c>
      <c r="H198" s="187"/>
      <c r="I198" s="188">
        <v>60</v>
      </c>
      <c r="J198" s="189">
        <v>-40</v>
      </c>
      <c r="K198" s="189">
        <v>150</v>
      </c>
      <c r="L198" s="189" t="s">
        <v>558</v>
      </c>
      <c r="M198" s="189" t="s">
        <v>261</v>
      </c>
      <c r="N198" s="247" t="str">
        <f>IF(A198="k_CalRelNum_Cnt_u8[12]","CalRelNum",IF(F198="Y","TunSetCalSeg",IF(F198="N", "FlashCalSeg", "")))</f>
        <v>FlashCalSeg</v>
      </c>
    </row>
    <row r="199" spans="1:14" ht="30.6" x14ac:dyDescent="0.25">
      <c r="A199" s="190" t="s">
        <v>693</v>
      </c>
      <c r="B199" s="184" t="s">
        <v>4155</v>
      </c>
      <c r="C199" s="185" t="s">
        <v>694</v>
      </c>
      <c r="D199" s="185" t="s">
        <v>198</v>
      </c>
      <c r="E199" s="185" t="s">
        <v>4156</v>
      </c>
      <c r="F199" s="186" t="s">
        <v>82</v>
      </c>
      <c r="G199" s="187" t="s">
        <v>82</v>
      </c>
      <c r="H199" s="187"/>
      <c r="I199" s="188" t="b">
        <v>0</v>
      </c>
      <c r="J199" s="189" t="b">
        <v>0</v>
      </c>
      <c r="K199" s="189" t="b">
        <v>1</v>
      </c>
      <c r="L199" s="189" t="s">
        <v>695</v>
      </c>
      <c r="M199" s="189" t="s">
        <v>501</v>
      </c>
      <c r="N199" s="247" t="str">
        <f>IF(A199="k_CalRelNum_Cnt_u8[12]","CalRelNum",IF(F199="Y","TunSetCalSeg",IF(F199="N", "FlashCalSeg", "")))</f>
        <v>FlashCalSeg</v>
      </c>
    </row>
    <row r="200" spans="1:14" ht="30.6" x14ac:dyDescent="0.25">
      <c r="A200" s="190" t="s">
        <v>697</v>
      </c>
      <c r="B200" s="184" t="s">
        <v>4157</v>
      </c>
      <c r="C200" s="185" t="s">
        <v>694</v>
      </c>
      <c r="D200" s="185" t="s">
        <v>198</v>
      </c>
      <c r="E200" s="185" t="s">
        <v>4158</v>
      </c>
      <c r="F200" s="186" t="s">
        <v>82</v>
      </c>
      <c r="G200" s="187" t="s">
        <v>82</v>
      </c>
      <c r="H200" s="187"/>
      <c r="I200" s="188">
        <v>8</v>
      </c>
      <c r="J200" s="189">
        <v>0.01</v>
      </c>
      <c r="K200" s="189">
        <v>20</v>
      </c>
      <c r="L200" s="189" t="s">
        <v>262</v>
      </c>
      <c r="M200" s="189" t="s">
        <v>261</v>
      </c>
      <c r="N200" s="247" t="str">
        <f>IF(A200="k_CalRelNum_Cnt_u8[12]","CalRelNum",IF(F200="Y","TunSetCalSeg",IF(F200="N", "FlashCalSeg", "")))</f>
        <v>FlashCalSeg</v>
      </c>
    </row>
    <row r="201" spans="1:14" ht="30.6" x14ac:dyDescent="0.25">
      <c r="A201" s="190" t="s">
        <v>704</v>
      </c>
      <c r="B201" s="184"/>
      <c r="C201" s="185" t="s">
        <v>694</v>
      </c>
      <c r="D201" s="185" t="s">
        <v>185</v>
      </c>
      <c r="E201" s="185"/>
      <c r="F201" s="186" t="s">
        <v>82</v>
      </c>
      <c r="G201" s="187" t="s">
        <v>82</v>
      </c>
      <c r="H201" s="187"/>
      <c r="I201" s="188">
        <v>0.5</v>
      </c>
      <c r="J201" s="189">
        <v>0</v>
      </c>
      <c r="K201" s="189">
        <v>1</v>
      </c>
      <c r="L201" s="189" t="s">
        <v>599</v>
      </c>
      <c r="M201" s="189" t="s">
        <v>261</v>
      </c>
      <c r="N201" s="247" t="str">
        <f>IF(A201="k_CalRelNum_Cnt_u8[12]","CalRelNum",IF(F201="Y","TunSetCalSeg",IF(F201="N", "FlashCalSeg", "")))</f>
        <v>FlashCalSeg</v>
      </c>
    </row>
    <row r="202" spans="1:14" ht="30.6" x14ac:dyDescent="0.25">
      <c r="A202" s="190" t="s">
        <v>705</v>
      </c>
      <c r="B202" s="184"/>
      <c r="C202" s="185" t="s">
        <v>694</v>
      </c>
      <c r="D202" s="185" t="s">
        <v>185</v>
      </c>
      <c r="E202" s="185"/>
      <c r="F202" s="186" t="s">
        <v>82</v>
      </c>
      <c r="G202" s="187" t="s">
        <v>82</v>
      </c>
      <c r="H202" s="187"/>
      <c r="I202" s="188">
        <v>100</v>
      </c>
      <c r="J202" s="189">
        <v>0</v>
      </c>
      <c r="K202" s="189">
        <v>200</v>
      </c>
      <c r="L202" s="189" t="s">
        <v>706</v>
      </c>
      <c r="M202" s="189" t="s">
        <v>261</v>
      </c>
      <c r="N202" s="247" t="str">
        <f>IF(A202="k_CalRelNum_Cnt_u8[12]","CalRelNum",IF(F202="Y","TunSetCalSeg",IF(F202="N", "FlashCalSeg", "")))</f>
        <v>FlashCalSeg</v>
      </c>
    </row>
    <row r="203" spans="1:14" ht="20.399999999999999" x14ac:dyDescent="0.25">
      <c r="A203" s="190" t="s">
        <v>773</v>
      </c>
      <c r="B203" s="184" t="s">
        <v>774</v>
      </c>
      <c r="C203" s="185" t="s">
        <v>709</v>
      </c>
      <c r="D203" s="185" t="s">
        <v>193</v>
      </c>
      <c r="E203" s="185" t="s">
        <v>775</v>
      </c>
      <c r="F203" s="186" t="s">
        <v>82</v>
      </c>
      <c r="G203" s="187" t="s">
        <v>82</v>
      </c>
      <c r="H203" s="187"/>
      <c r="I203" s="188">
        <v>5.2108299999999998E-4</v>
      </c>
      <c r="J203" s="189">
        <v>0</v>
      </c>
      <c r="K203" s="189">
        <v>0.1</v>
      </c>
      <c r="L203" s="189" t="s">
        <v>776</v>
      </c>
      <c r="M203" s="189" t="s">
        <v>261</v>
      </c>
      <c r="N203" s="247" t="str">
        <f>IF(A203="k_CalRelNum_Cnt_u8[12]","CalRelNum",IF(F203="Y","TunSetCalSeg",IF(F203="N", "FlashCalSeg", "")))</f>
        <v>FlashCalSeg</v>
      </c>
    </row>
    <row r="204" spans="1:14" ht="20.399999999999999" x14ac:dyDescent="0.25">
      <c r="A204" s="190" t="s">
        <v>777</v>
      </c>
      <c r="B204" s="184" t="s">
        <v>778</v>
      </c>
      <c r="C204" s="185" t="s">
        <v>709</v>
      </c>
      <c r="D204" s="185" t="s">
        <v>193</v>
      </c>
      <c r="E204" s="185" t="s">
        <v>779</v>
      </c>
      <c r="F204" s="186" t="s">
        <v>82</v>
      </c>
      <c r="G204" s="187" t="s">
        <v>82</v>
      </c>
      <c r="H204" s="187"/>
      <c r="I204" s="188">
        <v>2.8889300000000001E-5</v>
      </c>
      <c r="J204" s="189">
        <v>0</v>
      </c>
      <c r="K204" s="189">
        <v>0.1</v>
      </c>
      <c r="L204" s="189" t="s">
        <v>776</v>
      </c>
      <c r="M204" s="189" t="s">
        <v>261</v>
      </c>
      <c r="N204" s="247" t="str">
        <f>IF(A204="k_CalRelNum_Cnt_u8[12]","CalRelNum",IF(F204="Y","TunSetCalSeg",IF(F204="N", "FlashCalSeg", "")))</f>
        <v>FlashCalSeg</v>
      </c>
    </row>
    <row r="205" spans="1:14" ht="20.399999999999999" x14ac:dyDescent="0.25">
      <c r="A205" s="190" t="s">
        <v>780</v>
      </c>
      <c r="B205" s="184" t="s">
        <v>781</v>
      </c>
      <c r="C205" s="185" t="s">
        <v>709</v>
      </c>
      <c r="D205" s="185" t="s">
        <v>193</v>
      </c>
      <c r="E205" s="185" t="s">
        <v>782</v>
      </c>
      <c r="F205" s="186" t="s">
        <v>82</v>
      </c>
      <c r="G205" s="187" t="s">
        <v>82</v>
      </c>
      <c r="H205" s="187"/>
      <c r="I205" s="188">
        <v>6.1865399999999999E-3</v>
      </c>
      <c r="J205" s="189">
        <v>0</v>
      </c>
      <c r="K205" s="189">
        <v>0.1</v>
      </c>
      <c r="L205" s="189" t="s">
        <v>776</v>
      </c>
      <c r="M205" s="189" t="s">
        <v>261</v>
      </c>
      <c r="N205" s="247" t="str">
        <f>IF(A205="k_CalRelNum_Cnt_u8[12]","CalRelNum",IF(F205="Y","TunSetCalSeg",IF(F205="N", "FlashCalSeg", "")))</f>
        <v>FlashCalSeg</v>
      </c>
    </row>
    <row r="206" spans="1:14" ht="20.399999999999999" x14ac:dyDescent="0.25">
      <c r="A206" s="190" t="s">
        <v>783</v>
      </c>
      <c r="B206" s="184" t="s">
        <v>784</v>
      </c>
      <c r="C206" s="185" t="s">
        <v>709</v>
      </c>
      <c r="D206" s="185" t="s">
        <v>193</v>
      </c>
      <c r="E206" s="185" t="s">
        <v>785</v>
      </c>
      <c r="F206" s="186" t="s">
        <v>82</v>
      </c>
      <c r="G206" s="187" t="s">
        <v>82</v>
      </c>
      <c r="H206" s="187"/>
      <c r="I206" s="188">
        <v>9.5683199999999992E-6</v>
      </c>
      <c r="J206" s="189">
        <v>0</v>
      </c>
      <c r="K206" s="189">
        <v>0.1</v>
      </c>
      <c r="L206" s="189" t="s">
        <v>776</v>
      </c>
      <c r="M206" s="189" t="s">
        <v>261</v>
      </c>
      <c r="N206" s="247" t="str">
        <f>IF(A206="k_CalRelNum_Cnt_u8[12]","CalRelNum",IF(F206="Y","TunSetCalSeg",IF(F206="N", "FlashCalSeg", "")))</f>
        <v>FlashCalSeg</v>
      </c>
    </row>
    <row r="207" spans="1:14" ht="20.399999999999999" x14ac:dyDescent="0.25">
      <c r="A207" s="190" t="s">
        <v>749</v>
      </c>
      <c r="B207" s="184" t="s">
        <v>750</v>
      </c>
      <c r="C207" s="185" t="s">
        <v>709</v>
      </c>
      <c r="D207" s="185" t="s">
        <v>193</v>
      </c>
      <c r="E207" s="185" t="s">
        <v>751</v>
      </c>
      <c r="F207" s="186" t="s">
        <v>81</v>
      </c>
      <c r="G207" s="187" t="s">
        <v>82</v>
      </c>
      <c r="H207" s="187"/>
      <c r="I207" s="188">
        <v>0</v>
      </c>
      <c r="J207" s="189">
        <v>-8.8000000000000007</v>
      </c>
      <c r="K207" s="189">
        <v>8.8000000000000007</v>
      </c>
      <c r="L207" s="189" t="s">
        <v>748</v>
      </c>
      <c r="M207" s="189" t="s">
        <v>261</v>
      </c>
      <c r="N207" s="247" t="str">
        <f>IF(A207="k_CalRelNum_Cnt_u8[12]","CalRelNum",IF(F207="Y","TunSetCalSeg",IF(F207="N", "FlashCalSeg", "")))</f>
        <v>TunSetCalSeg</v>
      </c>
    </row>
    <row r="208" spans="1:14" x14ac:dyDescent="0.25">
      <c r="A208" s="190" t="s">
        <v>714</v>
      </c>
      <c r="B208" s="184" t="s">
        <v>715</v>
      </c>
      <c r="C208" s="185" t="s">
        <v>709</v>
      </c>
      <c r="D208" s="185" t="s">
        <v>193</v>
      </c>
      <c r="E208" s="185" t="s">
        <v>716</v>
      </c>
      <c r="F208" s="186" t="s">
        <v>82</v>
      </c>
      <c r="G208" s="187" t="s">
        <v>82</v>
      </c>
      <c r="H208" s="187"/>
      <c r="I208" s="188">
        <v>15</v>
      </c>
      <c r="J208" s="189">
        <v>5</v>
      </c>
      <c r="K208" s="189">
        <v>100</v>
      </c>
      <c r="L208" s="189" t="s">
        <v>262</v>
      </c>
      <c r="M208" s="189" t="s">
        <v>261</v>
      </c>
      <c r="N208" s="247" t="str">
        <f>IF(A208="k_CalRelNum_Cnt_u8[12]","CalRelNum",IF(F208="Y","TunSetCalSeg",IF(F208="N", "FlashCalSeg", "")))</f>
        <v>FlashCalSeg</v>
      </c>
    </row>
    <row r="209" spans="1:14" x14ac:dyDescent="0.25">
      <c r="A209" s="190" t="s">
        <v>764</v>
      </c>
      <c r="B209" s="184" t="s">
        <v>765</v>
      </c>
      <c r="C209" s="185" t="s">
        <v>709</v>
      </c>
      <c r="D209" s="185" t="s">
        <v>193</v>
      </c>
      <c r="E209" s="185" t="s">
        <v>766</v>
      </c>
      <c r="F209" s="186" t="s">
        <v>82</v>
      </c>
      <c r="G209" s="187" t="s">
        <v>82</v>
      </c>
      <c r="H209" s="187"/>
      <c r="I209" s="188">
        <v>0</v>
      </c>
      <c r="J209" s="189">
        <v>0</v>
      </c>
      <c r="K209" s="189">
        <v>64</v>
      </c>
      <c r="L209" s="189" t="s">
        <v>265</v>
      </c>
      <c r="M209" s="189" t="s">
        <v>261</v>
      </c>
      <c r="N209" s="247" t="str">
        <f>IF(A209="k_CalRelNum_Cnt_u8[12]","CalRelNum",IF(F209="Y","TunSetCalSeg",IF(F209="N", "FlashCalSeg", "")))</f>
        <v>FlashCalSeg</v>
      </c>
    </row>
    <row r="210" spans="1:14" x14ac:dyDescent="0.25">
      <c r="A210" s="190" t="s">
        <v>758</v>
      </c>
      <c r="B210" s="184" t="s">
        <v>759</v>
      </c>
      <c r="C210" s="185" t="s">
        <v>709</v>
      </c>
      <c r="D210" s="185" t="s">
        <v>193</v>
      </c>
      <c r="E210" s="185" t="s">
        <v>760</v>
      </c>
      <c r="F210" s="186" t="s">
        <v>82</v>
      </c>
      <c r="G210" s="187" t="s">
        <v>82</v>
      </c>
      <c r="H210" s="187"/>
      <c r="I210" s="188">
        <v>15</v>
      </c>
      <c r="J210" s="189">
        <v>5</v>
      </c>
      <c r="K210" s="189">
        <v>31.25</v>
      </c>
      <c r="L210" s="189" t="s">
        <v>262</v>
      </c>
      <c r="M210" s="189" t="s">
        <v>261</v>
      </c>
      <c r="N210" s="247" t="str">
        <f>IF(A210="k_CalRelNum_Cnt_u8[12]","CalRelNum",IF(F210="Y","TunSetCalSeg",IF(F210="N", "FlashCalSeg", "")))</f>
        <v>FlashCalSeg</v>
      </c>
    </row>
    <row r="211" spans="1:14" x14ac:dyDescent="0.25">
      <c r="A211" s="190" t="s">
        <v>767</v>
      </c>
      <c r="B211" s="184" t="s">
        <v>768</v>
      </c>
      <c r="C211" s="185" t="s">
        <v>709</v>
      </c>
      <c r="D211" s="185" t="s">
        <v>193</v>
      </c>
      <c r="E211" s="185" t="s">
        <v>769</v>
      </c>
      <c r="F211" s="186" t="s">
        <v>82</v>
      </c>
      <c r="G211" s="187" t="s">
        <v>82</v>
      </c>
      <c r="H211" s="187"/>
      <c r="I211" s="188">
        <v>0</v>
      </c>
      <c r="J211" s="189">
        <v>0</v>
      </c>
      <c r="K211" s="189">
        <v>128</v>
      </c>
      <c r="L211" s="189" t="s">
        <v>263</v>
      </c>
      <c r="M211" s="189" t="s">
        <v>261</v>
      </c>
      <c r="N211" s="247" t="str">
        <f>IF(A211="k_CalRelNum_Cnt_u8[12]","CalRelNum",IF(F211="Y","TunSetCalSeg",IF(F211="N", "FlashCalSeg", "")))</f>
        <v>FlashCalSeg</v>
      </c>
    </row>
    <row r="212" spans="1:14" x14ac:dyDescent="0.25">
      <c r="A212" s="190" t="s">
        <v>761</v>
      </c>
      <c r="B212" s="184" t="s">
        <v>762</v>
      </c>
      <c r="C212" s="185" t="s">
        <v>709</v>
      </c>
      <c r="D212" s="185" t="s">
        <v>193</v>
      </c>
      <c r="E212" s="185" t="s">
        <v>763</v>
      </c>
      <c r="F212" s="186" t="s">
        <v>82</v>
      </c>
      <c r="G212" s="187" t="s">
        <v>82</v>
      </c>
      <c r="H212" s="187"/>
      <c r="I212" s="252">
        <v>15</v>
      </c>
      <c r="J212" s="189">
        <v>5</v>
      </c>
      <c r="K212" s="189">
        <v>31.25</v>
      </c>
      <c r="L212" s="189" t="s">
        <v>262</v>
      </c>
      <c r="M212" s="189" t="s">
        <v>261</v>
      </c>
      <c r="N212" s="247" t="str">
        <f>IF(A212="k_CalRelNum_Cnt_u8[12]","CalRelNum",IF(F212="Y","TunSetCalSeg",IF(F212="N", "FlashCalSeg", "")))</f>
        <v>FlashCalSeg</v>
      </c>
    </row>
    <row r="213" spans="1:14" ht="20.399999999999999" x14ac:dyDescent="0.25">
      <c r="A213" s="190" t="s">
        <v>770</v>
      </c>
      <c r="B213" s="184" t="s">
        <v>771</v>
      </c>
      <c r="C213" s="185" t="s">
        <v>709</v>
      </c>
      <c r="D213" s="185" t="s">
        <v>193</v>
      </c>
      <c r="E213" s="185" t="s">
        <v>772</v>
      </c>
      <c r="F213" s="186" t="s">
        <v>82</v>
      </c>
      <c r="G213" s="187" t="s">
        <v>82</v>
      </c>
      <c r="H213" s="187"/>
      <c r="I213" s="252">
        <v>15</v>
      </c>
      <c r="J213" s="189">
        <v>0</v>
      </c>
      <c r="K213" s="189">
        <v>100</v>
      </c>
      <c r="L213" s="189" t="s">
        <v>262</v>
      </c>
      <c r="M213" s="189" t="s">
        <v>261</v>
      </c>
      <c r="N213" s="247" t="str">
        <f>IF(A213="k_CalRelNum_Cnt_u8[12]","CalRelNum",IF(F213="Y","TunSetCalSeg",IF(F213="N", "FlashCalSeg", "")))</f>
        <v>FlashCalSeg</v>
      </c>
    </row>
    <row r="214" spans="1:14" ht="20.399999999999999" x14ac:dyDescent="0.25">
      <c r="A214" s="190" t="s">
        <v>752</v>
      </c>
      <c r="B214" s="184" t="s">
        <v>753</v>
      </c>
      <c r="C214" s="185" t="s">
        <v>709</v>
      </c>
      <c r="D214" s="185" t="s">
        <v>193</v>
      </c>
      <c r="E214" s="185" t="s">
        <v>754</v>
      </c>
      <c r="F214" s="186" t="s">
        <v>81</v>
      </c>
      <c r="G214" s="187" t="s">
        <v>82</v>
      </c>
      <c r="H214" s="187"/>
      <c r="I214" s="252">
        <v>1</v>
      </c>
      <c r="J214" s="189">
        <v>0</v>
      </c>
      <c r="K214" s="189">
        <v>2</v>
      </c>
      <c r="L214" s="189" t="s">
        <v>260</v>
      </c>
      <c r="M214" s="189" t="s">
        <v>261</v>
      </c>
      <c r="N214" s="247" t="str">
        <f>IF(A214="k_CalRelNum_Cnt_u8[12]","CalRelNum",IF(F214="Y","TunSetCalSeg",IF(F214="N", "FlashCalSeg", "")))</f>
        <v>TunSetCalSeg</v>
      </c>
    </row>
    <row r="215" spans="1:14" ht="20.399999999999999" x14ac:dyDescent="0.25">
      <c r="A215" s="190" t="s">
        <v>755</v>
      </c>
      <c r="B215" s="184" t="s">
        <v>756</v>
      </c>
      <c r="C215" s="185" t="s">
        <v>709</v>
      </c>
      <c r="D215" s="185" t="s">
        <v>193</v>
      </c>
      <c r="E215" s="185" t="s">
        <v>757</v>
      </c>
      <c r="F215" s="186" t="s">
        <v>81</v>
      </c>
      <c r="G215" s="187" t="s">
        <v>82</v>
      </c>
      <c r="H215" s="187"/>
      <c r="I215" s="188">
        <v>1</v>
      </c>
      <c r="J215" s="189">
        <v>0</v>
      </c>
      <c r="K215" s="189">
        <v>2</v>
      </c>
      <c r="L215" s="189" t="s">
        <v>260</v>
      </c>
      <c r="M215" s="189" t="s">
        <v>261</v>
      </c>
      <c r="N215" s="247" t="str">
        <f>IF(A215="k_CalRelNum_Cnt_u8[12]","CalRelNum",IF(F215="Y","TunSetCalSeg",IF(F215="N", "FlashCalSeg", "")))</f>
        <v>TunSetCalSeg</v>
      </c>
    </row>
    <row r="216" spans="1:14" ht="30.6" x14ac:dyDescent="0.25">
      <c r="A216" s="190" t="s">
        <v>744</v>
      </c>
      <c r="B216" s="184" t="s">
        <v>745</v>
      </c>
      <c r="C216" s="185" t="s">
        <v>709</v>
      </c>
      <c r="D216" s="185" t="s">
        <v>193</v>
      </c>
      <c r="E216" s="185" t="s">
        <v>746</v>
      </c>
      <c r="F216" s="186" t="s">
        <v>81</v>
      </c>
      <c r="G216" s="187" t="s">
        <v>82</v>
      </c>
      <c r="H216" s="187"/>
      <c r="I216" s="188" t="s">
        <v>747</v>
      </c>
      <c r="J216" s="189">
        <v>0</v>
      </c>
      <c r="K216" s="189">
        <v>8.8000000000000007</v>
      </c>
      <c r="L216" s="189" t="s">
        <v>748</v>
      </c>
      <c r="M216" s="189" t="s">
        <v>733</v>
      </c>
      <c r="N216" s="247" t="str">
        <f>IF(A216="k_CalRelNum_Cnt_u8[12]","CalRelNum",IF(F216="Y","TunSetCalSeg",IF(F216="N", "FlashCalSeg", "")))</f>
        <v>TunSetCalSeg</v>
      </c>
    </row>
    <row r="217" spans="1:14" ht="20.399999999999999" x14ac:dyDescent="0.25">
      <c r="A217" s="190" t="s">
        <v>734</v>
      </c>
      <c r="B217" s="184" t="s">
        <v>735</v>
      </c>
      <c r="C217" s="185" t="s">
        <v>709</v>
      </c>
      <c r="D217" s="185" t="s">
        <v>193</v>
      </c>
      <c r="E217" s="185" t="s">
        <v>736</v>
      </c>
      <c r="F217" s="186" t="s">
        <v>81</v>
      </c>
      <c r="G217" s="187" t="s">
        <v>82</v>
      </c>
      <c r="H217" s="187"/>
      <c r="I217" s="188" t="s">
        <v>737</v>
      </c>
      <c r="J217" s="189">
        <v>0</v>
      </c>
      <c r="K217" s="189">
        <v>10</v>
      </c>
      <c r="L217" s="189" t="s">
        <v>260</v>
      </c>
      <c r="M217" s="189" t="s">
        <v>733</v>
      </c>
      <c r="N217" s="247" t="str">
        <f>IF(A217="k_CalRelNum_Cnt_u8[12]","CalRelNum",IF(F217="Y","TunSetCalSeg",IF(F217="N", "FlashCalSeg", "")))</f>
        <v>TunSetCalSeg</v>
      </c>
    </row>
    <row r="218" spans="1:14" ht="20.399999999999999" x14ac:dyDescent="0.25">
      <c r="A218" s="190" t="s">
        <v>738</v>
      </c>
      <c r="B218" s="184" t="s">
        <v>739</v>
      </c>
      <c r="C218" s="185" t="s">
        <v>709</v>
      </c>
      <c r="D218" s="185" t="s">
        <v>193</v>
      </c>
      <c r="E218" s="185" t="s">
        <v>736</v>
      </c>
      <c r="F218" s="186" t="s">
        <v>81</v>
      </c>
      <c r="G218" s="187" t="s">
        <v>82</v>
      </c>
      <c r="H218" s="187"/>
      <c r="I218" s="188" t="s">
        <v>737</v>
      </c>
      <c r="J218" s="189">
        <v>0</v>
      </c>
      <c r="K218" s="189">
        <v>10</v>
      </c>
      <c r="L218" s="189" t="s">
        <v>260</v>
      </c>
      <c r="M218" s="189" t="s">
        <v>733</v>
      </c>
      <c r="N218" s="247" t="str">
        <f>IF(A218="k_CalRelNum_Cnt_u8[12]","CalRelNum",IF(F218="Y","TunSetCalSeg",IF(F218="N", "FlashCalSeg", "")))</f>
        <v>TunSetCalSeg</v>
      </c>
    </row>
    <row r="219" spans="1:14" ht="20.399999999999999" x14ac:dyDescent="0.25">
      <c r="A219" s="190" t="s">
        <v>740</v>
      </c>
      <c r="B219" s="184" t="s">
        <v>741</v>
      </c>
      <c r="C219" s="185" t="s">
        <v>709</v>
      </c>
      <c r="D219" s="185" t="s">
        <v>193</v>
      </c>
      <c r="E219" s="185" t="s">
        <v>736</v>
      </c>
      <c r="F219" s="186" t="s">
        <v>81</v>
      </c>
      <c r="G219" s="187" t="s">
        <v>82</v>
      </c>
      <c r="H219" s="187"/>
      <c r="I219" s="188" t="s">
        <v>737</v>
      </c>
      <c r="J219" s="189">
        <v>0</v>
      </c>
      <c r="K219" s="189">
        <v>10</v>
      </c>
      <c r="L219" s="189" t="s">
        <v>260</v>
      </c>
      <c r="M219" s="189" t="s">
        <v>733</v>
      </c>
      <c r="N219" s="247" t="str">
        <f>IF(A219="k_CalRelNum_Cnt_u8[12]","CalRelNum",IF(F219="Y","TunSetCalSeg",IF(F219="N", "FlashCalSeg", "")))</f>
        <v>TunSetCalSeg</v>
      </c>
    </row>
    <row r="220" spans="1:14" ht="20.399999999999999" x14ac:dyDescent="0.25">
      <c r="A220" s="190" t="s">
        <v>742</v>
      </c>
      <c r="B220" s="184" t="s">
        <v>743</v>
      </c>
      <c r="C220" s="185" t="s">
        <v>709</v>
      </c>
      <c r="D220" s="185" t="s">
        <v>193</v>
      </c>
      <c r="E220" s="185" t="s">
        <v>736</v>
      </c>
      <c r="F220" s="186" t="s">
        <v>81</v>
      </c>
      <c r="G220" s="187" t="s">
        <v>82</v>
      </c>
      <c r="H220" s="187"/>
      <c r="I220" s="188" t="s">
        <v>737</v>
      </c>
      <c r="J220" s="189">
        <v>0</v>
      </c>
      <c r="K220" s="189">
        <v>10</v>
      </c>
      <c r="L220" s="189" t="s">
        <v>260</v>
      </c>
      <c r="M220" s="189" t="s">
        <v>733</v>
      </c>
      <c r="N220" s="247" t="str">
        <f>IF(A220="k_CalRelNum_Cnt_u8[12]","CalRelNum",IF(F220="Y","TunSetCalSeg",IF(F220="N", "FlashCalSeg", "")))</f>
        <v>TunSetCalSeg</v>
      </c>
    </row>
    <row r="221" spans="1:14" ht="30.6" x14ac:dyDescent="0.25">
      <c r="A221" s="190" t="s">
        <v>717</v>
      </c>
      <c r="B221" s="184" t="s">
        <v>718</v>
      </c>
      <c r="C221" s="185" t="s">
        <v>709</v>
      </c>
      <c r="D221" s="185" t="s">
        <v>193</v>
      </c>
      <c r="E221" s="185" t="s">
        <v>719</v>
      </c>
      <c r="F221" s="186" t="s">
        <v>81</v>
      </c>
      <c r="G221" s="187" t="s">
        <v>82</v>
      </c>
      <c r="H221" s="187"/>
      <c r="I221" s="188" t="s">
        <v>720</v>
      </c>
      <c r="J221" s="189">
        <v>0</v>
      </c>
      <c r="K221" s="189">
        <v>10</v>
      </c>
      <c r="L221" s="189" t="s">
        <v>265</v>
      </c>
      <c r="M221" s="189" t="s">
        <v>257</v>
      </c>
      <c r="N221" s="247" t="str">
        <f>IF(A221="k_CalRelNum_Cnt_u8[12]","CalRelNum",IF(F221="Y","TunSetCalSeg",IF(F221="N", "FlashCalSeg", "")))</f>
        <v>TunSetCalSeg</v>
      </c>
    </row>
    <row r="222" spans="1:14" ht="30.6" x14ac:dyDescent="0.25">
      <c r="A222" s="190" t="s">
        <v>721</v>
      </c>
      <c r="B222" s="184" t="s">
        <v>722</v>
      </c>
      <c r="C222" s="185" t="s">
        <v>709</v>
      </c>
      <c r="D222" s="185" t="s">
        <v>193</v>
      </c>
      <c r="E222" s="185" t="s">
        <v>719</v>
      </c>
      <c r="F222" s="186" t="s">
        <v>81</v>
      </c>
      <c r="G222" s="187" t="s">
        <v>82</v>
      </c>
      <c r="H222" s="187"/>
      <c r="I222" s="188" t="s">
        <v>723</v>
      </c>
      <c r="J222" s="189">
        <v>0</v>
      </c>
      <c r="K222" s="189">
        <v>1</v>
      </c>
      <c r="L222" s="189" t="s">
        <v>260</v>
      </c>
      <c r="M222" s="189" t="s">
        <v>724</v>
      </c>
      <c r="N222" s="247" t="str">
        <f>IF(A222="k_CalRelNum_Cnt_u8[12]","CalRelNum",IF(F222="Y","TunSetCalSeg",IF(F222="N", "FlashCalSeg", "")))</f>
        <v>TunSetCalSeg</v>
      </c>
    </row>
    <row r="223" spans="1:14" ht="20.399999999999999" x14ac:dyDescent="0.25">
      <c r="A223" s="190" t="s">
        <v>725</v>
      </c>
      <c r="B223" s="184" t="s">
        <v>726</v>
      </c>
      <c r="C223" s="249" t="s">
        <v>709</v>
      </c>
      <c r="D223" s="249" t="s">
        <v>193</v>
      </c>
      <c r="E223" s="185" t="s">
        <v>727</v>
      </c>
      <c r="F223" s="186" t="s">
        <v>81</v>
      </c>
      <c r="G223" s="187" t="s">
        <v>82</v>
      </c>
      <c r="H223" s="187"/>
      <c r="I223" s="188" t="s">
        <v>728</v>
      </c>
      <c r="J223" s="189">
        <v>-40</v>
      </c>
      <c r="K223" s="189">
        <v>150</v>
      </c>
      <c r="L223" s="189" t="s">
        <v>558</v>
      </c>
      <c r="M223" s="189" t="s">
        <v>729</v>
      </c>
      <c r="N223" s="247" t="str">
        <f>IF(A223="k_CalRelNum_Cnt_u8[12]","CalRelNum",IF(F223="Y","TunSetCalSeg",IF(F223="N", "FlashCalSeg", "")))</f>
        <v>TunSetCalSeg</v>
      </c>
    </row>
    <row r="224" spans="1:14" ht="20.399999999999999" x14ac:dyDescent="0.25">
      <c r="A224" s="190" t="s">
        <v>730</v>
      </c>
      <c r="B224" s="184" t="s">
        <v>731</v>
      </c>
      <c r="C224" s="249" t="s">
        <v>709</v>
      </c>
      <c r="D224" s="249" t="s">
        <v>193</v>
      </c>
      <c r="E224" s="185" t="s">
        <v>727</v>
      </c>
      <c r="F224" s="186" t="s">
        <v>81</v>
      </c>
      <c r="G224" s="187" t="s">
        <v>82</v>
      </c>
      <c r="H224" s="187"/>
      <c r="I224" s="188" t="s">
        <v>732</v>
      </c>
      <c r="J224" s="189">
        <v>0</v>
      </c>
      <c r="K224" s="189">
        <v>10</v>
      </c>
      <c r="L224" s="189" t="s">
        <v>260</v>
      </c>
      <c r="M224" s="189" t="s">
        <v>733</v>
      </c>
      <c r="N224" s="247" t="str">
        <f>IF(A224="k_CalRelNum_Cnt_u8[12]","CalRelNum",IF(F224="Y","TunSetCalSeg",IF(F224="N", "FlashCalSeg", "")))</f>
        <v>TunSetCalSeg</v>
      </c>
    </row>
    <row r="225" spans="1:14" ht="409.6" x14ac:dyDescent="0.25">
      <c r="A225" s="190" t="s">
        <v>4212</v>
      </c>
      <c r="B225" s="184" t="s">
        <v>707</v>
      </c>
      <c r="C225" s="249" t="s">
        <v>709</v>
      </c>
      <c r="D225" s="249" t="s">
        <v>193</v>
      </c>
      <c r="E225" s="185" t="s">
        <v>708</v>
      </c>
      <c r="F225" s="186" t="s">
        <v>81</v>
      </c>
      <c r="G225" s="187" t="s">
        <v>82</v>
      </c>
      <c r="H225" s="187" t="s">
        <v>710</v>
      </c>
      <c r="I225" s="188" t="s">
        <v>4390</v>
      </c>
      <c r="J225" s="189">
        <v>0</v>
      </c>
      <c r="K225" s="189">
        <v>700</v>
      </c>
      <c r="L225" s="189" t="s">
        <v>263</v>
      </c>
      <c r="M225" s="189" t="s">
        <v>711</v>
      </c>
      <c r="N225" s="247" t="str">
        <f>IF(A225="k_CalRelNum_Cnt_u8[12]","CalRelNum",IF(F225="Y","TunSetCalSeg",IF(F225="N", "FlashCalSeg", "")))</f>
        <v>TunSetCalSeg</v>
      </c>
    </row>
    <row r="226" spans="1:14" ht="326.39999999999998" x14ac:dyDescent="0.25">
      <c r="A226" s="190" t="s">
        <v>4213</v>
      </c>
      <c r="B226" s="184" t="s">
        <v>712</v>
      </c>
      <c r="C226" s="249" t="s">
        <v>709</v>
      </c>
      <c r="D226" s="249" t="s">
        <v>193</v>
      </c>
      <c r="E226" s="185" t="s">
        <v>708</v>
      </c>
      <c r="F226" s="186" t="s">
        <v>81</v>
      </c>
      <c r="G226" s="187" t="s">
        <v>82</v>
      </c>
      <c r="H226" s="187" t="s">
        <v>713</v>
      </c>
      <c r="I226" s="188" t="s">
        <v>4391</v>
      </c>
      <c r="J226" s="189">
        <v>0</v>
      </c>
      <c r="K226" s="189">
        <v>8.8000000000000007</v>
      </c>
      <c r="L226" s="189" t="s">
        <v>256</v>
      </c>
      <c r="M226" s="189" t="s">
        <v>414</v>
      </c>
      <c r="N226" s="247" t="str">
        <f>IF(A226="k_CalRelNum_Cnt_u8[12]","CalRelNum",IF(F226="Y","TunSetCalSeg",IF(F226="N", "FlashCalSeg", "")))</f>
        <v>TunSetCalSeg</v>
      </c>
    </row>
    <row r="227" spans="1:14" x14ac:dyDescent="0.25">
      <c r="A227" s="190" t="s">
        <v>845</v>
      </c>
      <c r="B227" s="184" t="s">
        <v>846</v>
      </c>
      <c r="C227" s="185" t="s">
        <v>789</v>
      </c>
      <c r="D227" s="185" t="s">
        <v>248</v>
      </c>
      <c r="E227" s="185"/>
      <c r="F227" s="186" t="s">
        <v>81</v>
      </c>
      <c r="G227" s="187" t="s">
        <v>82</v>
      </c>
      <c r="H227" s="187"/>
      <c r="I227" s="188">
        <v>0.2</v>
      </c>
      <c r="J227" s="189">
        <v>0</v>
      </c>
      <c r="K227" s="189">
        <v>8.8000000000000007</v>
      </c>
      <c r="L227" s="189" t="s">
        <v>256</v>
      </c>
      <c r="M227" s="189" t="s">
        <v>261</v>
      </c>
      <c r="N227" s="247" t="str">
        <f>IF(A227="k_CalRelNum_Cnt_u8[12]","CalRelNum",IF(F227="Y","TunSetCalSeg",IF(F227="N", "FlashCalSeg", "")))</f>
        <v>TunSetCalSeg</v>
      </c>
    </row>
    <row r="228" spans="1:14" ht="30.6" x14ac:dyDescent="0.25">
      <c r="A228" s="190" t="s">
        <v>790</v>
      </c>
      <c r="B228" s="184" t="s">
        <v>791</v>
      </c>
      <c r="C228" s="185" t="s">
        <v>789</v>
      </c>
      <c r="D228" s="185" t="s">
        <v>248</v>
      </c>
      <c r="E228" s="185" t="s">
        <v>792</v>
      </c>
      <c r="F228" s="186" t="s">
        <v>81</v>
      </c>
      <c r="G228" s="187" t="s">
        <v>82</v>
      </c>
      <c r="H228" s="187"/>
      <c r="I228" s="188">
        <v>2</v>
      </c>
      <c r="J228" s="189">
        <v>0.1</v>
      </c>
      <c r="K228" s="189">
        <v>100</v>
      </c>
      <c r="L228" s="189" t="s">
        <v>262</v>
      </c>
      <c r="M228" s="189" t="s">
        <v>261</v>
      </c>
      <c r="N228" s="247" t="str">
        <f>IF(A228="k_CalRelNum_Cnt_u8[12]","CalRelNum",IF(F228="Y","TunSetCalSeg",IF(F228="N", "FlashCalSeg", "")))</f>
        <v>TunSetCalSeg</v>
      </c>
    </row>
    <row r="229" spans="1:14" x14ac:dyDescent="0.25">
      <c r="A229" s="190" t="s">
        <v>841</v>
      </c>
      <c r="B229" s="184" t="s">
        <v>842</v>
      </c>
      <c r="C229" s="185" t="s">
        <v>789</v>
      </c>
      <c r="D229" s="185" t="s">
        <v>248</v>
      </c>
      <c r="E229" s="185"/>
      <c r="F229" s="186" t="s">
        <v>81</v>
      </c>
      <c r="G229" s="187" t="s">
        <v>82</v>
      </c>
      <c r="H229" s="187"/>
      <c r="I229" s="188">
        <v>1</v>
      </c>
      <c r="J229" s="189">
        <v>0</v>
      </c>
      <c r="K229" s="189">
        <v>5000</v>
      </c>
      <c r="L229" s="189" t="s">
        <v>271</v>
      </c>
      <c r="M229" s="189" t="s">
        <v>267</v>
      </c>
      <c r="N229" s="247" t="str">
        <f>IF(A229="k_CalRelNum_Cnt_u8[12]","CalRelNum",IF(F229="Y","TunSetCalSeg",IF(F229="N", "FlashCalSeg", "")))</f>
        <v>TunSetCalSeg</v>
      </c>
    </row>
    <row r="230" spans="1:14" x14ac:dyDescent="0.25">
      <c r="A230" s="190" t="s">
        <v>839</v>
      </c>
      <c r="B230" s="184" t="s">
        <v>840</v>
      </c>
      <c r="C230" s="185" t="s">
        <v>789</v>
      </c>
      <c r="D230" s="185" t="s">
        <v>248</v>
      </c>
      <c r="E230" s="185"/>
      <c r="F230" s="186" t="s">
        <v>81</v>
      </c>
      <c r="G230" s="187" t="s">
        <v>82</v>
      </c>
      <c r="H230" s="187"/>
      <c r="I230" s="188">
        <v>1</v>
      </c>
      <c r="J230" s="189">
        <v>0</v>
      </c>
      <c r="K230" s="189">
        <v>5000</v>
      </c>
      <c r="L230" s="189" t="s">
        <v>271</v>
      </c>
      <c r="M230" s="189" t="s">
        <v>267</v>
      </c>
      <c r="N230" s="247" t="str">
        <f>IF(A230="k_CalRelNum_Cnt_u8[12]","CalRelNum",IF(F230="Y","TunSetCalSeg",IF(F230="N", "FlashCalSeg", "")))</f>
        <v>TunSetCalSeg</v>
      </c>
    </row>
    <row r="231" spans="1:14" ht="20.399999999999999" x14ac:dyDescent="0.25">
      <c r="A231" s="190" t="s">
        <v>786</v>
      </c>
      <c r="B231" s="184" t="s">
        <v>787</v>
      </c>
      <c r="C231" s="185" t="s">
        <v>789</v>
      </c>
      <c r="D231" s="185" t="s">
        <v>248</v>
      </c>
      <c r="E231" s="185" t="s">
        <v>788</v>
      </c>
      <c r="F231" s="186" t="s">
        <v>81</v>
      </c>
      <c r="G231" s="187" t="s">
        <v>82</v>
      </c>
      <c r="H231" s="187"/>
      <c r="I231" s="188">
        <v>5</v>
      </c>
      <c r="J231" s="189">
        <v>-8.8000000000000007</v>
      </c>
      <c r="K231" s="189">
        <v>8.8000000000000007</v>
      </c>
      <c r="L231" s="189" t="s">
        <v>256</v>
      </c>
      <c r="M231" s="189" t="s">
        <v>261</v>
      </c>
      <c r="N231" s="247" t="str">
        <f>IF(A231="k_CalRelNum_Cnt_u8[12]","CalRelNum",IF(F231="Y","TunSetCalSeg",IF(F231="N", "FlashCalSeg", "")))</f>
        <v>TunSetCalSeg</v>
      </c>
    </row>
    <row r="232" spans="1:14" ht="20.399999999999999" x14ac:dyDescent="0.25">
      <c r="A232" s="190" t="s">
        <v>830</v>
      </c>
      <c r="B232" s="184" t="s">
        <v>831</v>
      </c>
      <c r="C232" s="185" t="s">
        <v>789</v>
      </c>
      <c r="D232" s="185" t="s">
        <v>248</v>
      </c>
      <c r="E232" s="185" t="s">
        <v>466</v>
      </c>
      <c r="F232" s="186" t="s">
        <v>81</v>
      </c>
      <c r="G232" s="187" t="s">
        <v>82</v>
      </c>
      <c r="H232" s="187"/>
      <c r="I232" s="188">
        <v>1</v>
      </c>
      <c r="J232" s="189">
        <v>0</v>
      </c>
      <c r="K232" s="189">
        <v>5000</v>
      </c>
      <c r="L232" s="189" t="s">
        <v>271</v>
      </c>
      <c r="M232" s="189" t="s">
        <v>267</v>
      </c>
      <c r="N232" s="247" t="str">
        <f>IF(A232="k_CalRelNum_Cnt_u8[12]","CalRelNum",IF(F232="Y","TunSetCalSeg",IF(F232="N", "FlashCalSeg", "")))</f>
        <v>TunSetCalSeg</v>
      </c>
    </row>
    <row r="233" spans="1:14" ht="20.399999999999999" x14ac:dyDescent="0.25">
      <c r="A233" s="190" t="s">
        <v>828</v>
      </c>
      <c r="B233" s="184" t="s">
        <v>829</v>
      </c>
      <c r="C233" s="185" t="s">
        <v>789</v>
      </c>
      <c r="D233" s="185" t="s">
        <v>248</v>
      </c>
      <c r="E233" s="185" t="s">
        <v>463</v>
      </c>
      <c r="F233" s="186" t="s">
        <v>81</v>
      </c>
      <c r="G233" s="187" t="s">
        <v>82</v>
      </c>
      <c r="H233" s="187"/>
      <c r="I233" s="188">
        <v>1</v>
      </c>
      <c r="J233" s="189">
        <v>0</v>
      </c>
      <c r="K233" s="189">
        <v>5000</v>
      </c>
      <c r="L233" s="189" t="s">
        <v>271</v>
      </c>
      <c r="M233" s="189" t="s">
        <v>267</v>
      </c>
      <c r="N233" s="247" t="str">
        <f>IF(A233="k_CalRelNum_Cnt_u8[12]","CalRelNum",IF(F233="Y","TunSetCalSeg",IF(F233="N", "FlashCalSeg", "")))</f>
        <v>TunSetCalSeg</v>
      </c>
    </row>
    <row r="234" spans="1:14" ht="20.399999999999999" x14ac:dyDescent="0.25">
      <c r="A234" s="190" t="s">
        <v>899</v>
      </c>
      <c r="B234" s="184" t="s">
        <v>900</v>
      </c>
      <c r="C234" s="185" t="s">
        <v>789</v>
      </c>
      <c r="D234" s="185" t="s">
        <v>248</v>
      </c>
      <c r="E234" s="185" t="s">
        <v>901</v>
      </c>
      <c r="F234" s="186" t="s">
        <v>82</v>
      </c>
      <c r="G234" s="187" t="s">
        <v>82</v>
      </c>
      <c r="H234" s="187"/>
      <c r="I234" s="188">
        <v>10</v>
      </c>
      <c r="J234" s="189">
        <v>1</v>
      </c>
      <c r="K234" s="189">
        <v>200</v>
      </c>
      <c r="L234" s="189" t="s">
        <v>262</v>
      </c>
      <c r="M234" s="189" t="s">
        <v>261</v>
      </c>
      <c r="N234" s="247" t="str">
        <f>IF(A234="k_CalRelNum_Cnt_u8[12]","CalRelNum",IF(F234="Y","TunSetCalSeg",IF(F234="N", "FlashCalSeg", "")))</f>
        <v>FlashCalSeg</v>
      </c>
    </row>
    <row r="235" spans="1:14" x14ac:dyDescent="0.25">
      <c r="A235" s="190" t="s">
        <v>4214</v>
      </c>
      <c r="B235" s="184" t="s">
        <v>4215</v>
      </c>
      <c r="C235" s="185" t="s">
        <v>789</v>
      </c>
      <c r="D235" s="185" t="s">
        <v>248</v>
      </c>
      <c r="E235" s="185"/>
      <c r="F235" s="186" t="s">
        <v>81</v>
      </c>
      <c r="G235" s="187" t="s">
        <v>82</v>
      </c>
      <c r="H235" s="187"/>
      <c r="I235" s="188">
        <v>25</v>
      </c>
      <c r="J235" s="189">
        <v>1</v>
      </c>
      <c r="K235" s="189">
        <v>200</v>
      </c>
      <c r="L235" s="189" t="s">
        <v>262</v>
      </c>
      <c r="M235" s="189" t="s">
        <v>261</v>
      </c>
      <c r="N235" s="247" t="str">
        <f>IF(A235="k_CalRelNum_Cnt_u8[12]","CalRelNum",IF(F235="Y","TunSetCalSeg",IF(F235="N", "FlashCalSeg", "")))</f>
        <v>TunSetCalSeg</v>
      </c>
    </row>
    <row r="236" spans="1:14" ht="30.6" x14ac:dyDescent="0.25">
      <c r="A236" s="190" t="s">
        <v>793</v>
      </c>
      <c r="B236" s="184" t="s">
        <v>794</v>
      </c>
      <c r="C236" s="185" t="s">
        <v>789</v>
      </c>
      <c r="D236" s="185" t="s">
        <v>248</v>
      </c>
      <c r="E236" s="185" t="s">
        <v>795</v>
      </c>
      <c r="F236" s="186" t="s">
        <v>81</v>
      </c>
      <c r="G236" s="187" t="s">
        <v>82</v>
      </c>
      <c r="H236" s="187" t="s">
        <v>796</v>
      </c>
      <c r="I236" s="188" t="s">
        <v>797</v>
      </c>
      <c r="J236" s="189">
        <v>0</v>
      </c>
      <c r="K236" s="189">
        <v>1023</v>
      </c>
      <c r="L236" s="189" t="s">
        <v>263</v>
      </c>
      <c r="M236" s="189" t="s">
        <v>626</v>
      </c>
      <c r="N236" s="247" t="str">
        <f>IF(A236="k_CalRelNum_Cnt_u8[12]","CalRelNum",IF(F236="Y","TunSetCalSeg",IF(F236="N", "FlashCalSeg", "")))</f>
        <v>TunSetCalSeg</v>
      </c>
    </row>
    <row r="237" spans="1:14" ht="30.6" x14ac:dyDescent="0.25">
      <c r="A237" s="190" t="s">
        <v>798</v>
      </c>
      <c r="B237" s="184" t="s">
        <v>799</v>
      </c>
      <c r="C237" s="185" t="s">
        <v>789</v>
      </c>
      <c r="D237" s="185" t="s">
        <v>248</v>
      </c>
      <c r="E237" s="185" t="s">
        <v>800</v>
      </c>
      <c r="F237" s="186" t="s">
        <v>81</v>
      </c>
      <c r="G237" s="187" t="s">
        <v>82</v>
      </c>
      <c r="H237" s="187" t="s">
        <v>801</v>
      </c>
      <c r="I237" s="188" t="s">
        <v>802</v>
      </c>
      <c r="J237" s="189">
        <v>0</v>
      </c>
      <c r="K237" s="189">
        <v>8.8000000000000007</v>
      </c>
      <c r="L237" s="189" t="s">
        <v>256</v>
      </c>
      <c r="M237" s="189" t="s">
        <v>414</v>
      </c>
      <c r="N237" s="247" t="str">
        <f>IF(A237="k_CalRelNum_Cnt_u8[12]","CalRelNum",IF(F237="Y","TunSetCalSeg",IF(F237="N", "FlashCalSeg", "")))</f>
        <v>TunSetCalSeg</v>
      </c>
    </row>
    <row r="238" spans="1:14" ht="30.6" x14ac:dyDescent="0.25">
      <c r="A238" s="190" t="s">
        <v>803</v>
      </c>
      <c r="B238" s="184" t="s">
        <v>804</v>
      </c>
      <c r="C238" s="185" t="s">
        <v>789</v>
      </c>
      <c r="D238" s="185" t="s">
        <v>248</v>
      </c>
      <c r="E238" s="185" t="s">
        <v>795</v>
      </c>
      <c r="F238" s="186" t="s">
        <v>81</v>
      </c>
      <c r="G238" s="187" t="s">
        <v>82</v>
      </c>
      <c r="H238" s="187" t="s">
        <v>796</v>
      </c>
      <c r="I238" s="188" t="s">
        <v>797</v>
      </c>
      <c r="J238" s="189">
        <v>0</v>
      </c>
      <c r="K238" s="189">
        <v>1023</v>
      </c>
      <c r="L238" s="189" t="s">
        <v>263</v>
      </c>
      <c r="M238" s="189" t="s">
        <v>626</v>
      </c>
      <c r="N238" s="247" t="str">
        <f>IF(A238="k_CalRelNum_Cnt_u8[12]","CalRelNum",IF(F238="Y","TunSetCalSeg",IF(F238="N", "FlashCalSeg", "")))</f>
        <v>TunSetCalSeg</v>
      </c>
    </row>
    <row r="239" spans="1:14" ht="30.6" x14ac:dyDescent="0.25">
      <c r="A239" s="190" t="s">
        <v>805</v>
      </c>
      <c r="B239" s="184" t="s">
        <v>806</v>
      </c>
      <c r="C239" s="185" t="s">
        <v>789</v>
      </c>
      <c r="D239" s="185" t="s">
        <v>248</v>
      </c>
      <c r="E239" s="185" t="s">
        <v>800</v>
      </c>
      <c r="F239" s="186" t="s">
        <v>81</v>
      </c>
      <c r="G239" s="187" t="s">
        <v>82</v>
      </c>
      <c r="H239" s="187" t="s">
        <v>801</v>
      </c>
      <c r="I239" s="188" t="s">
        <v>802</v>
      </c>
      <c r="J239" s="189">
        <v>0</v>
      </c>
      <c r="K239" s="189">
        <v>8.8000000000000007</v>
      </c>
      <c r="L239" s="189" t="s">
        <v>256</v>
      </c>
      <c r="M239" s="189" t="s">
        <v>414</v>
      </c>
      <c r="N239" s="247" t="str">
        <f>IF(A239="k_CalRelNum_Cnt_u8[12]","CalRelNum",IF(F239="Y","TunSetCalSeg",IF(F239="N", "FlashCalSeg", "")))</f>
        <v>TunSetCalSeg</v>
      </c>
    </row>
    <row r="240" spans="1:14" x14ac:dyDescent="0.25">
      <c r="A240" s="190" t="s">
        <v>843</v>
      </c>
      <c r="B240" s="184" t="s">
        <v>844</v>
      </c>
      <c r="C240" s="185" t="s">
        <v>789</v>
      </c>
      <c r="D240" s="185" t="s">
        <v>248</v>
      </c>
      <c r="E240" s="185"/>
      <c r="F240" s="186" t="s">
        <v>81</v>
      </c>
      <c r="G240" s="187" t="s">
        <v>82</v>
      </c>
      <c r="H240" s="187"/>
      <c r="I240" s="188" t="s">
        <v>834</v>
      </c>
      <c r="J240" s="189">
        <v>0</v>
      </c>
      <c r="K240" s="189">
        <v>5000</v>
      </c>
      <c r="L240" s="189" t="s">
        <v>271</v>
      </c>
      <c r="M240" s="189" t="s">
        <v>267</v>
      </c>
      <c r="N240" s="247" t="str">
        <f>IF(A240="k_CalRelNum_Cnt_u8[12]","CalRelNum",IF(F240="Y","TunSetCalSeg",IF(F240="N", "FlashCalSeg", "")))</f>
        <v>TunSetCalSeg</v>
      </c>
    </row>
    <row r="241" spans="1:14" x14ac:dyDescent="0.25">
      <c r="A241" s="190" t="s">
        <v>822</v>
      </c>
      <c r="B241" s="184" t="s">
        <v>823</v>
      </c>
      <c r="C241" s="185" t="s">
        <v>789</v>
      </c>
      <c r="D241" s="185" t="s">
        <v>248</v>
      </c>
      <c r="E241" s="185"/>
      <c r="F241" s="186" t="s">
        <v>82</v>
      </c>
      <c r="G241" s="187" t="s">
        <v>82</v>
      </c>
      <c r="H241" s="187"/>
      <c r="I241" s="188" t="s">
        <v>824</v>
      </c>
      <c r="J241" s="189">
        <v>0</v>
      </c>
      <c r="K241" s="189">
        <v>1023</v>
      </c>
      <c r="L241" s="189" t="s">
        <v>263</v>
      </c>
      <c r="M241" s="189" t="s">
        <v>510</v>
      </c>
      <c r="N241" s="247" t="str">
        <f>IF(A241="k_CalRelNum_Cnt_u8[12]","CalRelNum",IF(F241="Y","TunSetCalSeg",IF(F241="N", "FlashCalSeg", "")))</f>
        <v>FlashCalSeg</v>
      </c>
    </row>
    <row r="242" spans="1:14" x14ac:dyDescent="0.25">
      <c r="A242" s="190" t="s">
        <v>825</v>
      </c>
      <c r="B242" s="184" t="s">
        <v>826</v>
      </c>
      <c r="C242" s="185" t="s">
        <v>789</v>
      </c>
      <c r="D242" s="185" t="s">
        <v>248</v>
      </c>
      <c r="E242" s="185"/>
      <c r="F242" s="186" t="s">
        <v>82</v>
      </c>
      <c r="G242" s="187" t="s">
        <v>82</v>
      </c>
      <c r="H242" s="187"/>
      <c r="I242" s="188" t="s">
        <v>827</v>
      </c>
      <c r="J242" s="189">
        <v>0</v>
      </c>
      <c r="K242" s="189">
        <v>16</v>
      </c>
      <c r="L242" s="189" t="s">
        <v>256</v>
      </c>
      <c r="M242" s="189" t="s">
        <v>414</v>
      </c>
      <c r="N242" s="247" t="str">
        <f>IF(A242="k_CalRelNum_Cnt_u8[12]","CalRelNum",IF(F242="Y","TunSetCalSeg",IF(F242="N", "FlashCalSeg", "")))</f>
        <v>FlashCalSeg</v>
      </c>
    </row>
    <row r="243" spans="1:14" ht="30.6" x14ac:dyDescent="0.25">
      <c r="A243" s="190" t="s">
        <v>832</v>
      </c>
      <c r="B243" s="184" t="s">
        <v>833</v>
      </c>
      <c r="C243" s="185" t="s">
        <v>789</v>
      </c>
      <c r="D243" s="185" t="s">
        <v>248</v>
      </c>
      <c r="E243" s="185" t="s">
        <v>469</v>
      </c>
      <c r="F243" s="186" t="s">
        <v>81</v>
      </c>
      <c r="G243" s="187" t="s">
        <v>82</v>
      </c>
      <c r="H243" s="187"/>
      <c r="I243" s="188" t="s">
        <v>834</v>
      </c>
      <c r="J243" s="189">
        <v>0</v>
      </c>
      <c r="K243" s="189">
        <v>5000</v>
      </c>
      <c r="L243" s="189" t="s">
        <v>271</v>
      </c>
      <c r="M243" s="189" t="s">
        <v>267</v>
      </c>
      <c r="N243" s="247" t="str">
        <f>IF(A243="k_CalRelNum_Cnt_u8[12]","CalRelNum",IF(F243="Y","TunSetCalSeg",IF(F243="N", "FlashCalSeg", "")))</f>
        <v>TunSetCalSeg</v>
      </c>
    </row>
    <row r="244" spans="1:14" ht="20.399999999999999" x14ac:dyDescent="0.25">
      <c r="A244" s="190" t="s">
        <v>811</v>
      </c>
      <c r="B244" s="184" t="s">
        <v>812</v>
      </c>
      <c r="C244" s="185" t="s">
        <v>789</v>
      </c>
      <c r="D244" s="185" t="s">
        <v>248</v>
      </c>
      <c r="E244" s="185" t="s">
        <v>813</v>
      </c>
      <c r="F244" s="186" t="s">
        <v>81</v>
      </c>
      <c r="G244" s="187" t="s">
        <v>82</v>
      </c>
      <c r="H244" s="187" t="s">
        <v>814</v>
      </c>
      <c r="I244" s="188" t="s">
        <v>815</v>
      </c>
      <c r="J244" s="189">
        <v>-1023</v>
      </c>
      <c r="K244" s="189">
        <v>1023</v>
      </c>
      <c r="L244" s="189" t="s">
        <v>263</v>
      </c>
      <c r="M244" s="189" t="s">
        <v>816</v>
      </c>
      <c r="N244" s="247" t="str">
        <f>IF(A244="k_CalRelNum_Cnt_u8[12]","CalRelNum",IF(F244="Y","TunSetCalSeg",IF(F244="N", "FlashCalSeg", "")))</f>
        <v>TunSetCalSeg</v>
      </c>
    </row>
    <row r="245" spans="1:14" ht="40.799999999999997" x14ac:dyDescent="0.25">
      <c r="A245" s="190" t="s">
        <v>807</v>
      </c>
      <c r="B245" s="184" t="s">
        <v>808</v>
      </c>
      <c r="C245" s="185" t="s">
        <v>789</v>
      </c>
      <c r="D245" s="185" t="s">
        <v>248</v>
      </c>
      <c r="E245" s="185" t="s">
        <v>405</v>
      </c>
      <c r="F245" s="186" t="s">
        <v>81</v>
      </c>
      <c r="G245" s="187" t="s">
        <v>82</v>
      </c>
      <c r="H245" s="187" t="s">
        <v>809</v>
      </c>
      <c r="I245" s="188" t="s">
        <v>810</v>
      </c>
      <c r="J245" s="189">
        <v>0</v>
      </c>
      <c r="K245" s="189">
        <v>511</v>
      </c>
      <c r="L245" s="189" t="s">
        <v>311</v>
      </c>
      <c r="M245" s="189" t="s">
        <v>370</v>
      </c>
      <c r="N245" s="247" t="str">
        <f>IF(A245="k_CalRelNum_Cnt_u8[12]","CalRelNum",IF(F245="Y","TunSetCalSeg",IF(F245="N", "FlashCalSeg", "")))</f>
        <v>TunSetCalSeg</v>
      </c>
    </row>
    <row r="246" spans="1:14" ht="112.2" x14ac:dyDescent="0.25">
      <c r="A246" s="190" t="s">
        <v>817</v>
      </c>
      <c r="B246" s="184" t="s">
        <v>818</v>
      </c>
      <c r="C246" s="185" t="s">
        <v>789</v>
      </c>
      <c r="D246" s="185" t="s">
        <v>248</v>
      </c>
      <c r="E246" s="185" t="s">
        <v>459</v>
      </c>
      <c r="F246" s="186" t="s">
        <v>81</v>
      </c>
      <c r="G246" s="187" t="s">
        <v>82</v>
      </c>
      <c r="H246" s="187" t="s">
        <v>819</v>
      </c>
      <c r="I246" s="188" t="s">
        <v>820</v>
      </c>
      <c r="J246" s="189">
        <v>-16</v>
      </c>
      <c r="K246" s="189">
        <v>16</v>
      </c>
      <c r="L246" s="189" t="s">
        <v>256</v>
      </c>
      <c r="M246" s="189" t="s">
        <v>821</v>
      </c>
      <c r="N246" s="247" t="str">
        <f>IF(A246="k_CalRelNum_Cnt_u8[12]","CalRelNum",IF(F246="Y","TunSetCalSeg",IF(F246="N", "FlashCalSeg", "")))</f>
        <v>TunSetCalSeg</v>
      </c>
    </row>
    <row r="247" spans="1:14" ht="30.6" x14ac:dyDescent="0.25">
      <c r="A247" s="190" t="s">
        <v>851</v>
      </c>
      <c r="B247" s="184" t="s">
        <v>852</v>
      </c>
      <c r="C247" s="185" t="s">
        <v>837</v>
      </c>
      <c r="D247" s="185" t="s">
        <v>849</v>
      </c>
      <c r="E247" s="185"/>
      <c r="F247" s="186" t="s">
        <v>82</v>
      </c>
      <c r="G247" s="187" t="s">
        <v>82</v>
      </c>
      <c r="H247" s="187"/>
      <c r="I247" s="188">
        <v>22</v>
      </c>
      <c r="J247" s="189">
        <v>1</v>
      </c>
      <c r="K247" s="189">
        <v>100</v>
      </c>
      <c r="L247" s="189" t="s">
        <v>260</v>
      </c>
      <c r="M247" s="189" t="s">
        <v>261</v>
      </c>
      <c r="N247" s="247" t="str">
        <f>IF(A247="k_CalRelNum_Cnt_u8[12]","CalRelNum",IF(F247="Y","TunSetCalSeg",IF(F247="N", "FlashCalSeg", "")))</f>
        <v>FlashCalSeg</v>
      </c>
    </row>
    <row r="248" spans="1:14" ht="30.6" x14ac:dyDescent="0.25">
      <c r="A248" s="190" t="s">
        <v>847</v>
      </c>
      <c r="B248" s="184" t="s">
        <v>848</v>
      </c>
      <c r="C248" s="185" t="s">
        <v>837</v>
      </c>
      <c r="D248" s="185" t="s">
        <v>849</v>
      </c>
      <c r="E248" s="185"/>
      <c r="F248" s="186" t="s">
        <v>82</v>
      </c>
      <c r="G248" s="187" t="s">
        <v>82</v>
      </c>
      <c r="H248" s="187"/>
      <c r="I248" s="188">
        <v>2.5</v>
      </c>
      <c r="J248" s="189">
        <v>0.5</v>
      </c>
      <c r="K248" s="189">
        <v>10</v>
      </c>
      <c r="L248" s="189" t="s">
        <v>850</v>
      </c>
      <c r="M248" s="189" t="s">
        <v>261</v>
      </c>
      <c r="N248" s="247" t="str">
        <f>IF(A248="k_CalRelNum_Cnt_u8[12]","CalRelNum",IF(F248="Y","TunSetCalSeg",IF(F248="N", "FlashCalSeg", "")))</f>
        <v>FlashCalSeg</v>
      </c>
    </row>
    <row r="249" spans="1:14" ht="71.400000000000006" x14ac:dyDescent="0.25">
      <c r="A249" s="190" t="s">
        <v>862</v>
      </c>
      <c r="B249" s="184" t="s">
        <v>863</v>
      </c>
      <c r="C249" s="185" t="s">
        <v>837</v>
      </c>
      <c r="D249" s="185" t="s">
        <v>838</v>
      </c>
      <c r="E249" s="185" t="s">
        <v>864</v>
      </c>
      <c r="F249" s="186" t="s">
        <v>81</v>
      </c>
      <c r="G249" s="187" t="s">
        <v>82</v>
      </c>
      <c r="H249" s="187"/>
      <c r="I249" s="188">
        <v>3</v>
      </c>
      <c r="J249" s="189">
        <v>1</v>
      </c>
      <c r="K249" s="189">
        <v>10</v>
      </c>
      <c r="L249" s="189" t="s">
        <v>260</v>
      </c>
      <c r="M249" s="189" t="s">
        <v>261</v>
      </c>
      <c r="N249" s="247" t="str">
        <f>IF(A249="k_CalRelNum_Cnt_u8[12]","CalRelNum",IF(F249="Y","TunSetCalSeg",IF(F249="N", "FlashCalSeg", "")))</f>
        <v>TunSetCalSeg</v>
      </c>
    </row>
    <row r="250" spans="1:14" ht="71.400000000000006" x14ac:dyDescent="0.25">
      <c r="A250" s="190" t="s">
        <v>865</v>
      </c>
      <c r="B250" s="184" t="s">
        <v>866</v>
      </c>
      <c r="C250" s="185" t="s">
        <v>837</v>
      </c>
      <c r="D250" s="185" t="s">
        <v>838</v>
      </c>
      <c r="E250" s="185"/>
      <c r="F250" s="186" t="s">
        <v>81</v>
      </c>
      <c r="G250" s="187" t="s">
        <v>82</v>
      </c>
      <c r="H250" s="187"/>
      <c r="I250" s="188">
        <v>4500</v>
      </c>
      <c r="J250" s="189">
        <v>1</v>
      </c>
      <c r="K250" s="189">
        <v>4500</v>
      </c>
      <c r="L250" s="189" t="s">
        <v>867</v>
      </c>
      <c r="M250" s="189" t="s">
        <v>261</v>
      </c>
      <c r="N250" s="247" t="str">
        <f>IF(A250="k_CalRelNum_Cnt_u8[12]","CalRelNum",IF(F250="Y","TunSetCalSeg",IF(F250="N", "FlashCalSeg", "")))</f>
        <v>TunSetCalSeg</v>
      </c>
    </row>
    <row r="251" spans="1:14" ht="71.400000000000006" x14ac:dyDescent="0.25">
      <c r="A251" s="246" t="s">
        <v>859</v>
      </c>
      <c r="B251" s="240" t="s">
        <v>860</v>
      </c>
      <c r="C251" s="241" t="s">
        <v>837</v>
      </c>
      <c r="D251" s="241" t="s">
        <v>838</v>
      </c>
      <c r="E251" s="241" t="s">
        <v>861</v>
      </c>
      <c r="F251" s="242" t="s">
        <v>81</v>
      </c>
      <c r="G251" s="243" t="s">
        <v>82</v>
      </c>
      <c r="H251" s="243"/>
      <c r="I251" s="244">
        <v>1</v>
      </c>
      <c r="J251" s="245">
        <v>0</v>
      </c>
      <c r="K251" s="245">
        <v>50</v>
      </c>
      <c r="L251" s="245" t="s">
        <v>858</v>
      </c>
      <c r="M251" s="245" t="s">
        <v>261</v>
      </c>
      <c r="N251" s="247" t="str">
        <f>IF(A251="k_CalRelNum_Cnt_u8[12]","CalRelNum",IF(F251="Y","TunSetCalSeg",IF(F251="N", "FlashCalSeg", "")))</f>
        <v>TunSetCalSeg</v>
      </c>
    </row>
    <row r="252" spans="1:14" ht="71.400000000000006" x14ac:dyDescent="0.25">
      <c r="A252" s="190" t="s">
        <v>857</v>
      </c>
      <c r="B252" s="184" t="s">
        <v>3727</v>
      </c>
      <c r="C252" s="185" t="s">
        <v>837</v>
      </c>
      <c r="D252" s="185" t="s">
        <v>838</v>
      </c>
      <c r="E252" s="185"/>
      <c r="F252" s="186" t="s">
        <v>81</v>
      </c>
      <c r="G252" s="187" t="s">
        <v>82</v>
      </c>
      <c r="H252" s="187"/>
      <c r="I252" s="188">
        <v>10</v>
      </c>
      <c r="J252" s="189">
        <v>0</v>
      </c>
      <c r="K252" s="189">
        <v>50</v>
      </c>
      <c r="L252" s="189" t="s">
        <v>858</v>
      </c>
      <c r="M252" s="189" t="s">
        <v>261</v>
      </c>
      <c r="N252" s="247" t="str">
        <f>IF(A252="k_CalRelNum_Cnt_u8[12]","CalRelNum",IF(F252="Y","TunSetCalSeg",IF(F252="N", "FlashCalSeg", "")))</f>
        <v>TunSetCalSeg</v>
      </c>
    </row>
    <row r="253" spans="1:14" ht="71.400000000000006" x14ac:dyDescent="0.25">
      <c r="A253" s="190" t="s">
        <v>888</v>
      </c>
      <c r="B253" s="184" t="s">
        <v>889</v>
      </c>
      <c r="C253" s="185" t="s">
        <v>837</v>
      </c>
      <c r="D253" s="185" t="s">
        <v>838</v>
      </c>
      <c r="E253" s="185" t="s">
        <v>890</v>
      </c>
      <c r="F253" s="186" t="s">
        <v>81</v>
      </c>
      <c r="G253" s="187" t="s">
        <v>82</v>
      </c>
      <c r="H253" s="187"/>
      <c r="I253" s="188">
        <v>4.0000000000000003E-5</v>
      </c>
      <c r="J253" s="189">
        <v>1.0000000000000001E-5</v>
      </c>
      <c r="K253" s="189">
        <v>5.0000000000000001E-4</v>
      </c>
      <c r="L253" s="189" t="s">
        <v>891</v>
      </c>
      <c r="M253" s="189" t="s">
        <v>261</v>
      </c>
      <c r="N253" s="247" t="str">
        <f>IF(A253="k_CalRelNum_Cnt_u8[12]","CalRelNum",IF(F253="Y","TunSetCalSeg",IF(F253="N", "FlashCalSeg", "")))</f>
        <v>TunSetCalSeg</v>
      </c>
    </row>
    <row r="254" spans="1:14" ht="71.400000000000006" x14ac:dyDescent="0.25">
      <c r="A254" s="190" t="s">
        <v>855</v>
      </c>
      <c r="B254" s="184" t="s">
        <v>856</v>
      </c>
      <c r="C254" s="185" t="s">
        <v>837</v>
      </c>
      <c r="D254" s="185" t="s">
        <v>838</v>
      </c>
      <c r="E254" s="185"/>
      <c r="F254" s="186" t="s">
        <v>81</v>
      </c>
      <c r="G254" s="187" t="s">
        <v>82</v>
      </c>
      <c r="H254" s="187"/>
      <c r="I254" s="188">
        <v>1</v>
      </c>
      <c r="J254" s="189">
        <v>0</v>
      </c>
      <c r="K254" s="189">
        <v>1</v>
      </c>
      <c r="L254" s="189" t="s">
        <v>260</v>
      </c>
      <c r="M254" s="189" t="s">
        <v>261</v>
      </c>
      <c r="N254" s="247" t="str">
        <f>IF(A254="k_CalRelNum_Cnt_u8[12]","CalRelNum",IF(F254="Y","TunSetCalSeg",IF(F254="N", "FlashCalSeg", "")))</f>
        <v>TunSetCalSeg</v>
      </c>
    </row>
    <row r="255" spans="1:14" ht="71.400000000000006" x14ac:dyDescent="0.25">
      <c r="A255" s="190" t="s">
        <v>835</v>
      </c>
      <c r="B255" s="184" t="s">
        <v>836</v>
      </c>
      <c r="C255" s="185" t="s">
        <v>837</v>
      </c>
      <c r="D255" s="185" t="s">
        <v>838</v>
      </c>
      <c r="E255" s="185"/>
      <c r="F255" s="186" t="s">
        <v>81</v>
      </c>
      <c r="G255" s="187" t="s">
        <v>82</v>
      </c>
      <c r="H255" s="187"/>
      <c r="I255" s="188">
        <v>20</v>
      </c>
      <c r="J255" s="189">
        <v>0.1</v>
      </c>
      <c r="K255" s="189">
        <v>100</v>
      </c>
      <c r="L255" s="189" t="s">
        <v>262</v>
      </c>
      <c r="M255" s="189" t="s">
        <v>261</v>
      </c>
      <c r="N255" s="247" t="str">
        <f>IF(A255="k_CalRelNum_Cnt_u8[12]","CalRelNum",IF(F255="Y","TunSetCalSeg",IF(F255="N", "FlashCalSeg", "")))</f>
        <v>TunSetCalSeg</v>
      </c>
    </row>
    <row r="256" spans="1:14" ht="71.400000000000006" x14ac:dyDescent="0.25">
      <c r="A256" s="190" t="s">
        <v>896</v>
      </c>
      <c r="B256" s="184" t="s">
        <v>897</v>
      </c>
      <c r="C256" s="185" t="s">
        <v>837</v>
      </c>
      <c r="D256" s="185" t="s">
        <v>838</v>
      </c>
      <c r="E256" s="185"/>
      <c r="F256" s="186" t="s">
        <v>81</v>
      </c>
      <c r="G256" s="187" t="s">
        <v>82</v>
      </c>
      <c r="H256" s="187"/>
      <c r="I256" s="188" t="s">
        <v>898</v>
      </c>
      <c r="J256" s="189">
        <v>0</v>
      </c>
      <c r="K256" s="189">
        <v>8.8000000000000007</v>
      </c>
      <c r="L256" s="189" t="s">
        <v>256</v>
      </c>
      <c r="M256" s="189" t="s">
        <v>733</v>
      </c>
      <c r="N256" s="247" t="str">
        <f>IF(A256="k_CalRelNum_Cnt_u8[12]","CalRelNum",IF(F256="Y","TunSetCalSeg",IF(F256="N", "FlashCalSeg", "")))</f>
        <v>TunSetCalSeg</v>
      </c>
    </row>
    <row r="257" spans="1:14" ht="71.400000000000006" x14ac:dyDescent="0.25">
      <c r="A257" s="190" t="s">
        <v>868</v>
      </c>
      <c r="B257" s="184" t="s">
        <v>3728</v>
      </c>
      <c r="C257" s="185" t="s">
        <v>837</v>
      </c>
      <c r="D257" s="185" t="s">
        <v>838</v>
      </c>
      <c r="E257" s="185"/>
      <c r="F257" s="186" t="s">
        <v>81</v>
      </c>
      <c r="G257" s="187" t="s">
        <v>82</v>
      </c>
      <c r="H257" s="187"/>
      <c r="I257" s="188" t="s">
        <v>3729</v>
      </c>
      <c r="J257" s="189">
        <v>0</v>
      </c>
      <c r="K257" s="189">
        <v>1118</v>
      </c>
      <c r="L257" s="189" t="s">
        <v>263</v>
      </c>
      <c r="M257" s="189" t="s">
        <v>510</v>
      </c>
      <c r="N257" s="247" t="str">
        <f>IF(A257="k_CalRelNum_Cnt_u8[12]","CalRelNum",IF(F257="Y","TunSetCalSeg",IF(F257="N", "FlashCalSeg", "")))</f>
        <v>TunSetCalSeg</v>
      </c>
    </row>
    <row r="258" spans="1:14" ht="71.400000000000006" x14ac:dyDescent="0.25">
      <c r="A258" s="190" t="s">
        <v>869</v>
      </c>
      <c r="B258" s="184" t="s">
        <v>870</v>
      </c>
      <c r="C258" s="185" t="s">
        <v>837</v>
      </c>
      <c r="D258" s="185" t="s">
        <v>838</v>
      </c>
      <c r="E258" s="185"/>
      <c r="F258" s="186" t="s">
        <v>81</v>
      </c>
      <c r="G258" s="187" t="s">
        <v>82</v>
      </c>
      <c r="H258" s="187"/>
      <c r="I258" s="188" t="s">
        <v>3730</v>
      </c>
      <c r="J258" s="189">
        <v>1</v>
      </c>
      <c r="K258" s="189">
        <v>500</v>
      </c>
      <c r="L258" s="189" t="s">
        <v>867</v>
      </c>
      <c r="M258" s="189" t="s">
        <v>871</v>
      </c>
      <c r="N258" s="247" t="str">
        <f>IF(A258="k_CalRelNum_Cnt_u8[12]","CalRelNum",IF(F258="Y","TunSetCalSeg",IF(F258="N", "FlashCalSeg", "")))</f>
        <v>TunSetCalSeg</v>
      </c>
    </row>
    <row r="259" spans="1:14" ht="71.400000000000006" x14ac:dyDescent="0.25">
      <c r="A259" s="190" t="s">
        <v>877</v>
      </c>
      <c r="B259" s="184" t="s">
        <v>878</v>
      </c>
      <c r="C259" s="185" t="s">
        <v>837</v>
      </c>
      <c r="D259" s="185" t="s">
        <v>838</v>
      </c>
      <c r="E259" s="185"/>
      <c r="F259" s="186" t="s">
        <v>82</v>
      </c>
      <c r="G259" s="187" t="s">
        <v>82</v>
      </c>
      <c r="H259" s="187"/>
      <c r="I259" s="188" t="s">
        <v>3733</v>
      </c>
      <c r="J259" s="189">
        <v>0</v>
      </c>
      <c r="K259" s="189">
        <v>1</v>
      </c>
      <c r="L259" s="189" t="s">
        <v>260</v>
      </c>
      <c r="M259" s="189" t="s">
        <v>374</v>
      </c>
      <c r="N259" s="247" t="str">
        <f>IF(A259="k_CalRelNum_Cnt_u8[12]","CalRelNum",IF(F259="Y","TunSetCalSeg",IF(F259="N", "FlashCalSeg", "")))</f>
        <v>FlashCalSeg</v>
      </c>
    </row>
    <row r="260" spans="1:14" ht="71.400000000000006" x14ac:dyDescent="0.25">
      <c r="A260" s="190" t="s">
        <v>875</v>
      </c>
      <c r="B260" s="184" t="s">
        <v>876</v>
      </c>
      <c r="C260" s="241" t="s">
        <v>837</v>
      </c>
      <c r="D260" s="241" t="s">
        <v>838</v>
      </c>
      <c r="E260" s="185"/>
      <c r="F260" s="186" t="s">
        <v>82</v>
      </c>
      <c r="G260" s="187" t="s">
        <v>82</v>
      </c>
      <c r="H260" s="187"/>
      <c r="I260" s="188" t="s">
        <v>3732</v>
      </c>
      <c r="J260" s="189">
        <v>0</v>
      </c>
      <c r="K260" s="189">
        <v>0.05</v>
      </c>
      <c r="L260" s="189" t="s">
        <v>677</v>
      </c>
      <c r="M260" s="189" t="s">
        <v>874</v>
      </c>
      <c r="N260" s="247" t="str">
        <f>IF(A260="k_CalRelNum_Cnt_u8[12]","CalRelNum",IF(F260="Y","TunSetCalSeg",IF(F260="N", "FlashCalSeg", "")))</f>
        <v>FlashCalSeg</v>
      </c>
    </row>
    <row r="261" spans="1:14" ht="71.400000000000006" x14ac:dyDescent="0.25">
      <c r="A261" s="190" t="s">
        <v>892</v>
      </c>
      <c r="B261" s="184" t="s">
        <v>893</v>
      </c>
      <c r="C261" s="241" t="s">
        <v>837</v>
      </c>
      <c r="D261" s="241" t="s">
        <v>838</v>
      </c>
      <c r="E261" s="185"/>
      <c r="F261" s="186" t="s">
        <v>81</v>
      </c>
      <c r="G261" s="187" t="s">
        <v>82</v>
      </c>
      <c r="H261" s="187"/>
      <c r="I261" s="188" t="s">
        <v>3737</v>
      </c>
      <c r="J261" s="189">
        <v>0</v>
      </c>
      <c r="K261" s="189">
        <v>1100</v>
      </c>
      <c r="L261" s="189" t="s">
        <v>263</v>
      </c>
      <c r="M261" s="189" t="s">
        <v>711</v>
      </c>
      <c r="N261" s="247" t="str">
        <f>IF(A261="k_CalRelNum_Cnt_u8[12]","CalRelNum",IF(F261="Y","TunSetCalSeg",IF(F261="N", "FlashCalSeg", "")))</f>
        <v>TunSetCalSeg</v>
      </c>
    </row>
    <row r="262" spans="1:14" ht="71.400000000000006" x14ac:dyDescent="0.25">
      <c r="A262" s="190" t="s">
        <v>894</v>
      </c>
      <c r="B262" s="184" t="s">
        <v>895</v>
      </c>
      <c r="C262" s="185" t="s">
        <v>837</v>
      </c>
      <c r="D262" s="185" t="s">
        <v>838</v>
      </c>
      <c r="E262" s="185"/>
      <c r="F262" s="186" t="s">
        <v>81</v>
      </c>
      <c r="G262" s="187" t="s">
        <v>82</v>
      </c>
      <c r="H262" s="187"/>
      <c r="I262" s="188" t="s">
        <v>3738</v>
      </c>
      <c r="J262" s="189">
        <v>0</v>
      </c>
      <c r="K262" s="189">
        <v>1</v>
      </c>
      <c r="L262" s="189" t="s">
        <v>260</v>
      </c>
      <c r="M262" s="189" t="s">
        <v>257</v>
      </c>
      <c r="N262" s="247" t="str">
        <f>IF(A262="k_CalRelNum_Cnt_u8[12]","CalRelNum",IF(F262="Y","TunSetCalSeg",IF(F262="N", "FlashCalSeg", "")))</f>
        <v>TunSetCalSeg</v>
      </c>
    </row>
    <row r="263" spans="1:14" ht="71.400000000000006" x14ac:dyDescent="0.25">
      <c r="A263" s="190" t="s">
        <v>879</v>
      </c>
      <c r="B263" s="184" t="s">
        <v>880</v>
      </c>
      <c r="C263" s="185" t="s">
        <v>837</v>
      </c>
      <c r="D263" s="185" t="s">
        <v>838</v>
      </c>
      <c r="E263" s="185"/>
      <c r="F263" s="186" t="s">
        <v>82</v>
      </c>
      <c r="G263" s="187" t="s">
        <v>82</v>
      </c>
      <c r="H263" s="187"/>
      <c r="I263" s="188" t="s">
        <v>3734</v>
      </c>
      <c r="J263" s="189">
        <v>0</v>
      </c>
      <c r="K263" s="189">
        <v>1</v>
      </c>
      <c r="L263" s="189" t="s">
        <v>260</v>
      </c>
      <c r="M263" s="189" t="s">
        <v>257</v>
      </c>
      <c r="N263" s="247" t="str">
        <f>IF(A263="k_CalRelNum_Cnt_u8[12]","CalRelNum",IF(F263="Y","TunSetCalSeg",IF(F263="N", "FlashCalSeg", "")))</f>
        <v>FlashCalSeg</v>
      </c>
    </row>
    <row r="264" spans="1:14" ht="71.400000000000006" x14ac:dyDescent="0.25">
      <c r="A264" s="190" t="s">
        <v>886</v>
      </c>
      <c r="B264" s="248" t="s">
        <v>887</v>
      </c>
      <c r="C264" s="185" t="s">
        <v>837</v>
      </c>
      <c r="D264" s="185" t="s">
        <v>838</v>
      </c>
      <c r="E264" s="185"/>
      <c r="F264" s="186" t="s">
        <v>81</v>
      </c>
      <c r="G264" s="187" t="s">
        <v>82</v>
      </c>
      <c r="H264" s="187"/>
      <c r="I264" s="188" t="s">
        <v>3726</v>
      </c>
      <c r="J264" s="189">
        <v>0</v>
      </c>
      <c r="K264" s="189">
        <v>3</v>
      </c>
      <c r="L264" s="189" t="s">
        <v>260</v>
      </c>
      <c r="M264" s="189" t="s">
        <v>370</v>
      </c>
      <c r="N264" s="247" t="str">
        <f>IF(A264="k_CalRelNum_Cnt_u8[12]","CalRelNum",IF(F264="Y","TunSetCalSeg",IF(F264="N", "FlashCalSeg", "")))</f>
        <v>TunSetCalSeg</v>
      </c>
    </row>
    <row r="265" spans="1:14" ht="71.400000000000006" x14ac:dyDescent="0.25">
      <c r="A265" s="190" t="s">
        <v>853</v>
      </c>
      <c r="B265" s="248" t="s">
        <v>854</v>
      </c>
      <c r="C265" s="185" t="s">
        <v>837</v>
      </c>
      <c r="D265" s="185" t="s">
        <v>838</v>
      </c>
      <c r="E265" s="185"/>
      <c r="F265" s="186" t="s">
        <v>81</v>
      </c>
      <c r="G265" s="187" t="s">
        <v>82</v>
      </c>
      <c r="H265" s="187"/>
      <c r="I265" s="188" t="s">
        <v>3726</v>
      </c>
      <c r="J265" s="189">
        <v>0</v>
      </c>
      <c r="K265" s="189">
        <v>1</v>
      </c>
      <c r="L265" s="189" t="s">
        <v>260</v>
      </c>
      <c r="M265" s="189" t="s">
        <v>370</v>
      </c>
      <c r="N265" s="247" t="str">
        <f>IF(A265="k_CalRelNum_Cnt_u8[12]","CalRelNum",IF(F265="Y","TunSetCalSeg",IF(F265="N", "FlashCalSeg", "")))</f>
        <v>TunSetCalSeg</v>
      </c>
    </row>
    <row r="266" spans="1:14" ht="71.400000000000006" x14ac:dyDescent="0.25">
      <c r="A266" s="190" t="s">
        <v>885</v>
      </c>
      <c r="B266" s="248" t="s">
        <v>878</v>
      </c>
      <c r="C266" s="185" t="s">
        <v>837</v>
      </c>
      <c r="D266" s="185" t="s">
        <v>838</v>
      </c>
      <c r="E266" s="185"/>
      <c r="F266" s="186" t="s">
        <v>82</v>
      </c>
      <c r="G266" s="187" t="s">
        <v>82</v>
      </c>
      <c r="H266" s="187"/>
      <c r="I266" s="188" t="s">
        <v>3733</v>
      </c>
      <c r="J266" s="189">
        <v>0</v>
      </c>
      <c r="K266" s="189">
        <v>1</v>
      </c>
      <c r="L266" s="189" t="s">
        <v>260</v>
      </c>
      <c r="M266" s="189" t="s">
        <v>374</v>
      </c>
      <c r="N266" s="247" t="str">
        <f>IF(A266="k_CalRelNum_Cnt_u8[12]","CalRelNum",IF(F266="Y","TunSetCalSeg",IF(F266="N", "FlashCalSeg", "")))</f>
        <v>FlashCalSeg</v>
      </c>
    </row>
    <row r="267" spans="1:14" ht="71.400000000000006" x14ac:dyDescent="0.25">
      <c r="A267" s="190" t="s">
        <v>883</v>
      </c>
      <c r="B267" s="184" t="s">
        <v>884</v>
      </c>
      <c r="C267" s="185" t="s">
        <v>837</v>
      </c>
      <c r="D267" s="185" t="s">
        <v>838</v>
      </c>
      <c r="E267" s="185"/>
      <c r="F267" s="186" t="s">
        <v>82</v>
      </c>
      <c r="G267" s="187" t="s">
        <v>82</v>
      </c>
      <c r="H267" s="187"/>
      <c r="I267" s="188" t="s">
        <v>3736</v>
      </c>
      <c r="J267" s="189">
        <v>0</v>
      </c>
      <c r="K267" s="189">
        <v>8</v>
      </c>
      <c r="L267" s="189" t="s">
        <v>256</v>
      </c>
      <c r="M267" s="189" t="s">
        <v>257</v>
      </c>
      <c r="N267" s="247" t="str">
        <f>IF(A267="k_CalRelNum_Cnt_u8[12]","CalRelNum",IF(F267="Y","TunSetCalSeg",IF(F267="N", "FlashCalSeg", "")))</f>
        <v>FlashCalSeg</v>
      </c>
    </row>
    <row r="268" spans="1:14" ht="71.400000000000006" x14ac:dyDescent="0.25">
      <c r="A268" s="190" t="s">
        <v>872</v>
      </c>
      <c r="B268" s="184" t="s">
        <v>873</v>
      </c>
      <c r="C268" s="185" t="s">
        <v>837</v>
      </c>
      <c r="D268" s="185" t="s">
        <v>838</v>
      </c>
      <c r="E268" s="185"/>
      <c r="F268" s="186" t="s">
        <v>81</v>
      </c>
      <c r="G268" s="187" t="s">
        <v>82</v>
      </c>
      <c r="H268" s="187"/>
      <c r="I268" s="188" t="s">
        <v>3731</v>
      </c>
      <c r="J268" s="189">
        <v>0</v>
      </c>
      <c r="K268" s="189">
        <v>0.05</v>
      </c>
      <c r="L268" s="189" t="s">
        <v>677</v>
      </c>
      <c r="M268" s="189" t="s">
        <v>874</v>
      </c>
      <c r="N268" s="247" t="str">
        <f>IF(A268="k_CalRelNum_Cnt_u8[12]","CalRelNum",IF(F268="Y","TunSetCalSeg",IF(F268="N", "FlashCalSeg", "")))</f>
        <v>TunSetCalSeg</v>
      </c>
    </row>
    <row r="269" spans="1:14" ht="71.400000000000006" x14ac:dyDescent="0.25">
      <c r="A269" s="190" t="s">
        <v>881</v>
      </c>
      <c r="B269" s="184" t="s">
        <v>882</v>
      </c>
      <c r="C269" s="185" t="s">
        <v>837</v>
      </c>
      <c r="D269" s="185" t="s">
        <v>838</v>
      </c>
      <c r="E269" s="185"/>
      <c r="F269" s="186" t="s">
        <v>82</v>
      </c>
      <c r="G269" s="187" t="s">
        <v>82</v>
      </c>
      <c r="H269" s="187"/>
      <c r="I269" s="188" t="s">
        <v>3735</v>
      </c>
      <c r="J269" s="189">
        <v>1</v>
      </c>
      <c r="K269" s="189">
        <v>100</v>
      </c>
      <c r="L269" s="189" t="s">
        <v>262</v>
      </c>
      <c r="M269" s="189" t="s">
        <v>711</v>
      </c>
      <c r="N269" s="247" t="str">
        <f>IF(A269="k_CalRelNum_Cnt_u8[12]","CalRelNum",IF(F269="Y","TunSetCalSeg",IF(F269="N", "FlashCalSeg", "")))</f>
        <v>FlashCalSeg</v>
      </c>
    </row>
    <row r="270" spans="1:14" ht="30.6" x14ac:dyDescent="0.25">
      <c r="A270" s="190" t="s">
        <v>902</v>
      </c>
      <c r="B270" s="184"/>
      <c r="C270" s="185" t="s">
        <v>903</v>
      </c>
      <c r="D270" s="185" t="s">
        <v>235</v>
      </c>
      <c r="E270" s="185"/>
      <c r="F270" s="186" t="s">
        <v>82</v>
      </c>
      <c r="G270" s="187"/>
      <c r="H270" s="187"/>
      <c r="I270" s="188" t="s">
        <v>904</v>
      </c>
      <c r="J270" s="189">
        <v>1E-4</v>
      </c>
      <c r="K270" s="189">
        <v>0.5</v>
      </c>
      <c r="L270" s="189" t="s">
        <v>905</v>
      </c>
      <c r="M270" s="189" t="s">
        <v>261</v>
      </c>
      <c r="N270" s="247" t="str">
        <f>IF(A270="k_CalRelNum_Cnt_u8[12]","CalRelNum",IF(F270="Y","TunSetCalSeg",IF(F270="N", "FlashCalSeg", "")))</f>
        <v>FlashCalSeg</v>
      </c>
    </row>
    <row r="271" spans="1:14" ht="409.6" x14ac:dyDescent="0.25">
      <c r="A271" s="190" t="s">
        <v>906</v>
      </c>
      <c r="B271" s="184"/>
      <c r="C271" s="185" t="s">
        <v>903</v>
      </c>
      <c r="D271" s="185" t="s">
        <v>235</v>
      </c>
      <c r="E271" s="185"/>
      <c r="F271" s="186" t="s">
        <v>82</v>
      </c>
      <c r="G271" s="187"/>
      <c r="H271" s="187"/>
      <c r="I271" s="188" t="s">
        <v>907</v>
      </c>
      <c r="J271" s="189" t="s">
        <v>909</v>
      </c>
      <c r="K271" s="189" t="s">
        <v>909</v>
      </c>
      <c r="L271" s="189" t="s">
        <v>424</v>
      </c>
      <c r="M271" s="189" t="s">
        <v>908</v>
      </c>
      <c r="N271" s="247" t="str">
        <f>IF(A271="k_CalRelNum_Cnt_u8[12]","CalRelNum",IF(F271="Y","TunSetCalSeg",IF(F271="N", "FlashCalSeg", "")))</f>
        <v>FlashCalSeg</v>
      </c>
    </row>
    <row r="272" spans="1:14" ht="20.399999999999999" x14ac:dyDescent="0.25">
      <c r="A272" s="190" t="s">
        <v>910</v>
      </c>
      <c r="B272" s="184"/>
      <c r="C272" s="185" t="s">
        <v>903</v>
      </c>
      <c r="D272" s="185" t="s">
        <v>235</v>
      </c>
      <c r="E272" s="185"/>
      <c r="F272" s="186" t="s">
        <v>82</v>
      </c>
      <c r="G272" s="187"/>
      <c r="H272" s="187"/>
      <c r="I272" s="188" t="s">
        <v>911</v>
      </c>
      <c r="J272" s="189" t="s">
        <v>909</v>
      </c>
      <c r="K272" s="189" t="s">
        <v>909</v>
      </c>
      <c r="L272" s="189" t="s">
        <v>912</v>
      </c>
      <c r="M272" s="189" t="s">
        <v>913</v>
      </c>
      <c r="N272" s="247" t="str">
        <f>IF(A272="k_CalRelNum_Cnt_u8[12]","CalRelNum",IF(F272="Y","TunSetCalSeg",IF(F272="N", "FlashCalSeg", "")))</f>
        <v>FlashCalSeg</v>
      </c>
    </row>
    <row r="273" spans="1:14" ht="40.799999999999997" x14ac:dyDescent="0.25">
      <c r="A273" s="190" t="s">
        <v>4544</v>
      </c>
      <c r="B273" s="184"/>
      <c r="C273" s="185" t="s">
        <v>903</v>
      </c>
      <c r="D273" s="185" t="s">
        <v>235</v>
      </c>
      <c r="E273" s="185"/>
      <c r="F273" s="186" t="s">
        <v>82</v>
      </c>
      <c r="G273" s="187"/>
      <c r="H273" s="187"/>
      <c r="I273" s="188" t="s">
        <v>4545</v>
      </c>
      <c r="J273" s="189" t="s">
        <v>909</v>
      </c>
      <c r="K273" s="189" t="s">
        <v>909</v>
      </c>
      <c r="L273" s="189" t="s">
        <v>424</v>
      </c>
      <c r="M273" s="189" t="s">
        <v>4546</v>
      </c>
      <c r="N273" s="247" t="str">
        <f>IF(A273="k_CalRelNum_Cnt_u8[12]","CalRelNum",IF(F273="Y","TunSetCalSeg",IF(F273="N", "FlashCalSeg", "")))</f>
        <v>FlashCalSeg</v>
      </c>
    </row>
    <row r="274" spans="1:14" ht="20.399999999999999" x14ac:dyDescent="0.25">
      <c r="A274" s="190" t="s">
        <v>4550</v>
      </c>
      <c r="B274" s="184"/>
      <c r="C274" s="185" t="s">
        <v>903</v>
      </c>
      <c r="D274" s="185" t="s">
        <v>235</v>
      </c>
      <c r="E274" s="185"/>
      <c r="F274" s="186"/>
      <c r="G274" s="187"/>
      <c r="H274" s="187"/>
      <c r="I274" s="188">
        <v>1</v>
      </c>
      <c r="J274" s="189">
        <v>0</v>
      </c>
      <c r="K274" s="189">
        <v>65535</v>
      </c>
      <c r="L274" s="189" t="s">
        <v>424</v>
      </c>
      <c r="M274" s="189" t="s">
        <v>267</v>
      </c>
      <c r="N274" s="247" t="str">
        <f>IF(A274="k_CalRelNum_Cnt_u8[12]","CalRelNum",IF(F274="Y","TunSetCalSeg",IF(F274="N", "FlashCalSeg", "")))</f>
        <v/>
      </c>
    </row>
    <row r="275" spans="1:14" ht="20.399999999999999" x14ac:dyDescent="0.25">
      <c r="A275" s="190" t="s">
        <v>4549</v>
      </c>
      <c r="B275" s="184"/>
      <c r="C275" s="185" t="s">
        <v>903</v>
      </c>
      <c r="D275" s="185" t="s">
        <v>235</v>
      </c>
      <c r="E275" s="185"/>
      <c r="F275" s="186"/>
      <c r="G275" s="187"/>
      <c r="H275" s="187"/>
      <c r="I275" s="188">
        <v>1</v>
      </c>
      <c r="J275" s="189">
        <v>0</v>
      </c>
      <c r="K275" s="189">
        <v>65535</v>
      </c>
      <c r="L275" s="189" t="s">
        <v>424</v>
      </c>
      <c r="M275" s="189" t="s">
        <v>267</v>
      </c>
      <c r="N275" s="247" t="str">
        <f>IF(A275="k_CalRelNum_Cnt_u8[12]","CalRelNum",IF(F275="Y","TunSetCalSeg",IF(F275="N", "FlashCalSeg", "")))</f>
        <v/>
      </c>
    </row>
    <row r="276" spans="1:14" ht="20.399999999999999" x14ac:dyDescent="0.25">
      <c r="A276" s="190" t="s">
        <v>4548</v>
      </c>
      <c r="B276" s="184"/>
      <c r="C276" s="185" t="s">
        <v>903</v>
      </c>
      <c r="D276" s="185" t="s">
        <v>235</v>
      </c>
      <c r="E276" s="185"/>
      <c r="F276" s="186"/>
      <c r="G276" s="187"/>
      <c r="H276" s="187"/>
      <c r="I276" s="188">
        <v>65535</v>
      </c>
      <c r="J276" s="189">
        <v>0</v>
      </c>
      <c r="K276" s="189">
        <v>65535</v>
      </c>
      <c r="L276" s="189" t="s">
        <v>424</v>
      </c>
      <c r="M276" s="189" t="s">
        <v>267</v>
      </c>
      <c r="N276" s="247" t="str">
        <f>IF(A276="k_CalRelNum_Cnt_u8[12]","CalRelNum",IF(F276="Y","TunSetCalSeg",IF(F276="N", "FlashCalSeg", "")))</f>
        <v/>
      </c>
    </row>
    <row r="277" spans="1:14" ht="20.399999999999999" x14ac:dyDescent="0.25">
      <c r="A277" s="190" t="s">
        <v>4547</v>
      </c>
      <c r="B277" s="184"/>
      <c r="C277" s="185" t="s">
        <v>903</v>
      </c>
      <c r="D277" s="185" t="s">
        <v>235</v>
      </c>
      <c r="E277" s="185"/>
      <c r="F277" s="186"/>
      <c r="G277" s="187"/>
      <c r="H277" s="187"/>
      <c r="I277" s="188">
        <v>0</v>
      </c>
      <c r="J277" s="189">
        <v>0</v>
      </c>
      <c r="K277" s="189">
        <v>511</v>
      </c>
      <c r="L277" s="189" t="s">
        <v>424</v>
      </c>
      <c r="M277" s="189" t="s">
        <v>916</v>
      </c>
      <c r="N277" s="247" t="str">
        <f>IF(A277="k_CalRelNum_Cnt_u8[12]","CalRelNum",IF(F277="Y","TunSetCalSeg",IF(F277="N", "FlashCalSeg", "")))</f>
        <v/>
      </c>
    </row>
    <row r="278" spans="1:14" ht="367.2" x14ac:dyDescent="0.25">
      <c r="A278" s="190" t="s">
        <v>914</v>
      </c>
      <c r="B278" s="184"/>
      <c r="C278" s="185" t="s">
        <v>903</v>
      </c>
      <c r="D278" s="185" t="s">
        <v>235</v>
      </c>
      <c r="E278" s="185"/>
      <c r="F278" s="186" t="s">
        <v>82</v>
      </c>
      <c r="G278" s="187"/>
      <c r="H278" s="187"/>
      <c r="I278" s="188" t="s">
        <v>915</v>
      </c>
      <c r="J278" s="189">
        <v>0</v>
      </c>
      <c r="K278" s="189">
        <v>511</v>
      </c>
      <c r="L278" s="189" t="s">
        <v>424</v>
      </c>
      <c r="M278" s="189" t="s">
        <v>916</v>
      </c>
      <c r="N278" s="247" t="str">
        <f>IF(A278="k_CalRelNum_Cnt_u8[12]","CalRelNum",IF(F278="Y","TunSetCalSeg",IF(F278="N", "FlashCalSeg", "")))</f>
        <v>FlashCalSeg</v>
      </c>
    </row>
    <row r="279" spans="1:14" ht="20.399999999999999" x14ac:dyDescent="0.25">
      <c r="A279" s="190" t="s">
        <v>3822</v>
      </c>
      <c r="B279" s="184"/>
      <c r="C279" s="185" t="s">
        <v>3825</v>
      </c>
      <c r="D279" s="185" t="s">
        <v>223</v>
      </c>
      <c r="E279" s="185" t="s">
        <v>3824</v>
      </c>
      <c r="F279" s="186" t="s">
        <v>82</v>
      </c>
      <c r="G279" s="187" t="s">
        <v>82</v>
      </c>
      <c r="H279" s="187"/>
      <c r="I279" s="188">
        <v>5</v>
      </c>
      <c r="J279" s="189">
        <v>0</v>
      </c>
      <c r="K279" s="189">
        <v>10</v>
      </c>
      <c r="L279" s="189" t="s">
        <v>265</v>
      </c>
      <c r="M279" s="189" t="s">
        <v>261</v>
      </c>
      <c r="N279" s="247" t="str">
        <f>IF(A279="k_CalRelNum_Cnt_u8[12]","CalRelNum",IF(F279="Y","TunSetCalSeg",IF(F279="N", "FlashCalSeg", "")))</f>
        <v>FlashCalSeg</v>
      </c>
    </row>
    <row r="280" spans="1:14" ht="20.399999999999999" x14ac:dyDescent="0.25">
      <c r="A280" s="190" t="s">
        <v>3821</v>
      </c>
      <c r="B280" s="184"/>
      <c r="C280" s="185" t="s">
        <v>3825</v>
      </c>
      <c r="D280" s="185" t="s">
        <v>223</v>
      </c>
      <c r="E280" s="185" t="s">
        <v>3823</v>
      </c>
      <c r="F280" s="186" t="s">
        <v>82</v>
      </c>
      <c r="G280" s="187" t="s">
        <v>82</v>
      </c>
      <c r="H280" s="187"/>
      <c r="I280" s="188">
        <v>10</v>
      </c>
      <c r="J280" s="189">
        <v>0</v>
      </c>
      <c r="K280" s="189">
        <v>255</v>
      </c>
      <c r="L280" s="189" t="s">
        <v>311</v>
      </c>
      <c r="M280" s="189" t="s">
        <v>261</v>
      </c>
      <c r="N280" s="247" t="str">
        <f>IF(A280="k_CalRelNum_Cnt_u8[12]","CalRelNum",IF(F280="Y","TunSetCalSeg",IF(F280="N", "FlashCalSeg", "")))</f>
        <v>FlashCalSeg</v>
      </c>
    </row>
    <row r="281" spans="1:14" ht="40.799999999999997" x14ac:dyDescent="0.25">
      <c r="A281" s="190" t="s">
        <v>3636</v>
      </c>
      <c r="B281" s="184" t="s">
        <v>3637</v>
      </c>
      <c r="C281" s="185" t="s">
        <v>3627</v>
      </c>
      <c r="D281" s="185" t="s">
        <v>231</v>
      </c>
      <c r="E281" s="185" t="s">
        <v>1064</v>
      </c>
      <c r="F281" s="186" t="s">
        <v>82</v>
      </c>
      <c r="G281" s="187" t="s">
        <v>82</v>
      </c>
      <c r="H281" s="187"/>
      <c r="I281" s="252">
        <v>0.54400900100000005</v>
      </c>
      <c r="J281" s="189">
        <v>0</v>
      </c>
      <c r="K281" s="189">
        <v>20</v>
      </c>
      <c r="L281" s="189" t="s">
        <v>265</v>
      </c>
      <c r="M281" s="189" t="s">
        <v>261</v>
      </c>
      <c r="N281" s="247" t="str">
        <f>IF(A281="k_CalRelNum_Cnt_u8[12]","CalRelNum",IF(F281="Y","TunSetCalSeg",IF(F281="N", "FlashCalSeg", "")))</f>
        <v>FlashCalSeg</v>
      </c>
    </row>
    <row r="282" spans="1:14" ht="40.799999999999997" x14ac:dyDescent="0.25">
      <c r="A282" s="190" t="s">
        <v>3624</v>
      </c>
      <c r="B282" s="184" t="s">
        <v>3625</v>
      </c>
      <c r="C282" s="185" t="s">
        <v>3627</v>
      </c>
      <c r="D282" s="185" t="s">
        <v>231</v>
      </c>
      <c r="E282" s="185" t="s">
        <v>3626</v>
      </c>
      <c r="F282" s="186" t="s">
        <v>82</v>
      </c>
      <c r="G282" s="187" t="s">
        <v>82</v>
      </c>
      <c r="H282" s="187"/>
      <c r="I282" s="252">
        <v>250</v>
      </c>
      <c r="J282" s="189">
        <v>0</v>
      </c>
      <c r="K282" s="189">
        <v>250</v>
      </c>
      <c r="L282" s="189" t="s">
        <v>262</v>
      </c>
      <c r="M282" s="189" t="s">
        <v>261</v>
      </c>
      <c r="N282" s="247" t="str">
        <f>IF(A282="k_CalRelNum_Cnt_u8[12]","CalRelNum",IF(F282="Y","TunSetCalSeg",IF(F282="N", "FlashCalSeg", "")))</f>
        <v>FlashCalSeg</v>
      </c>
    </row>
    <row r="283" spans="1:14" ht="30.6" x14ac:dyDescent="0.25">
      <c r="A283" s="190" t="s">
        <v>3644</v>
      </c>
      <c r="B283" s="184" t="s">
        <v>1070</v>
      </c>
      <c r="C283" s="185" t="s">
        <v>3627</v>
      </c>
      <c r="D283" s="185" t="s">
        <v>231</v>
      </c>
      <c r="E283" s="185" t="s">
        <v>3645</v>
      </c>
      <c r="F283" s="186" t="s">
        <v>82</v>
      </c>
      <c r="G283" s="187" t="s">
        <v>82</v>
      </c>
      <c r="H283" s="187"/>
      <c r="I283" s="188">
        <v>0.54347999999999996</v>
      </c>
      <c r="J283" s="189">
        <v>0</v>
      </c>
      <c r="K283" s="189">
        <v>20</v>
      </c>
      <c r="L283" s="189" t="s">
        <v>265</v>
      </c>
      <c r="M283" s="189" t="s">
        <v>261</v>
      </c>
      <c r="N283" s="247" t="str">
        <f>IF(A283="k_CalRelNum_Cnt_u8[12]","CalRelNum",IF(F283="Y","TunSetCalSeg",IF(F283="N", "FlashCalSeg", "")))</f>
        <v>FlashCalSeg</v>
      </c>
    </row>
    <row r="284" spans="1:14" ht="40.799999999999997" x14ac:dyDescent="0.25">
      <c r="A284" s="190" t="s">
        <v>3631</v>
      </c>
      <c r="B284" s="184" t="s">
        <v>3632</v>
      </c>
      <c r="C284" s="185" t="s">
        <v>3627</v>
      </c>
      <c r="D284" s="185" t="s">
        <v>231</v>
      </c>
      <c r="E284" s="185" t="s">
        <v>1064</v>
      </c>
      <c r="F284" s="186" t="s">
        <v>82</v>
      </c>
      <c r="G284" s="187" t="s">
        <v>82</v>
      </c>
      <c r="H284" s="187"/>
      <c r="I284" s="188">
        <v>0.27067764900000002</v>
      </c>
      <c r="J284" s="189">
        <v>0</v>
      </c>
      <c r="K284" s="189">
        <v>20</v>
      </c>
      <c r="L284" s="189" t="s">
        <v>265</v>
      </c>
      <c r="M284" s="189" t="s">
        <v>261</v>
      </c>
      <c r="N284" s="247" t="str">
        <f>IF(A284="k_CalRelNum_Cnt_u8[12]","CalRelNum",IF(F284="Y","TunSetCalSeg",IF(F284="N", "FlashCalSeg", "")))</f>
        <v>FlashCalSeg</v>
      </c>
    </row>
    <row r="285" spans="1:14" ht="30.6" x14ac:dyDescent="0.25">
      <c r="A285" s="190" t="s">
        <v>3633</v>
      </c>
      <c r="B285" s="184" t="s">
        <v>3634</v>
      </c>
      <c r="C285" s="185" t="s">
        <v>3627</v>
      </c>
      <c r="D285" s="185" t="s">
        <v>231</v>
      </c>
      <c r="E285" s="185" t="s">
        <v>3635</v>
      </c>
      <c r="F285" s="186" t="s">
        <v>82</v>
      </c>
      <c r="G285" s="187" t="s">
        <v>82</v>
      </c>
      <c r="H285" s="187"/>
      <c r="I285" s="188">
        <v>1.9894367999999999E-2</v>
      </c>
      <c r="J285" s="189">
        <v>0</v>
      </c>
      <c r="K285" s="189">
        <v>10</v>
      </c>
      <c r="L285" s="189" t="s">
        <v>262</v>
      </c>
      <c r="M285" s="189" t="s">
        <v>261</v>
      </c>
      <c r="N285" s="247" t="str">
        <f>IF(A285="k_CalRelNum_Cnt_u8[12]","CalRelNum",IF(F285="Y","TunSetCalSeg",IF(F285="N", "FlashCalSeg", "")))</f>
        <v>FlashCalSeg</v>
      </c>
    </row>
    <row r="286" spans="1:14" ht="20.399999999999999" x14ac:dyDescent="0.25">
      <c r="A286" s="190" t="s">
        <v>3641</v>
      </c>
      <c r="B286" s="184" t="s">
        <v>1065</v>
      </c>
      <c r="C286" s="185" t="s">
        <v>3627</v>
      </c>
      <c r="D286" s="185" t="s">
        <v>231</v>
      </c>
      <c r="E286" s="185" t="s">
        <v>1066</v>
      </c>
      <c r="F286" s="186" t="s">
        <v>82</v>
      </c>
      <c r="G286" s="187" t="s">
        <v>82</v>
      </c>
      <c r="H286" s="187"/>
      <c r="I286" s="188">
        <v>2.609375</v>
      </c>
      <c r="J286" s="189">
        <v>0</v>
      </c>
      <c r="K286" s="189">
        <v>20</v>
      </c>
      <c r="L286" s="189" t="s">
        <v>265</v>
      </c>
      <c r="M286" s="189" t="s">
        <v>261</v>
      </c>
      <c r="N286" s="247" t="str">
        <f>IF(A286="k_CalRelNum_Cnt_u8[12]","CalRelNum",IF(F286="Y","TunSetCalSeg",IF(F286="N", "FlashCalSeg", "")))</f>
        <v>FlashCalSeg</v>
      </c>
    </row>
    <row r="287" spans="1:14" ht="20.399999999999999" x14ac:dyDescent="0.25">
      <c r="A287" s="190" t="s">
        <v>3638</v>
      </c>
      <c r="B287" s="184" t="s">
        <v>3639</v>
      </c>
      <c r="C287" s="185" t="s">
        <v>3627</v>
      </c>
      <c r="D287" s="185" t="s">
        <v>231</v>
      </c>
      <c r="E287" s="185" t="s">
        <v>3640</v>
      </c>
      <c r="F287" s="186" t="s">
        <v>82</v>
      </c>
      <c r="G287" s="187" t="s">
        <v>82</v>
      </c>
      <c r="H287" s="187"/>
      <c r="I287" s="188">
        <v>1.9894367999999999E-2</v>
      </c>
      <c r="J287" s="189">
        <v>0</v>
      </c>
      <c r="K287" s="189">
        <v>10</v>
      </c>
      <c r="L287" s="189" t="s">
        <v>262</v>
      </c>
      <c r="M287" s="189" t="s">
        <v>261</v>
      </c>
      <c r="N287" s="247" t="str">
        <f>IF(A287="k_CalRelNum_Cnt_u8[12]","CalRelNum",IF(F287="Y","TunSetCalSeg",IF(F287="N", "FlashCalSeg", "")))</f>
        <v>FlashCalSeg</v>
      </c>
    </row>
    <row r="288" spans="1:14" ht="20.399999999999999" x14ac:dyDescent="0.25">
      <c r="A288" s="190" t="s">
        <v>3630</v>
      </c>
      <c r="B288" s="184" t="s">
        <v>1062</v>
      </c>
      <c r="C288" s="185" t="s">
        <v>3627</v>
      </c>
      <c r="D288" s="185" t="s">
        <v>231</v>
      </c>
      <c r="E288" s="185" t="s">
        <v>1063</v>
      </c>
      <c r="F288" s="186" t="s">
        <v>82</v>
      </c>
      <c r="G288" s="187" t="s">
        <v>82</v>
      </c>
      <c r="H288" s="187"/>
      <c r="I288" s="188">
        <v>2.609375</v>
      </c>
      <c r="J288" s="189">
        <v>0</v>
      </c>
      <c r="K288" s="189">
        <v>20</v>
      </c>
      <c r="L288" s="189" t="s">
        <v>265</v>
      </c>
      <c r="M288" s="189" t="s">
        <v>261</v>
      </c>
      <c r="N288" s="247" t="str">
        <f>IF(A288="k_CalRelNum_Cnt_u8[12]","CalRelNum",IF(F288="Y","TunSetCalSeg",IF(F288="N", "FlashCalSeg", "")))</f>
        <v>FlashCalSeg</v>
      </c>
    </row>
    <row r="289" spans="1:14" ht="20.399999999999999" x14ac:dyDescent="0.25">
      <c r="A289" s="190" t="s">
        <v>3628</v>
      </c>
      <c r="B289" s="184" t="s">
        <v>1061</v>
      </c>
      <c r="C289" s="185" t="s">
        <v>3627</v>
      </c>
      <c r="D289" s="185" t="s">
        <v>231</v>
      </c>
      <c r="E289" s="185" t="s">
        <v>3629</v>
      </c>
      <c r="F289" s="186" t="s">
        <v>82</v>
      </c>
      <c r="G289" s="187" t="s">
        <v>82</v>
      </c>
      <c r="H289" s="187"/>
      <c r="I289" s="188">
        <v>19.021739</v>
      </c>
      <c r="J289" s="189">
        <v>0</v>
      </c>
      <c r="K289" s="189">
        <v>20</v>
      </c>
      <c r="L289" s="189" t="s">
        <v>265</v>
      </c>
      <c r="M289" s="189" t="s">
        <v>261</v>
      </c>
      <c r="N289" s="247" t="str">
        <f>IF(A289="k_CalRelNum_Cnt_u8[12]","CalRelNum",IF(F289="Y","TunSetCalSeg",IF(F289="N", "FlashCalSeg", "")))</f>
        <v>FlashCalSeg</v>
      </c>
    </row>
    <row r="290" spans="1:14" ht="91.8" x14ac:dyDescent="0.25">
      <c r="A290" s="190" t="s">
        <v>3703</v>
      </c>
      <c r="B290" s="184" t="s">
        <v>1067</v>
      </c>
      <c r="C290" s="185" t="s">
        <v>3627</v>
      </c>
      <c r="D290" s="185" t="s">
        <v>231</v>
      </c>
      <c r="E290" s="185" t="s">
        <v>1068</v>
      </c>
      <c r="F290" s="186" t="s">
        <v>82</v>
      </c>
      <c r="G290" s="187" t="s">
        <v>82</v>
      </c>
      <c r="H290" s="187"/>
      <c r="I290" s="188" t="s">
        <v>3642</v>
      </c>
      <c r="J290" s="189">
        <v>0</v>
      </c>
      <c r="K290" s="189">
        <v>37.5</v>
      </c>
      <c r="L290" s="189" t="s">
        <v>262</v>
      </c>
      <c r="M290" s="189" t="s">
        <v>258</v>
      </c>
      <c r="N290" s="247" t="str">
        <f>IF(A290="k_CalRelNum_Cnt_u8[12]","CalRelNum",IF(F290="Y","TunSetCalSeg",IF(F290="N", "FlashCalSeg", "")))</f>
        <v>FlashCalSeg</v>
      </c>
    </row>
    <row r="291" spans="1:14" ht="81.599999999999994" x14ac:dyDescent="0.25">
      <c r="A291" s="190" t="s">
        <v>3704</v>
      </c>
      <c r="B291" s="184" t="s">
        <v>1069</v>
      </c>
      <c r="C291" s="185" t="s">
        <v>3627</v>
      </c>
      <c r="D291" s="185" t="s">
        <v>231</v>
      </c>
      <c r="E291" s="185" t="s">
        <v>3643</v>
      </c>
      <c r="F291" s="186" t="s">
        <v>82</v>
      </c>
      <c r="G291" s="187" t="s">
        <v>82</v>
      </c>
      <c r="H291" s="187"/>
      <c r="I291" s="188" t="s">
        <v>4005</v>
      </c>
      <c r="J291" s="189">
        <v>0</v>
      </c>
      <c r="K291" s="189">
        <v>20</v>
      </c>
      <c r="L291" s="189" t="s">
        <v>265</v>
      </c>
      <c r="M291" s="189" t="s">
        <v>414</v>
      </c>
      <c r="N291" s="247" t="str">
        <f>IF(A291="k_CalRelNum_Cnt_u8[12]","CalRelNum",IF(F291="Y","TunSetCalSeg",IF(F291="N", "FlashCalSeg", "")))</f>
        <v>FlashCalSeg</v>
      </c>
    </row>
    <row r="292" spans="1:14" x14ac:dyDescent="0.25">
      <c r="A292" s="190" t="s">
        <v>4791</v>
      </c>
      <c r="B292" s="184" t="s">
        <v>4792</v>
      </c>
      <c r="C292" s="185" t="s">
        <v>3555</v>
      </c>
      <c r="D292" s="185" t="s">
        <v>240</v>
      </c>
      <c r="E292" s="185"/>
      <c r="F292" s="186" t="s">
        <v>82</v>
      </c>
      <c r="G292" s="187" t="s">
        <v>82</v>
      </c>
      <c r="H292" s="187"/>
      <c r="I292" s="188">
        <v>0</v>
      </c>
      <c r="J292" s="189">
        <v>0</v>
      </c>
      <c r="K292" s="189">
        <v>1</v>
      </c>
      <c r="L292" s="189" t="s">
        <v>271</v>
      </c>
      <c r="M292" s="189" t="s">
        <v>1003</v>
      </c>
      <c r="N292" s="247" t="str">
        <f>IF(A292="k_CalRelNum_Cnt_u8[12]","CalRelNum",IF(F292="Y","TunSetCalSeg",IF(F292="N", "FlashCalSeg", "")))</f>
        <v>FlashCalSeg</v>
      </c>
    </row>
    <row r="293" spans="1:14" x14ac:dyDescent="0.25">
      <c r="A293" s="190" t="s">
        <v>4812</v>
      </c>
      <c r="B293" s="184" t="s">
        <v>4813</v>
      </c>
      <c r="C293" s="185" t="s">
        <v>3555</v>
      </c>
      <c r="D293" s="185" t="s">
        <v>240</v>
      </c>
      <c r="E293" s="185"/>
      <c r="F293" s="186" t="s">
        <v>82</v>
      </c>
      <c r="G293" s="187" t="s">
        <v>82</v>
      </c>
      <c r="H293" s="187"/>
      <c r="I293" s="188">
        <v>45</v>
      </c>
      <c r="J293" s="189">
        <v>0</v>
      </c>
      <c r="K293" s="189">
        <v>3600</v>
      </c>
      <c r="L293" s="189" t="s">
        <v>1866</v>
      </c>
      <c r="M293" s="189" t="s">
        <v>261</v>
      </c>
      <c r="N293" s="247" t="str">
        <f>IF(A293="k_CalRelNum_Cnt_u8[12]","CalRelNum",IF(F293="Y","TunSetCalSeg",IF(F293="N", "FlashCalSeg", "")))</f>
        <v>FlashCalSeg</v>
      </c>
    </row>
    <row r="294" spans="1:14" x14ac:dyDescent="0.25">
      <c r="A294" s="190" t="s">
        <v>4814</v>
      </c>
      <c r="B294" s="184" t="s">
        <v>4815</v>
      </c>
      <c r="C294" s="185" t="s">
        <v>3555</v>
      </c>
      <c r="D294" s="185" t="s">
        <v>240</v>
      </c>
      <c r="E294" s="185"/>
      <c r="F294" s="186" t="s">
        <v>82</v>
      </c>
      <c r="G294" s="187" t="s">
        <v>82</v>
      </c>
      <c r="H294" s="187"/>
      <c r="I294" s="188">
        <v>0.5</v>
      </c>
      <c r="J294" s="189">
        <v>0</v>
      </c>
      <c r="K294" s="189">
        <v>1</v>
      </c>
      <c r="L294" s="189" t="s">
        <v>1353</v>
      </c>
      <c r="M294" s="189" t="s">
        <v>1028</v>
      </c>
      <c r="N294" s="247" t="str">
        <f>IF(A294="k_CalRelNum_Cnt_u8[12]","CalRelNum",IF(F294="Y","TunSetCalSeg",IF(F294="N", "FlashCalSeg", "")))</f>
        <v>FlashCalSeg</v>
      </c>
    </row>
    <row r="295" spans="1:14" x14ac:dyDescent="0.25">
      <c r="A295" s="190" t="s">
        <v>4793</v>
      </c>
      <c r="B295" s="184" t="s">
        <v>4794</v>
      </c>
      <c r="C295" s="185" t="s">
        <v>3555</v>
      </c>
      <c r="D295" s="185" t="s">
        <v>240</v>
      </c>
      <c r="E295" s="185"/>
      <c r="F295" s="186" t="s">
        <v>82</v>
      </c>
      <c r="G295" s="187" t="s">
        <v>82</v>
      </c>
      <c r="H295" s="187"/>
      <c r="I295" s="188">
        <v>0</v>
      </c>
      <c r="J295" s="189">
        <v>0</v>
      </c>
      <c r="K295" s="189">
        <v>1</v>
      </c>
      <c r="L295" s="189" t="s">
        <v>271</v>
      </c>
      <c r="M295" s="189" t="s">
        <v>1003</v>
      </c>
      <c r="N295" s="247" t="str">
        <f>IF(A295="k_CalRelNum_Cnt_u8[12]","CalRelNum",IF(F295="Y","TunSetCalSeg",IF(F295="N", "FlashCalSeg", "")))</f>
        <v>FlashCalSeg</v>
      </c>
    </row>
    <row r="296" spans="1:14" x14ac:dyDescent="0.25">
      <c r="A296" s="190" t="s">
        <v>4818</v>
      </c>
      <c r="B296" s="184" t="s">
        <v>4819</v>
      </c>
      <c r="C296" s="185" t="s">
        <v>3555</v>
      </c>
      <c r="D296" s="185" t="s">
        <v>240</v>
      </c>
      <c r="E296" s="185"/>
      <c r="F296" s="186" t="s">
        <v>82</v>
      </c>
      <c r="G296" s="187" t="s">
        <v>82</v>
      </c>
      <c r="H296" s="187"/>
      <c r="I296" s="188">
        <v>127</v>
      </c>
      <c r="J296" s="189">
        <v>0</v>
      </c>
      <c r="K296" s="189">
        <v>255</v>
      </c>
      <c r="L296" s="189" t="s">
        <v>271</v>
      </c>
      <c r="M296" s="189" t="s">
        <v>1003</v>
      </c>
      <c r="N296" s="247" t="str">
        <f>IF(A296="k_CalRelNum_Cnt_u8[12]","CalRelNum",IF(F296="Y","TunSetCalSeg",IF(F296="N", "FlashCalSeg", "")))</f>
        <v>FlashCalSeg</v>
      </c>
    </row>
    <row r="297" spans="1:14" x14ac:dyDescent="0.25">
      <c r="A297" s="190" t="s">
        <v>4795</v>
      </c>
      <c r="B297" s="184"/>
      <c r="C297" s="185" t="s">
        <v>3555</v>
      </c>
      <c r="D297" s="185" t="s">
        <v>240</v>
      </c>
      <c r="E297" s="185"/>
      <c r="F297" s="186" t="s">
        <v>82</v>
      </c>
      <c r="G297" s="187" t="s">
        <v>82</v>
      </c>
      <c r="H297" s="187"/>
      <c r="I297" s="188" t="s">
        <v>4796</v>
      </c>
      <c r="J297" s="189"/>
      <c r="K297" s="189"/>
      <c r="L297" s="189"/>
      <c r="M297" s="189" t="s">
        <v>604</v>
      </c>
      <c r="N297" s="247" t="str">
        <f>IF(A297="k_CalRelNum_Cnt_u8[12]","CalRelNum",IF(F297="Y","TunSetCalSeg",IF(F297="N", "FlashCalSeg", "")))</f>
        <v>FlashCalSeg</v>
      </c>
    </row>
    <row r="298" spans="1:14" x14ac:dyDescent="0.25">
      <c r="A298" s="190" t="s">
        <v>4799</v>
      </c>
      <c r="B298" s="184"/>
      <c r="C298" s="185" t="s">
        <v>3555</v>
      </c>
      <c r="D298" s="185" t="s">
        <v>240</v>
      </c>
      <c r="E298" s="185"/>
      <c r="F298" s="186" t="s">
        <v>82</v>
      </c>
      <c r="G298" s="187" t="s">
        <v>82</v>
      </c>
      <c r="H298" s="187"/>
      <c r="I298" s="188">
        <v>1</v>
      </c>
      <c r="J298" s="189">
        <v>0</v>
      </c>
      <c r="K298" s="189">
        <v>256</v>
      </c>
      <c r="L298" s="189" t="s">
        <v>271</v>
      </c>
      <c r="M298" s="189" t="s">
        <v>271</v>
      </c>
      <c r="N298" s="247" t="str">
        <f>IF(A298="k_CalRelNum_Cnt_u8[12]","CalRelNum",IF(F298="Y","TunSetCalSeg",IF(F298="N", "FlashCalSeg", "")))</f>
        <v>FlashCalSeg</v>
      </c>
    </row>
    <row r="299" spans="1:14" x14ac:dyDescent="0.25">
      <c r="A299" s="190" t="s">
        <v>4798</v>
      </c>
      <c r="B299" s="184"/>
      <c r="C299" s="185" t="s">
        <v>3555</v>
      </c>
      <c r="D299" s="185" t="s">
        <v>240</v>
      </c>
      <c r="E299" s="185"/>
      <c r="F299" s="186" t="s">
        <v>82</v>
      </c>
      <c r="G299" s="187" t="s">
        <v>82</v>
      </c>
      <c r="H299" s="187"/>
      <c r="I299" s="188">
        <v>4</v>
      </c>
      <c r="J299" s="189">
        <v>0</v>
      </c>
      <c r="K299" s="189">
        <v>256</v>
      </c>
      <c r="L299" s="189" t="s">
        <v>271</v>
      </c>
      <c r="M299" s="189" t="s">
        <v>271</v>
      </c>
      <c r="N299" s="247" t="str">
        <f>IF(A299="k_CalRelNum_Cnt_u8[12]","CalRelNum",IF(F299="Y","TunSetCalSeg",IF(F299="N", "FlashCalSeg", "")))</f>
        <v>FlashCalSeg</v>
      </c>
    </row>
    <row r="300" spans="1:14" x14ac:dyDescent="0.25">
      <c r="A300" s="190" t="s">
        <v>4797</v>
      </c>
      <c r="B300" s="184"/>
      <c r="C300" s="185" t="s">
        <v>3555</v>
      </c>
      <c r="D300" s="185" t="s">
        <v>240</v>
      </c>
      <c r="E300" s="185"/>
      <c r="F300" s="186" t="s">
        <v>82</v>
      </c>
      <c r="G300" s="187" t="s">
        <v>82</v>
      </c>
      <c r="H300" s="187"/>
      <c r="I300" s="188">
        <v>256</v>
      </c>
      <c r="J300" s="189">
        <v>0</v>
      </c>
      <c r="K300" s="189">
        <v>256</v>
      </c>
      <c r="L300" s="189" t="s">
        <v>271</v>
      </c>
      <c r="M300" s="189" t="s">
        <v>271</v>
      </c>
      <c r="N300" s="247" t="str">
        <f>IF(A300="k_CalRelNum_Cnt_u8[12]","CalRelNum",IF(F300="Y","TunSetCalSeg",IF(F300="N", "FlashCalSeg", "")))</f>
        <v>FlashCalSeg</v>
      </c>
    </row>
    <row r="301" spans="1:14" x14ac:dyDescent="0.25">
      <c r="A301" s="190" t="s">
        <v>4800</v>
      </c>
      <c r="B301" s="184"/>
      <c r="C301" s="185" t="s">
        <v>3555</v>
      </c>
      <c r="D301" s="185" t="s">
        <v>240</v>
      </c>
      <c r="E301" s="185"/>
      <c r="F301" s="186" t="s">
        <v>82</v>
      </c>
      <c r="G301" s="187" t="s">
        <v>82</v>
      </c>
      <c r="H301" s="187"/>
      <c r="I301" s="188" t="s">
        <v>4796</v>
      </c>
      <c r="J301" s="189"/>
      <c r="K301" s="189"/>
      <c r="L301" s="189"/>
      <c r="M301" s="189" t="s">
        <v>604</v>
      </c>
      <c r="N301" s="247" t="str">
        <f>IF(A301="k_CalRelNum_Cnt_u8[12]","CalRelNum",IF(F301="Y","TunSetCalSeg",IF(F301="N", "FlashCalSeg", "")))</f>
        <v>FlashCalSeg</v>
      </c>
    </row>
    <row r="302" spans="1:14" x14ac:dyDescent="0.25">
      <c r="A302" s="190" t="s">
        <v>4803</v>
      </c>
      <c r="B302" s="184"/>
      <c r="C302" s="185" t="s">
        <v>3555</v>
      </c>
      <c r="D302" s="185" t="s">
        <v>240</v>
      </c>
      <c r="E302" s="185"/>
      <c r="F302" s="186" t="s">
        <v>82</v>
      </c>
      <c r="G302" s="187" t="s">
        <v>82</v>
      </c>
      <c r="H302" s="187"/>
      <c r="I302" s="188">
        <v>1</v>
      </c>
      <c r="J302" s="189">
        <v>0</v>
      </c>
      <c r="K302" s="189">
        <v>256</v>
      </c>
      <c r="L302" s="189" t="s">
        <v>271</v>
      </c>
      <c r="M302" s="189" t="s">
        <v>271</v>
      </c>
      <c r="N302" s="247" t="str">
        <f>IF(A302="k_CalRelNum_Cnt_u8[12]","CalRelNum",IF(F302="Y","TunSetCalSeg",IF(F302="N", "FlashCalSeg", "")))</f>
        <v>FlashCalSeg</v>
      </c>
    </row>
    <row r="303" spans="1:14" x14ac:dyDescent="0.25">
      <c r="A303" s="190" t="s">
        <v>4802</v>
      </c>
      <c r="B303" s="184"/>
      <c r="C303" s="185" t="s">
        <v>3555</v>
      </c>
      <c r="D303" s="185" t="s">
        <v>240</v>
      </c>
      <c r="E303" s="185"/>
      <c r="F303" s="186" t="s">
        <v>82</v>
      </c>
      <c r="G303" s="187" t="s">
        <v>82</v>
      </c>
      <c r="H303" s="187"/>
      <c r="I303" s="188">
        <v>4</v>
      </c>
      <c r="J303" s="189">
        <v>0</v>
      </c>
      <c r="K303" s="189">
        <v>256</v>
      </c>
      <c r="L303" s="189" t="s">
        <v>271</v>
      </c>
      <c r="M303" s="189" t="s">
        <v>271</v>
      </c>
      <c r="N303" s="247" t="str">
        <f>IF(A303="k_CalRelNum_Cnt_u8[12]","CalRelNum",IF(F303="Y","TunSetCalSeg",IF(F303="N", "FlashCalSeg", "")))</f>
        <v>FlashCalSeg</v>
      </c>
    </row>
    <row r="304" spans="1:14" x14ac:dyDescent="0.25">
      <c r="A304" s="190" t="s">
        <v>4801</v>
      </c>
      <c r="B304" s="184"/>
      <c r="C304" s="185" t="s">
        <v>3555</v>
      </c>
      <c r="D304" s="185" t="s">
        <v>240</v>
      </c>
      <c r="E304" s="185"/>
      <c r="F304" s="186" t="s">
        <v>82</v>
      </c>
      <c r="G304" s="187" t="s">
        <v>82</v>
      </c>
      <c r="H304" s="187"/>
      <c r="I304" s="188">
        <v>256</v>
      </c>
      <c r="J304" s="189">
        <v>0</v>
      </c>
      <c r="K304" s="189">
        <v>256</v>
      </c>
      <c r="L304" s="189" t="s">
        <v>271</v>
      </c>
      <c r="M304" s="189" t="s">
        <v>271</v>
      </c>
      <c r="N304" s="247" t="str">
        <f>IF(A304="k_CalRelNum_Cnt_u8[12]","CalRelNum",IF(F304="Y","TunSetCalSeg",IF(F304="N", "FlashCalSeg", "")))</f>
        <v>FlashCalSeg</v>
      </c>
    </row>
    <row r="305" spans="1:14" x14ac:dyDescent="0.25">
      <c r="A305" s="190" t="s">
        <v>4804</v>
      </c>
      <c r="B305" s="184"/>
      <c r="C305" s="185" t="s">
        <v>3555</v>
      </c>
      <c r="D305" s="185" t="s">
        <v>240</v>
      </c>
      <c r="E305" s="185"/>
      <c r="F305" s="186" t="s">
        <v>82</v>
      </c>
      <c r="G305" s="187" t="s">
        <v>82</v>
      </c>
      <c r="H305" s="187"/>
      <c r="I305" s="188" t="s">
        <v>4796</v>
      </c>
      <c r="J305" s="189"/>
      <c r="K305" s="189"/>
      <c r="L305" s="189"/>
      <c r="M305" s="189" t="s">
        <v>604</v>
      </c>
      <c r="N305" s="247" t="str">
        <f>IF(A305="k_CalRelNum_Cnt_u8[12]","CalRelNum",IF(F305="Y","TunSetCalSeg",IF(F305="N", "FlashCalSeg", "")))</f>
        <v>FlashCalSeg</v>
      </c>
    </row>
    <row r="306" spans="1:14" x14ac:dyDescent="0.25">
      <c r="A306" s="190" t="s">
        <v>4807</v>
      </c>
      <c r="B306" s="184"/>
      <c r="C306" s="185" t="s">
        <v>3555</v>
      </c>
      <c r="D306" s="185" t="s">
        <v>240</v>
      </c>
      <c r="E306" s="185"/>
      <c r="F306" s="186" t="s">
        <v>82</v>
      </c>
      <c r="G306" s="187" t="s">
        <v>82</v>
      </c>
      <c r="H306" s="187"/>
      <c r="I306" s="188">
        <v>1</v>
      </c>
      <c r="J306" s="189">
        <v>0</v>
      </c>
      <c r="K306" s="189">
        <v>256</v>
      </c>
      <c r="L306" s="189" t="s">
        <v>271</v>
      </c>
      <c r="M306" s="189" t="s">
        <v>271</v>
      </c>
      <c r="N306" s="247" t="str">
        <f>IF(A306="k_CalRelNum_Cnt_u8[12]","CalRelNum",IF(F306="Y","TunSetCalSeg",IF(F306="N", "FlashCalSeg", "")))</f>
        <v>FlashCalSeg</v>
      </c>
    </row>
    <row r="307" spans="1:14" x14ac:dyDescent="0.25">
      <c r="A307" s="190" t="s">
        <v>4806</v>
      </c>
      <c r="B307" s="184"/>
      <c r="C307" s="185" t="s">
        <v>3555</v>
      </c>
      <c r="D307" s="185" t="s">
        <v>240</v>
      </c>
      <c r="E307" s="185"/>
      <c r="F307" s="186" t="s">
        <v>82</v>
      </c>
      <c r="G307" s="187" t="s">
        <v>82</v>
      </c>
      <c r="H307" s="187"/>
      <c r="I307" s="188">
        <v>4</v>
      </c>
      <c r="J307" s="189">
        <v>0</v>
      </c>
      <c r="K307" s="189">
        <v>256</v>
      </c>
      <c r="L307" s="189" t="s">
        <v>271</v>
      </c>
      <c r="M307" s="189" t="s">
        <v>271</v>
      </c>
      <c r="N307" s="247" t="str">
        <f>IF(A307="k_CalRelNum_Cnt_u8[12]","CalRelNum",IF(F307="Y","TunSetCalSeg",IF(F307="N", "FlashCalSeg", "")))</f>
        <v>FlashCalSeg</v>
      </c>
    </row>
    <row r="308" spans="1:14" x14ac:dyDescent="0.25">
      <c r="A308" s="190" t="s">
        <v>4805</v>
      </c>
      <c r="B308" s="184"/>
      <c r="C308" s="185" t="s">
        <v>3555</v>
      </c>
      <c r="D308" s="185" t="s">
        <v>240</v>
      </c>
      <c r="E308" s="185"/>
      <c r="F308" s="186" t="s">
        <v>82</v>
      </c>
      <c r="G308" s="187" t="s">
        <v>82</v>
      </c>
      <c r="H308" s="187"/>
      <c r="I308" s="188">
        <v>256</v>
      </c>
      <c r="J308" s="189">
        <v>0</v>
      </c>
      <c r="K308" s="189">
        <v>256</v>
      </c>
      <c r="L308" s="189" t="s">
        <v>271</v>
      </c>
      <c r="M308" s="189" t="s">
        <v>271</v>
      </c>
      <c r="N308" s="247" t="str">
        <f>IF(A308="k_CalRelNum_Cnt_u8[12]","CalRelNum",IF(F308="Y","TunSetCalSeg",IF(F308="N", "FlashCalSeg", "")))</f>
        <v>FlashCalSeg</v>
      </c>
    </row>
    <row r="309" spans="1:14" x14ac:dyDescent="0.25">
      <c r="A309" s="190" t="s">
        <v>4820</v>
      </c>
      <c r="B309" s="184" t="s">
        <v>4821</v>
      </c>
      <c r="C309" s="185" t="s">
        <v>3555</v>
      </c>
      <c r="D309" s="185" t="s">
        <v>240</v>
      </c>
      <c r="E309" s="185"/>
      <c r="F309" s="186" t="s">
        <v>82</v>
      </c>
      <c r="G309" s="187" t="s">
        <v>82</v>
      </c>
      <c r="H309" s="187"/>
      <c r="I309" s="188">
        <v>127</v>
      </c>
      <c r="J309" s="189">
        <v>0</v>
      </c>
      <c r="K309" s="189">
        <v>255</v>
      </c>
      <c r="L309" s="189" t="s">
        <v>271</v>
      </c>
      <c r="M309" s="189" t="s">
        <v>1003</v>
      </c>
      <c r="N309" s="247" t="str">
        <f>IF(A309="k_CalRelNum_Cnt_u8[12]","CalRelNum",IF(F309="Y","TunSetCalSeg",IF(F309="N", "FlashCalSeg", "")))</f>
        <v>FlashCalSeg</v>
      </c>
    </row>
    <row r="310" spans="1:14" x14ac:dyDescent="0.25">
      <c r="A310" s="190" t="s">
        <v>4822</v>
      </c>
      <c r="B310" s="184" t="s">
        <v>4823</v>
      </c>
      <c r="C310" s="185" t="s">
        <v>3555</v>
      </c>
      <c r="D310" s="185" t="s">
        <v>240</v>
      </c>
      <c r="E310" s="185"/>
      <c r="F310" s="186" t="s">
        <v>82</v>
      </c>
      <c r="G310" s="187" t="s">
        <v>82</v>
      </c>
      <c r="H310" s="187"/>
      <c r="I310" s="188">
        <v>127</v>
      </c>
      <c r="J310" s="189">
        <v>0</v>
      </c>
      <c r="K310" s="189">
        <v>255</v>
      </c>
      <c r="L310" s="189" t="s">
        <v>271</v>
      </c>
      <c r="M310" s="189" t="s">
        <v>1003</v>
      </c>
      <c r="N310" s="247" t="str">
        <f>IF(A310="k_CalRelNum_Cnt_u8[12]","CalRelNum",IF(F310="Y","TunSetCalSeg",IF(F310="N", "FlashCalSeg", "")))</f>
        <v>FlashCalSeg</v>
      </c>
    </row>
    <row r="311" spans="1:14" x14ac:dyDescent="0.25">
      <c r="A311" s="190" t="s">
        <v>4808</v>
      </c>
      <c r="B311" s="184"/>
      <c r="C311" s="185" t="s">
        <v>3555</v>
      </c>
      <c r="D311" s="185" t="s">
        <v>240</v>
      </c>
      <c r="E311" s="185"/>
      <c r="F311" s="186" t="s">
        <v>82</v>
      </c>
      <c r="G311" s="187" t="s">
        <v>82</v>
      </c>
      <c r="H311" s="187"/>
      <c r="I311" s="188" t="s">
        <v>4796</v>
      </c>
      <c r="J311" s="189"/>
      <c r="K311" s="189"/>
      <c r="L311" s="189"/>
      <c r="M311" s="189" t="s">
        <v>604</v>
      </c>
      <c r="N311" s="247" t="str">
        <f>IF(A311="k_CalRelNum_Cnt_u8[12]","CalRelNum",IF(F311="Y","TunSetCalSeg",IF(F311="N", "FlashCalSeg", "")))</f>
        <v>FlashCalSeg</v>
      </c>
    </row>
    <row r="312" spans="1:14" x14ac:dyDescent="0.25">
      <c r="A312" s="190" t="s">
        <v>4811</v>
      </c>
      <c r="B312" s="184"/>
      <c r="C312" s="185" t="s">
        <v>3555</v>
      </c>
      <c r="D312" s="185" t="s">
        <v>240</v>
      </c>
      <c r="E312" s="185"/>
      <c r="F312" s="186" t="s">
        <v>82</v>
      </c>
      <c r="G312" s="187" t="s">
        <v>82</v>
      </c>
      <c r="H312" s="187"/>
      <c r="I312" s="188">
        <v>1</v>
      </c>
      <c r="J312" s="189">
        <v>0</v>
      </c>
      <c r="K312" s="189">
        <v>256</v>
      </c>
      <c r="L312" s="189" t="s">
        <v>271</v>
      </c>
      <c r="M312" s="189" t="s">
        <v>271</v>
      </c>
      <c r="N312" s="247" t="str">
        <f>IF(A312="k_CalRelNum_Cnt_u8[12]","CalRelNum",IF(F312="Y","TunSetCalSeg",IF(F312="N", "FlashCalSeg", "")))</f>
        <v>FlashCalSeg</v>
      </c>
    </row>
    <row r="313" spans="1:14" x14ac:dyDescent="0.25">
      <c r="A313" s="190" t="s">
        <v>4810</v>
      </c>
      <c r="B313" s="184"/>
      <c r="C313" s="185" t="s">
        <v>3555</v>
      </c>
      <c r="D313" s="185" t="s">
        <v>240</v>
      </c>
      <c r="E313" s="185"/>
      <c r="F313" s="186" t="s">
        <v>82</v>
      </c>
      <c r="G313" s="187" t="s">
        <v>82</v>
      </c>
      <c r="H313" s="187"/>
      <c r="I313" s="188">
        <v>4</v>
      </c>
      <c r="J313" s="189">
        <v>0</v>
      </c>
      <c r="K313" s="189">
        <v>256</v>
      </c>
      <c r="L313" s="189" t="s">
        <v>271</v>
      </c>
      <c r="M313" s="189" t="s">
        <v>271</v>
      </c>
      <c r="N313" s="247" t="str">
        <f>IF(A313="k_CalRelNum_Cnt_u8[12]","CalRelNum",IF(F313="Y","TunSetCalSeg",IF(F313="N", "FlashCalSeg", "")))</f>
        <v>FlashCalSeg</v>
      </c>
    </row>
    <row r="314" spans="1:14" x14ac:dyDescent="0.25">
      <c r="A314" s="190" t="s">
        <v>4809</v>
      </c>
      <c r="B314" s="184"/>
      <c r="C314" s="185" t="s">
        <v>3555</v>
      </c>
      <c r="D314" s="185" t="s">
        <v>240</v>
      </c>
      <c r="E314" s="185"/>
      <c r="F314" s="186" t="s">
        <v>82</v>
      </c>
      <c r="G314" s="187" t="s">
        <v>82</v>
      </c>
      <c r="H314" s="187"/>
      <c r="I314" s="188">
        <v>256</v>
      </c>
      <c r="J314" s="189">
        <v>0</v>
      </c>
      <c r="K314" s="189">
        <v>256</v>
      </c>
      <c r="L314" s="189" t="s">
        <v>271</v>
      </c>
      <c r="M314" s="189" t="s">
        <v>271</v>
      </c>
      <c r="N314" s="247" t="str">
        <f>IF(A314="k_CalRelNum_Cnt_u8[12]","CalRelNum",IF(F314="Y","TunSetCalSeg",IF(F314="N", "FlashCalSeg", "")))</f>
        <v>FlashCalSeg</v>
      </c>
    </row>
    <row r="315" spans="1:14" x14ac:dyDescent="0.25">
      <c r="A315" s="190" t="s">
        <v>4816</v>
      </c>
      <c r="B315" s="184" t="s">
        <v>4817</v>
      </c>
      <c r="C315" s="185" t="s">
        <v>3555</v>
      </c>
      <c r="D315" s="185" t="s">
        <v>240</v>
      </c>
      <c r="E315" s="185"/>
      <c r="F315" s="186" t="s">
        <v>82</v>
      </c>
      <c r="G315" s="187" t="s">
        <v>82</v>
      </c>
      <c r="H315" s="187"/>
      <c r="I315" s="188">
        <v>0.5</v>
      </c>
      <c r="J315" s="189">
        <v>0</v>
      </c>
      <c r="K315" s="189">
        <v>1</v>
      </c>
      <c r="L315" s="189" t="s">
        <v>1353</v>
      </c>
      <c r="M315" s="189" t="s">
        <v>1028</v>
      </c>
      <c r="N315" s="247" t="str">
        <f>IF(A315="k_CalRelNum_Cnt_u8[12]","CalRelNum",IF(F315="Y","TunSetCalSeg",IF(F315="N", "FlashCalSeg", "")))</f>
        <v>FlashCalSeg</v>
      </c>
    </row>
    <row r="316" spans="1:14" x14ac:dyDescent="0.25">
      <c r="A316" s="190" t="s">
        <v>4824</v>
      </c>
      <c r="B316" s="184" t="s">
        <v>4825</v>
      </c>
      <c r="C316" s="185" t="s">
        <v>3555</v>
      </c>
      <c r="D316" s="185" t="s">
        <v>240</v>
      </c>
      <c r="E316" s="185"/>
      <c r="F316" s="186" t="s">
        <v>82</v>
      </c>
      <c r="G316" s="187" t="s">
        <v>82</v>
      </c>
      <c r="H316" s="187"/>
      <c r="I316" s="188">
        <v>0</v>
      </c>
      <c r="J316" s="189">
        <v>0</v>
      </c>
      <c r="K316" s="189">
        <v>1</v>
      </c>
      <c r="L316" s="189" t="s">
        <v>271</v>
      </c>
      <c r="M316" s="189" t="s">
        <v>261</v>
      </c>
      <c r="N316" s="247" t="str">
        <f>IF(A316="k_CalRelNum_Cnt_u8[12]","CalRelNum",IF(F316="Y","TunSetCalSeg",IF(F316="N", "FlashCalSeg", "")))</f>
        <v>FlashCalSeg</v>
      </c>
    </row>
    <row r="317" spans="1:14" ht="30.6" x14ac:dyDescent="0.25">
      <c r="A317" s="190" t="s">
        <v>917</v>
      </c>
      <c r="B317" s="184" t="s">
        <v>918</v>
      </c>
      <c r="C317" s="185" t="s">
        <v>920</v>
      </c>
      <c r="D317" s="185" t="s">
        <v>199</v>
      </c>
      <c r="E317" s="185" t="s">
        <v>919</v>
      </c>
      <c r="F317" s="186" t="s">
        <v>82</v>
      </c>
      <c r="G317" s="187" t="s">
        <v>82</v>
      </c>
      <c r="H317" s="187"/>
      <c r="I317" s="188">
        <v>5.0000000000000001E-3</v>
      </c>
      <c r="J317" s="189">
        <v>0</v>
      </c>
      <c r="K317" s="189">
        <v>0.02</v>
      </c>
      <c r="L317" s="189" t="s">
        <v>921</v>
      </c>
      <c r="M317" s="189" t="s">
        <v>261</v>
      </c>
      <c r="N317" s="247" t="str">
        <f>IF(A317="k_CalRelNum_Cnt_u8[12]","CalRelNum",IF(F317="Y","TunSetCalSeg",IF(F317="N", "FlashCalSeg", "")))</f>
        <v>FlashCalSeg</v>
      </c>
    </row>
    <row r="318" spans="1:14" ht="30.6" x14ac:dyDescent="0.25">
      <c r="A318" s="190" t="s">
        <v>922</v>
      </c>
      <c r="B318" s="184" t="s">
        <v>923</v>
      </c>
      <c r="C318" s="185" t="s">
        <v>920</v>
      </c>
      <c r="D318" s="185" t="s">
        <v>199</v>
      </c>
      <c r="E318" s="185" t="s">
        <v>924</v>
      </c>
      <c r="F318" s="186" t="s">
        <v>82</v>
      </c>
      <c r="G318" s="187" t="s">
        <v>82</v>
      </c>
      <c r="H318" s="187"/>
      <c r="I318" s="188">
        <v>10</v>
      </c>
      <c r="J318" s="189">
        <v>0</v>
      </c>
      <c r="K318" s="189">
        <v>25</v>
      </c>
      <c r="L318" s="189" t="s">
        <v>925</v>
      </c>
      <c r="M318" s="189" t="s">
        <v>261</v>
      </c>
      <c r="N318" s="247" t="str">
        <f>IF(A318="k_CalRelNum_Cnt_u8[12]","CalRelNum",IF(F318="Y","TunSetCalSeg",IF(F318="N", "FlashCalSeg", "")))</f>
        <v>FlashCalSeg</v>
      </c>
    </row>
    <row r="319" spans="1:14" ht="30.6" x14ac:dyDescent="0.25">
      <c r="A319" s="190" t="s">
        <v>930</v>
      </c>
      <c r="B319" s="184" t="s">
        <v>931</v>
      </c>
      <c r="C319" s="185" t="s">
        <v>928</v>
      </c>
      <c r="D319" s="185" t="s">
        <v>208</v>
      </c>
      <c r="E319" s="185"/>
      <c r="F319" s="186" t="s">
        <v>81</v>
      </c>
      <c r="G319" s="187" t="s">
        <v>82</v>
      </c>
      <c r="H319" s="187"/>
      <c r="I319" s="188">
        <v>100</v>
      </c>
      <c r="J319" s="189">
        <v>0</v>
      </c>
      <c r="K319" s="189">
        <v>819</v>
      </c>
      <c r="L319" s="189" t="s">
        <v>268</v>
      </c>
      <c r="M319" s="189" t="s">
        <v>711</v>
      </c>
      <c r="N319" s="247" t="str">
        <f>IF(A319="k_CalRelNum_Cnt_u8[12]","CalRelNum",IF(F319="Y","TunSetCalSeg",IF(F319="N", "FlashCalSeg", "")))</f>
        <v>TunSetCalSeg</v>
      </c>
    </row>
    <row r="320" spans="1:14" ht="30.6" x14ac:dyDescent="0.25">
      <c r="A320" s="190" t="s">
        <v>960</v>
      </c>
      <c r="B320" s="184" t="s">
        <v>961</v>
      </c>
      <c r="C320" s="185" t="s">
        <v>928</v>
      </c>
      <c r="D320" s="185" t="s">
        <v>208</v>
      </c>
      <c r="E320" s="185"/>
      <c r="F320" s="186" t="s">
        <v>81</v>
      </c>
      <c r="G320" s="187" t="s">
        <v>82</v>
      </c>
      <c r="H320" s="187"/>
      <c r="I320" s="188">
        <v>0</v>
      </c>
      <c r="J320" s="189">
        <v>0</v>
      </c>
      <c r="K320" s="189">
        <v>10</v>
      </c>
      <c r="L320" s="189" t="s">
        <v>265</v>
      </c>
      <c r="M320" s="189" t="s">
        <v>370</v>
      </c>
      <c r="N320" s="247" t="str">
        <f>IF(A320="k_CalRelNum_Cnt_u8[12]","CalRelNum",IF(F320="Y","TunSetCalSeg",IF(F320="N", "FlashCalSeg", "")))</f>
        <v>TunSetCalSeg</v>
      </c>
    </row>
    <row r="321" spans="1:14" ht="30.6" x14ac:dyDescent="0.25">
      <c r="A321" s="190" t="s">
        <v>965</v>
      </c>
      <c r="B321" s="184" t="s">
        <v>966</v>
      </c>
      <c r="C321" s="185" t="s">
        <v>928</v>
      </c>
      <c r="D321" s="185" t="s">
        <v>208</v>
      </c>
      <c r="E321" s="185"/>
      <c r="F321" s="186" t="s">
        <v>81</v>
      </c>
      <c r="G321" s="187" t="s">
        <v>82</v>
      </c>
      <c r="H321" s="187"/>
      <c r="I321" s="188">
        <v>20583</v>
      </c>
      <c r="J321" s="189">
        <v>82</v>
      </c>
      <c r="K321" s="189">
        <v>30573</v>
      </c>
      <c r="L321" s="189" t="s">
        <v>260</v>
      </c>
      <c r="M321" s="189" t="s">
        <v>267</v>
      </c>
      <c r="N321" s="247" t="str">
        <f>IF(A321="k_CalRelNum_Cnt_u8[12]","CalRelNum",IF(F321="Y","TunSetCalSeg",IF(F321="N", "FlashCalSeg", "")))</f>
        <v>TunSetCalSeg</v>
      </c>
    </row>
    <row r="322" spans="1:14" ht="30.6" x14ac:dyDescent="0.25">
      <c r="A322" s="190" t="s">
        <v>967</v>
      </c>
      <c r="B322" s="184" t="s">
        <v>968</v>
      </c>
      <c r="C322" s="185" t="s">
        <v>928</v>
      </c>
      <c r="D322" s="185" t="s">
        <v>208</v>
      </c>
      <c r="E322" s="185"/>
      <c r="F322" s="186" t="s">
        <v>81</v>
      </c>
      <c r="G322" s="187" t="s">
        <v>82</v>
      </c>
      <c r="H322" s="187"/>
      <c r="I322" s="188">
        <v>3991</v>
      </c>
      <c r="J322" s="189">
        <v>82</v>
      </c>
      <c r="K322" s="189">
        <v>30573</v>
      </c>
      <c r="L322" s="189" t="s">
        <v>260</v>
      </c>
      <c r="M322" s="189" t="s">
        <v>267</v>
      </c>
      <c r="N322" s="247" t="str">
        <f>IF(A322="k_CalRelNum_Cnt_u8[12]","CalRelNum",IF(F322="Y","TunSetCalSeg",IF(F322="N", "FlashCalSeg", "")))</f>
        <v>TunSetCalSeg</v>
      </c>
    </row>
    <row r="323" spans="1:14" ht="30.6" x14ac:dyDescent="0.25">
      <c r="A323" s="190" t="s">
        <v>985</v>
      </c>
      <c r="B323" s="184" t="s">
        <v>986</v>
      </c>
      <c r="C323" s="185" t="s">
        <v>928</v>
      </c>
      <c r="D323" s="185" t="s">
        <v>208</v>
      </c>
      <c r="E323" s="185"/>
      <c r="F323" s="186" t="s">
        <v>81</v>
      </c>
      <c r="G323" s="187" t="s">
        <v>82</v>
      </c>
      <c r="H323" s="187"/>
      <c r="I323" s="188">
        <v>30</v>
      </c>
      <c r="J323" s="189">
        <v>0</v>
      </c>
      <c r="K323" s="189">
        <v>255</v>
      </c>
      <c r="L323" s="189" t="s">
        <v>311</v>
      </c>
      <c r="M323" s="189" t="s">
        <v>370</v>
      </c>
      <c r="N323" s="247" t="str">
        <f>IF(A323="k_CalRelNum_Cnt_u8[12]","CalRelNum",IF(F323="Y","TunSetCalSeg",IF(F323="N", "FlashCalSeg", "")))</f>
        <v>TunSetCalSeg</v>
      </c>
    </row>
    <row r="324" spans="1:14" ht="30.6" x14ac:dyDescent="0.25">
      <c r="A324" s="190" t="s">
        <v>4562</v>
      </c>
      <c r="B324" s="184" t="s">
        <v>4563</v>
      </c>
      <c r="C324" s="185" t="s">
        <v>928</v>
      </c>
      <c r="D324" s="185" t="s">
        <v>208</v>
      </c>
      <c r="E324" s="185"/>
      <c r="F324" s="186" t="s">
        <v>82</v>
      </c>
      <c r="G324" s="187" t="s">
        <v>82</v>
      </c>
      <c r="H324" s="187"/>
      <c r="I324" s="188" t="b">
        <v>0</v>
      </c>
      <c r="J324" s="189" t="b">
        <v>0</v>
      </c>
      <c r="K324" s="189" t="b">
        <v>1</v>
      </c>
      <c r="L324" s="189" t="s">
        <v>695</v>
      </c>
      <c r="M324" s="189" t="s">
        <v>501</v>
      </c>
      <c r="N324" s="247" t="str">
        <f>IF(A324="k_CalRelNum_Cnt_u8[12]","CalRelNum",IF(F324="Y","TunSetCalSeg",IF(F324="N", "FlashCalSeg", "")))</f>
        <v>FlashCalSeg</v>
      </c>
    </row>
    <row r="325" spans="1:14" ht="30.6" x14ac:dyDescent="0.25">
      <c r="A325" s="190" t="s">
        <v>4564</v>
      </c>
      <c r="B325" s="184" t="s">
        <v>4565</v>
      </c>
      <c r="C325" s="185" t="s">
        <v>928</v>
      </c>
      <c r="D325" s="185" t="s">
        <v>208</v>
      </c>
      <c r="E325" s="185"/>
      <c r="F325" s="186" t="s">
        <v>82</v>
      </c>
      <c r="G325" s="187" t="s">
        <v>82</v>
      </c>
      <c r="H325" s="187"/>
      <c r="I325" s="188">
        <v>400</v>
      </c>
      <c r="J325" s="189">
        <v>0</v>
      </c>
      <c r="K325" s="189">
        <v>1200</v>
      </c>
      <c r="L325" s="189" t="s">
        <v>1180</v>
      </c>
      <c r="M325" s="189" t="s">
        <v>261</v>
      </c>
      <c r="N325" s="247" t="str">
        <f>IF(A325="k_CalRelNum_Cnt_u8[12]","CalRelNum",IF(F325="Y","TunSetCalSeg",IF(F325="N", "FlashCalSeg", "")))</f>
        <v>FlashCalSeg</v>
      </c>
    </row>
    <row r="326" spans="1:14" ht="30.6" x14ac:dyDescent="0.25">
      <c r="A326" s="190" t="s">
        <v>958</v>
      </c>
      <c r="B326" s="184" t="s">
        <v>959</v>
      </c>
      <c r="C326" s="185" t="s">
        <v>928</v>
      </c>
      <c r="D326" s="185" t="s">
        <v>208</v>
      </c>
      <c r="E326" s="185"/>
      <c r="F326" s="186" t="s">
        <v>81</v>
      </c>
      <c r="G326" s="187" t="s">
        <v>82</v>
      </c>
      <c r="H326" s="187"/>
      <c r="I326" s="188">
        <v>20583</v>
      </c>
      <c r="J326" s="189">
        <v>82</v>
      </c>
      <c r="K326" s="189">
        <v>30573</v>
      </c>
      <c r="L326" s="189" t="s">
        <v>260</v>
      </c>
      <c r="M326" s="189" t="s">
        <v>267</v>
      </c>
      <c r="N326" s="247" t="str">
        <f>IF(A326="k_CalRelNum_Cnt_u8[12]","CalRelNum",IF(F326="Y","TunSetCalSeg",IF(F326="N", "FlashCalSeg", "")))</f>
        <v>TunSetCalSeg</v>
      </c>
    </row>
    <row r="327" spans="1:14" ht="30.6" x14ac:dyDescent="0.25">
      <c r="A327" s="190" t="s">
        <v>946</v>
      </c>
      <c r="B327" s="184" t="s">
        <v>947</v>
      </c>
      <c r="C327" s="185" t="s">
        <v>928</v>
      </c>
      <c r="D327" s="185" t="s">
        <v>208</v>
      </c>
      <c r="E327" s="185"/>
      <c r="F327" s="186" t="s">
        <v>81</v>
      </c>
      <c r="G327" s="187" t="s">
        <v>82</v>
      </c>
      <c r="H327" s="187"/>
      <c r="I327" s="188">
        <v>600</v>
      </c>
      <c r="J327" s="189">
        <v>0</v>
      </c>
      <c r="K327" s="189">
        <v>1440</v>
      </c>
      <c r="L327" s="189" t="s">
        <v>268</v>
      </c>
      <c r="M327" s="189" t="s">
        <v>711</v>
      </c>
      <c r="N327" s="247" t="str">
        <f>IF(A327="k_CalRelNum_Cnt_u8[12]","CalRelNum",IF(F327="Y","TunSetCalSeg",IF(F327="N", "FlashCalSeg", "")))</f>
        <v>TunSetCalSeg</v>
      </c>
    </row>
    <row r="328" spans="1:14" ht="30.6" x14ac:dyDescent="0.25">
      <c r="A328" s="190" t="s">
        <v>942</v>
      </c>
      <c r="B328" s="184" t="s">
        <v>943</v>
      </c>
      <c r="C328" s="185" t="s">
        <v>928</v>
      </c>
      <c r="D328" s="185" t="s">
        <v>208</v>
      </c>
      <c r="E328" s="185"/>
      <c r="F328" s="186" t="s">
        <v>81</v>
      </c>
      <c r="G328" s="187" t="s">
        <v>82</v>
      </c>
      <c r="H328" s="187"/>
      <c r="I328" s="188">
        <v>3</v>
      </c>
      <c r="J328" s="189">
        <v>0</v>
      </c>
      <c r="K328" s="189">
        <v>819</v>
      </c>
      <c r="L328" s="189" t="s">
        <v>268</v>
      </c>
      <c r="M328" s="189" t="s">
        <v>711</v>
      </c>
      <c r="N328" s="247" t="str">
        <f>IF(A328="k_CalRelNum_Cnt_u8[12]","CalRelNum",IF(F328="Y","TunSetCalSeg",IF(F328="N", "FlashCalSeg", "")))</f>
        <v>TunSetCalSeg</v>
      </c>
    </row>
    <row r="329" spans="1:14" ht="30.6" x14ac:dyDescent="0.25">
      <c r="A329" s="190" t="s">
        <v>926</v>
      </c>
      <c r="B329" s="184" t="s">
        <v>927</v>
      </c>
      <c r="C329" s="185" t="s">
        <v>928</v>
      </c>
      <c r="D329" s="185" t="s">
        <v>208</v>
      </c>
      <c r="E329" s="185"/>
      <c r="F329" s="186" t="s">
        <v>81</v>
      </c>
      <c r="G329" s="187" t="s">
        <v>82</v>
      </c>
      <c r="H329" s="187"/>
      <c r="I329" s="188" t="b">
        <v>0</v>
      </c>
      <c r="J329" s="189">
        <v>0</v>
      </c>
      <c r="K329" s="189">
        <v>1</v>
      </c>
      <c r="L329" s="189" t="s">
        <v>271</v>
      </c>
      <c r="M329" s="189" t="s">
        <v>929</v>
      </c>
      <c r="N329" s="247" t="str">
        <f>IF(A329="k_CalRelNum_Cnt_u8[12]","CalRelNum",IF(F329="Y","TunSetCalSeg",IF(F329="N", "FlashCalSeg", "")))</f>
        <v>TunSetCalSeg</v>
      </c>
    </row>
    <row r="330" spans="1:14" ht="30.6" x14ac:dyDescent="0.25">
      <c r="A330" s="190" t="s">
        <v>940</v>
      </c>
      <c r="B330" s="184" t="s">
        <v>941</v>
      </c>
      <c r="C330" s="185" t="s">
        <v>928</v>
      </c>
      <c r="D330" s="185" t="s">
        <v>208</v>
      </c>
      <c r="E330" s="185"/>
      <c r="F330" s="186" t="s">
        <v>81</v>
      </c>
      <c r="G330" s="187" t="s">
        <v>82</v>
      </c>
      <c r="H330" s="187"/>
      <c r="I330" s="188">
        <v>1.95E-2</v>
      </c>
      <c r="J330" s="189">
        <v>0</v>
      </c>
      <c r="K330" s="189">
        <v>0.25</v>
      </c>
      <c r="L330" s="189" t="s">
        <v>677</v>
      </c>
      <c r="M330" s="189" t="s">
        <v>733</v>
      </c>
      <c r="N330" s="247" t="str">
        <f>IF(A330="k_CalRelNum_Cnt_u8[12]","CalRelNum",IF(F330="Y","TunSetCalSeg",IF(F330="N", "FlashCalSeg", "")))</f>
        <v>TunSetCalSeg</v>
      </c>
    </row>
    <row r="331" spans="1:14" ht="40.799999999999997" x14ac:dyDescent="0.25">
      <c r="A331" s="190" t="s">
        <v>982</v>
      </c>
      <c r="B331" s="184" t="s">
        <v>983</v>
      </c>
      <c r="C331" s="185" t="s">
        <v>928</v>
      </c>
      <c r="D331" s="185" t="s">
        <v>208</v>
      </c>
      <c r="E331" s="185"/>
      <c r="F331" s="186" t="s">
        <v>81</v>
      </c>
      <c r="G331" s="187" t="s">
        <v>82</v>
      </c>
      <c r="H331" s="187" t="s">
        <v>984</v>
      </c>
      <c r="I331" s="188" t="s">
        <v>957</v>
      </c>
      <c r="J331" s="189">
        <v>0</v>
      </c>
      <c r="K331" s="189">
        <v>255</v>
      </c>
      <c r="L331" s="189" t="s">
        <v>311</v>
      </c>
      <c r="M331" s="189" t="s">
        <v>370</v>
      </c>
      <c r="N331" s="247" t="str">
        <f>IF(A331="k_CalRelNum_Cnt_u8[12]","CalRelNum",IF(F331="Y","TunSetCalSeg",IF(F331="N", "FlashCalSeg", "")))</f>
        <v>TunSetCalSeg</v>
      </c>
    </row>
    <row r="332" spans="1:14" ht="61.2" x14ac:dyDescent="0.25">
      <c r="A332" s="190" t="s">
        <v>954</v>
      </c>
      <c r="B332" s="184" t="s">
        <v>955</v>
      </c>
      <c r="C332" s="185" t="s">
        <v>928</v>
      </c>
      <c r="D332" s="185" t="s">
        <v>208</v>
      </c>
      <c r="E332" s="185"/>
      <c r="F332" s="186" t="s">
        <v>81</v>
      </c>
      <c r="G332" s="187" t="s">
        <v>82</v>
      </c>
      <c r="H332" s="187" t="s">
        <v>956</v>
      </c>
      <c r="I332" s="188" t="s">
        <v>957</v>
      </c>
      <c r="J332" s="189">
        <v>0</v>
      </c>
      <c r="K332" s="189">
        <v>255</v>
      </c>
      <c r="L332" s="189" t="s">
        <v>311</v>
      </c>
      <c r="M332" s="189" t="s">
        <v>370</v>
      </c>
      <c r="N332" s="247" t="str">
        <f>IF(A332="k_CalRelNum_Cnt_u8[12]","CalRelNum",IF(F332="Y","TunSetCalSeg",IF(F332="N", "FlashCalSeg", "")))</f>
        <v>TunSetCalSeg</v>
      </c>
    </row>
    <row r="333" spans="1:14" ht="30.6" x14ac:dyDescent="0.25">
      <c r="A333" s="190" t="s">
        <v>932</v>
      </c>
      <c r="B333" s="184" t="s">
        <v>933</v>
      </c>
      <c r="C333" s="185" t="s">
        <v>928</v>
      </c>
      <c r="D333" s="185" t="s">
        <v>208</v>
      </c>
      <c r="E333" s="185"/>
      <c r="F333" s="186" t="s">
        <v>81</v>
      </c>
      <c r="G333" s="187" t="s">
        <v>82</v>
      </c>
      <c r="H333" s="187" t="s">
        <v>934</v>
      </c>
      <c r="I333" s="188" t="s">
        <v>935</v>
      </c>
      <c r="J333" s="189">
        <v>0</v>
      </c>
      <c r="K333" s="189">
        <v>180</v>
      </c>
      <c r="L333" s="189" t="s">
        <v>268</v>
      </c>
      <c r="M333" s="189" t="s">
        <v>711</v>
      </c>
      <c r="N333" s="247" t="str">
        <f>IF(A333="k_CalRelNum_Cnt_u8[12]","CalRelNum",IF(F333="Y","TunSetCalSeg",IF(F333="N", "FlashCalSeg", "")))</f>
        <v>TunSetCalSeg</v>
      </c>
    </row>
    <row r="334" spans="1:14" ht="30.6" x14ac:dyDescent="0.25">
      <c r="A334" s="190" t="s">
        <v>936</v>
      </c>
      <c r="B334" s="184" t="s">
        <v>937</v>
      </c>
      <c r="C334" s="185" t="s">
        <v>928</v>
      </c>
      <c r="D334" s="185" t="s">
        <v>208</v>
      </c>
      <c r="E334" s="185"/>
      <c r="F334" s="186" t="s">
        <v>81</v>
      </c>
      <c r="G334" s="187" t="s">
        <v>82</v>
      </c>
      <c r="H334" s="187" t="s">
        <v>938</v>
      </c>
      <c r="I334" s="188" t="s">
        <v>939</v>
      </c>
      <c r="J334" s="189">
        <v>0</v>
      </c>
      <c r="K334" s="189">
        <v>4095</v>
      </c>
      <c r="L334" s="189" t="s">
        <v>263</v>
      </c>
      <c r="M334" s="189" t="s">
        <v>711</v>
      </c>
      <c r="N334" s="247" t="str">
        <f>IF(A334="k_CalRelNum_Cnt_u8[12]","CalRelNum",IF(F334="Y","TunSetCalSeg",IF(F334="N", "FlashCalSeg", "")))</f>
        <v>TunSetCalSeg</v>
      </c>
    </row>
    <row r="335" spans="1:14" ht="30.6" x14ac:dyDescent="0.25">
      <c r="A335" s="190" t="s">
        <v>962</v>
      </c>
      <c r="B335" s="184" t="s">
        <v>963</v>
      </c>
      <c r="C335" s="185" t="s">
        <v>928</v>
      </c>
      <c r="D335" s="185" t="s">
        <v>208</v>
      </c>
      <c r="E335" s="185"/>
      <c r="F335" s="186" t="s">
        <v>81</v>
      </c>
      <c r="G335" s="187" t="s">
        <v>82</v>
      </c>
      <c r="H335" s="187"/>
      <c r="I335" s="188" t="s">
        <v>964</v>
      </c>
      <c r="J335" s="189">
        <v>0</v>
      </c>
      <c r="K335" s="189">
        <v>10</v>
      </c>
      <c r="L335" s="189" t="s">
        <v>265</v>
      </c>
      <c r="M335" s="189" t="s">
        <v>257</v>
      </c>
      <c r="N335" s="247" t="str">
        <f>IF(A335="k_CalRelNum_Cnt_u8[12]","CalRelNum",IF(F335="Y","TunSetCalSeg",IF(F335="N", "FlashCalSeg", "")))</f>
        <v>TunSetCalSeg</v>
      </c>
    </row>
    <row r="336" spans="1:14" ht="40.799999999999997" x14ac:dyDescent="0.25">
      <c r="A336" s="190" t="s">
        <v>948</v>
      </c>
      <c r="B336" s="184" t="s">
        <v>949</v>
      </c>
      <c r="C336" s="185" t="s">
        <v>928</v>
      </c>
      <c r="D336" s="185" t="s">
        <v>208</v>
      </c>
      <c r="E336" s="185"/>
      <c r="F336" s="186" t="s">
        <v>81</v>
      </c>
      <c r="G336" s="187" t="s">
        <v>82</v>
      </c>
      <c r="H336" s="187" t="s">
        <v>950</v>
      </c>
      <c r="I336" s="188" t="s">
        <v>4044</v>
      </c>
      <c r="J336" s="189">
        <v>0</v>
      </c>
      <c r="K336" s="189">
        <v>900</v>
      </c>
      <c r="L336" s="189" t="s">
        <v>268</v>
      </c>
      <c r="M336" s="189" t="s">
        <v>711</v>
      </c>
      <c r="N336" s="247" t="str">
        <f>IF(A336="k_CalRelNum_Cnt_u8[12]","CalRelNum",IF(F336="Y","TunSetCalSeg",IF(F336="N", "FlashCalSeg", "")))</f>
        <v>TunSetCalSeg</v>
      </c>
    </row>
    <row r="337" spans="1:14" ht="30.6" x14ac:dyDescent="0.25">
      <c r="A337" s="190" t="s">
        <v>951</v>
      </c>
      <c r="B337" s="184" t="s">
        <v>952</v>
      </c>
      <c r="C337" s="185" t="s">
        <v>928</v>
      </c>
      <c r="D337" s="185" t="s">
        <v>208</v>
      </c>
      <c r="E337" s="185"/>
      <c r="F337" s="186" t="s">
        <v>81</v>
      </c>
      <c r="G337" s="187" t="s">
        <v>82</v>
      </c>
      <c r="H337" s="187" t="s">
        <v>953</v>
      </c>
      <c r="I337" s="188" t="s">
        <v>4045</v>
      </c>
      <c r="J337" s="189">
        <v>0</v>
      </c>
      <c r="K337" s="189">
        <v>1</v>
      </c>
      <c r="L337" s="189" t="s">
        <v>260</v>
      </c>
      <c r="M337" s="189" t="s">
        <v>724</v>
      </c>
      <c r="N337" s="247" t="str">
        <f>IF(A337="k_CalRelNum_Cnt_u8[12]","CalRelNum",IF(F337="Y","TunSetCalSeg",IF(F337="N", "FlashCalSeg", "")))</f>
        <v>TunSetCalSeg</v>
      </c>
    </row>
    <row r="338" spans="1:14" ht="30.6" x14ac:dyDescent="0.25">
      <c r="A338" s="190" t="s">
        <v>978</v>
      </c>
      <c r="B338" s="184" t="s">
        <v>979</v>
      </c>
      <c r="C338" s="185" t="s">
        <v>928</v>
      </c>
      <c r="D338" s="185" t="s">
        <v>208</v>
      </c>
      <c r="E338" s="185"/>
      <c r="F338" s="186" t="s">
        <v>81</v>
      </c>
      <c r="G338" s="187" t="s">
        <v>82</v>
      </c>
      <c r="H338" s="187" t="s">
        <v>980</v>
      </c>
      <c r="I338" s="188" t="s">
        <v>981</v>
      </c>
      <c r="J338" s="189">
        <v>0</v>
      </c>
      <c r="K338" s="189">
        <v>1.4999999999999999E-2</v>
      </c>
      <c r="L338" s="189" t="s">
        <v>976</v>
      </c>
      <c r="M338" s="189" t="s">
        <v>977</v>
      </c>
      <c r="N338" s="247" t="str">
        <f>IF(A338="k_CalRelNum_Cnt_u8[12]","CalRelNum",IF(F338="Y","TunSetCalSeg",IF(F338="N", "FlashCalSeg", "")))</f>
        <v>TunSetCalSeg</v>
      </c>
    </row>
    <row r="339" spans="1:14" ht="30.6" x14ac:dyDescent="0.25">
      <c r="A339" s="190" t="s">
        <v>972</v>
      </c>
      <c r="B339" s="184" t="s">
        <v>973</v>
      </c>
      <c r="C339" s="185" t="s">
        <v>928</v>
      </c>
      <c r="D339" s="185" t="s">
        <v>208</v>
      </c>
      <c r="E339" s="185"/>
      <c r="F339" s="186" t="s">
        <v>81</v>
      </c>
      <c r="G339" s="187" t="s">
        <v>82</v>
      </c>
      <c r="H339" s="187" t="s">
        <v>974</v>
      </c>
      <c r="I339" s="188" t="s">
        <v>975</v>
      </c>
      <c r="J339" s="189">
        <v>0</v>
      </c>
      <c r="K339" s="189">
        <v>1.4999999999999999E-2</v>
      </c>
      <c r="L339" s="189" t="s">
        <v>976</v>
      </c>
      <c r="M339" s="189" t="s">
        <v>977</v>
      </c>
      <c r="N339" s="247" t="str">
        <f>IF(A339="k_CalRelNum_Cnt_u8[12]","CalRelNum",IF(F339="Y","TunSetCalSeg",IF(F339="N", "FlashCalSeg", "")))</f>
        <v>TunSetCalSeg</v>
      </c>
    </row>
    <row r="340" spans="1:14" ht="40.799999999999997" x14ac:dyDescent="0.25">
      <c r="A340" s="190" t="s">
        <v>987</v>
      </c>
      <c r="B340" s="184" t="s">
        <v>988</v>
      </c>
      <c r="C340" s="185" t="s">
        <v>3550</v>
      </c>
      <c r="D340" s="185" t="s">
        <v>3551</v>
      </c>
      <c r="E340" s="185"/>
      <c r="F340" s="186" t="s">
        <v>82</v>
      </c>
      <c r="G340" s="187" t="s">
        <v>82</v>
      </c>
      <c r="H340" s="187"/>
      <c r="I340" s="188">
        <v>0.80078125</v>
      </c>
      <c r="J340" s="189">
        <v>0</v>
      </c>
      <c r="K340" s="189">
        <v>255.99609375</v>
      </c>
      <c r="L340" s="189" t="s">
        <v>260</v>
      </c>
      <c r="M340" s="189" t="s">
        <v>257</v>
      </c>
      <c r="N340" s="247" t="str">
        <f>IF(A340="k_CalRelNum_Cnt_u8[12]","CalRelNum",IF(F340="Y","TunSetCalSeg",IF(F340="N", "FlashCalSeg", "")))</f>
        <v>FlashCalSeg</v>
      </c>
    </row>
    <row r="341" spans="1:14" ht="40.799999999999997" x14ac:dyDescent="0.25">
      <c r="A341" s="190" t="s">
        <v>944</v>
      </c>
      <c r="B341" s="184" t="s">
        <v>945</v>
      </c>
      <c r="C341" s="185" t="s">
        <v>3550</v>
      </c>
      <c r="D341" s="185" t="s">
        <v>3551</v>
      </c>
      <c r="E341" s="185"/>
      <c r="F341" s="186" t="s">
        <v>81</v>
      </c>
      <c r="G341" s="187" t="s">
        <v>82</v>
      </c>
      <c r="H341" s="187"/>
      <c r="I341" s="188">
        <v>550</v>
      </c>
      <c r="J341" s="189">
        <v>0.5</v>
      </c>
      <c r="K341" s="189">
        <v>1440.11</v>
      </c>
      <c r="L341" s="189" t="s">
        <v>268</v>
      </c>
      <c r="M341" s="189" t="s">
        <v>711</v>
      </c>
      <c r="N341" s="247" t="str">
        <f>IF(A341="k_CalRelNum_Cnt_u8[12]","CalRelNum",IF(F341="Y","TunSetCalSeg",IF(F341="N", "FlashCalSeg", "")))</f>
        <v>TunSetCalSeg</v>
      </c>
    </row>
    <row r="342" spans="1:14" ht="61.2" x14ac:dyDescent="0.25">
      <c r="A342" s="190" t="s">
        <v>969</v>
      </c>
      <c r="B342" s="184" t="s">
        <v>970</v>
      </c>
      <c r="C342" s="185" t="s">
        <v>3550</v>
      </c>
      <c r="D342" s="185" t="s">
        <v>3551</v>
      </c>
      <c r="E342" s="185"/>
      <c r="F342" s="186" t="s">
        <v>81</v>
      </c>
      <c r="G342" s="187" t="s">
        <v>82</v>
      </c>
      <c r="H342" s="187" t="s">
        <v>971</v>
      </c>
      <c r="I342" s="188" t="s">
        <v>4906</v>
      </c>
      <c r="J342" s="189">
        <v>0</v>
      </c>
      <c r="K342" s="189">
        <v>360</v>
      </c>
      <c r="L342" s="189" t="s">
        <v>268</v>
      </c>
      <c r="M342" s="189" t="s">
        <v>711</v>
      </c>
      <c r="N342" s="247" t="str">
        <f>IF(A342="k_CalRelNum_Cnt_u8[12]","CalRelNum",IF(F342="Y","TunSetCalSeg",IF(F342="N", "FlashCalSeg", "")))</f>
        <v>TunSetCalSeg</v>
      </c>
    </row>
    <row r="343" spans="1:14" ht="20.399999999999999" x14ac:dyDescent="0.25">
      <c r="A343" s="190" t="s">
        <v>990</v>
      </c>
      <c r="B343" s="184" t="s">
        <v>991</v>
      </c>
      <c r="C343" s="185" t="s">
        <v>993</v>
      </c>
      <c r="D343" s="185" t="s">
        <v>186</v>
      </c>
      <c r="E343" s="185" t="s">
        <v>992</v>
      </c>
      <c r="F343" s="186" t="s">
        <v>82</v>
      </c>
      <c r="G343" s="187" t="s">
        <v>82</v>
      </c>
      <c r="H343" s="187"/>
      <c r="I343" s="188">
        <v>200</v>
      </c>
      <c r="J343" s="189">
        <v>0</v>
      </c>
      <c r="K343" s="189">
        <v>10000</v>
      </c>
      <c r="L343" s="189" t="s">
        <v>271</v>
      </c>
      <c r="M343" s="189" t="s">
        <v>994</v>
      </c>
      <c r="N343" s="247" t="str">
        <f>IF(A343="k_CalRelNum_Cnt_u8[12]","CalRelNum",IF(F343="Y","TunSetCalSeg",IF(F343="N", "FlashCalSeg", "")))</f>
        <v>FlashCalSeg</v>
      </c>
    </row>
    <row r="344" spans="1:14" ht="20.399999999999999" x14ac:dyDescent="0.25">
      <c r="A344" s="190" t="s">
        <v>3647</v>
      </c>
      <c r="B344" s="184" t="s">
        <v>4589</v>
      </c>
      <c r="C344" s="185" t="s">
        <v>993</v>
      </c>
      <c r="D344" s="185" t="s">
        <v>186</v>
      </c>
      <c r="E344" s="185"/>
      <c r="F344" s="186" t="s">
        <v>82</v>
      </c>
      <c r="G344" s="187" t="s">
        <v>82</v>
      </c>
      <c r="H344" s="187"/>
      <c r="I344" s="188" t="s">
        <v>4590</v>
      </c>
      <c r="J344" s="189"/>
      <c r="K344" s="189"/>
      <c r="L344" s="189"/>
      <c r="M344" s="189" t="s">
        <v>604</v>
      </c>
      <c r="N344" s="247" t="str">
        <f>IF(A344="k_CalRelNum_Cnt_u8[12]","CalRelNum",IF(F344="Y","TunSetCalSeg",IF(F344="N", "FlashCalSeg", "")))</f>
        <v>FlashCalSeg</v>
      </c>
    </row>
    <row r="345" spans="1:14" ht="20.399999999999999" x14ac:dyDescent="0.25">
      <c r="A345" s="190" t="s">
        <v>995</v>
      </c>
      <c r="B345" s="184" t="s">
        <v>996</v>
      </c>
      <c r="C345" s="185" t="s">
        <v>993</v>
      </c>
      <c r="D345" s="185" t="s">
        <v>186</v>
      </c>
      <c r="E345" s="185" t="s">
        <v>997</v>
      </c>
      <c r="F345" s="186" t="s">
        <v>82</v>
      </c>
      <c r="G345" s="187" t="s">
        <v>82</v>
      </c>
      <c r="H345" s="187"/>
      <c r="I345" s="188">
        <v>100</v>
      </c>
      <c r="J345" s="189">
        <v>1</v>
      </c>
      <c r="K345" s="189">
        <v>1024</v>
      </c>
      <c r="L345" s="189" t="s">
        <v>271</v>
      </c>
      <c r="M345" s="189" t="s">
        <v>267</v>
      </c>
      <c r="N345" s="247" t="str">
        <f>IF(A345="k_CalRelNum_Cnt_u8[12]","CalRelNum",IF(F345="Y","TunSetCalSeg",IF(F345="N", "FlashCalSeg", "")))</f>
        <v>FlashCalSeg</v>
      </c>
    </row>
    <row r="346" spans="1:14" ht="20.399999999999999" x14ac:dyDescent="0.25">
      <c r="A346" s="190" t="s">
        <v>998</v>
      </c>
      <c r="B346" s="184" t="s">
        <v>999</v>
      </c>
      <c r="C346" s="185" t="s">
        <v>993</v>
      </c>
      <c r="D346" s="185" t="s">
        <v>186</v>
      </c>
      <c r="E346" s="185"/>
      <c r="F346" s="186" t="s">
        <v>82</v>
      </c>
      <c r="G346" s="187" t="s">
        <v>82</v>
      </c>
      <c r="H346" s="187"/>
      <c r="I346" s="188">
        <v>2500</v>
      </c>
      <c r="J346" s="189">
        <v>0</v>
      </c>
      <c r="K346" s="189">
        <v>65535</v>
      </c>
      <c r="L346" s="189" t="s">
        <v>271</v>
      </c>
      <c r="M346" s="189" t="s">
        <v>267</v>
      </c>
      <c r="N346" s="247" t="str">
        <f>IF(A346="k_CalRelNum_Cnt_u8[12]","CalRelNum",IF(F346="Y","TunSetCalSeg",IF(F346="N", "FlashCalSeg", "")))</f>
        <v>FlashCalSeg</v>
      </c>
    </row>
    <row r="347" spans="1:14" ht="20.399999999999999" x14ac:dyDescent="0.25">
      <c r="A347" s="190" t="s">
        <v>3646</v>
      </c>
      <c r="B347" s="184"/>
      <c r="C347" s="185" t="s">
        <v>993</v>
      </c>
      <c r="D347" s="185" t="s">
        <v>186</v>
      </c>
      <c r="E347" s="185"/>
      <c r="F347" s="186" t="s">
        <v>82</v>
      </c>
      <c r="G347" s="187" t="s">
        <v>82</v>
      </c>
      <c r="H347" s="187"/>
      <c r="I347" s="188">
        <v>148000</v>
      </c>
      <c r="J347" s="189">
        <v>0</v>
      </c>
      <c r="K347" s="189">
        <v>2000000</v>
      </c>
      <c r="L347" s="189" t="s">
        <v>271</v>
      </c>
      <c r="M347" s="189" t="s">
        <v>321</v>
      </c>
      <c r="N347" s="247" t="str">
        <f>IF(A347="k_CalRelNum_Cnt_u8[12]","CalRelNum",IF(F347="Y","TunSetCalSeg",IF(F347="N", "FlashCalSeg", "")))</f>
        <v>FlashCalSeg</v>
      </c>
    </row>
    <row r="348" spans="1:14" ht="20.399999999999999" x14ac:dyDescent="0.25">
      <c r="A348" s="190" t="s">
        <v>4593</v>
      </c>
      <c r="B348" s="184" t="s">
        <v>4594</v>
      </c>
      <c r="C348" s="185" t="s">
        <v>993</v>
      </c>
      <c r="D348" s="249" t="s">
        <v>186</v>
      </c>
      <c r="E348" s="185"/>
      <c r="F348" s="186" t="s">
        <v>82</v>
      </c>
      <c r="G348" s="187" t="s">
        <v>82</v>
      </c>
      <c r="H348" s="187"/>
      <c r="I348" s="188">
        <v>20000</v>
      </c>
      <c r="J348" s="189">
        <v>0</v>
      </c>
      <c r="K348" s="189">
        <v>2000000</v>
      </c>
      <c r="L348" s="189" t="s">
        <v>271</v>
      </c>
      <c r="M348" s="189" t="s">
        <v>321</v>
      </c>
      <c r="N348" s="247" t="str">
        <f>IF(A348="k_CalRelNum_Cnt_u8[12]","CalRelNum",IF(F348="Y","TunSetCalSeg",IF(F348="N", "FlashCalSeg", "")))</f>
        <v>FlashCalSeg</v>
      </c>
    </row>
    <row r="349" spans="1:14" ht="20.399999999999999" x14ac:dyDescent="0.25">
      <c r="A349" s="190" t="s">
        <v>3650</v>
      </c>
      <c r="B349" s="184" t="s">
        <v>3651</v>
      </c>
      <c r="C349" s="185" t="s">
        <v>993</v>
      </c>
      <c r="D349" s="249" t="s">
        <v>186</v>
      </c>
      <c r="E349" s="185"/>
      <c r="F349" s="186" t="s">
        <v>82</v>
      </c>
      <c r="G349" s="187" t="s">
        <v>82</v>
      </c>
      <c r="H349" s="187"/>
      <c r="I349" s="188">
        <v>700</v>
      </c>
      <c r="J349" s="189">
        <v>0</v>
      </c>
      <c r="K349" s="189">
        <v>960</v>
      </c>
      <c r="L349" s="189" t="s">
        <v>271</v>
      </c>
      <c r="M349" s="189" t="s">
        <v>267</v>
      </c>
      <c r="N349" s="247" t="str">
        <f>IF(A349="k_CalRelNum_Cnt_u8[12]","CalRelNum",IF(F349="Y","TunSetCalSeg",IF(F349="N", "FlashCalSeg", "")))</f>
        <v>FlashCalSeg</v>
      </c>
    </row>
    <row r="350" spans="1:14" ht="20.399999999999999" x14ac:dyDescent="0.25">
      <c r="A350" s="190" t="s">
        <v>3648</v>
      </c>
      <c r="B350" s="184" t="s">
        <v>3649</v>
      </c>
      <c r="C350" s="185" t="s">
        <v>993</v>
      </c>
      <c r="D350" s="249" t="s">
        <v>186</v>
      </c>
      <c r="E350" s="185"/>
      <c r="F350" s="186" t="s">
        <v>82</v>
      </c>
      <c r="G350" s="187" t="s">
        <v>82</v>
      </c>
      <c r="H350" s="187"/>
      <c r="I350" s="188">
        <v>1152</v>
      </c>
      <c r="J350" s="189">
        <v>0</v>
      </c>
      <c r="K350" s="189">
        <v>960</v>
      </c>
      <c r="L350" s="189" t="s">
        <v>271</v>
      </c>
      <c r="M350" s="189" t="s">
        <v>267</v>
      </c>
      <c r="N350" s="247" t="str">
        <f>IF(A350="k_CalRelNum_Cnt_u8[12]","CalRelNum",IF(F350="Y","TunSetCalSeg",IF(F350="N", "FlashCalSeg", "")))</f>
        <v>FlashCalSeg</v>
      </c>
    </row>
    <row r="351" spans="1:14" ht="20.399999999999999" x14ac:dyDescent="0.25">
      <c r="A351" s="190" t="s">
        <v>3488</v>
      </c>
      <c r="B351" s="184" t="s">
        <v>3489</v>
      </c>
      <c r="C351" s="185" t="s">
        <v>3481</v>
      </c>
      <c r="D351" s="249" t="s">
        <v>244</v>
      </c>
      <c r="E351" s="185"/>
      <c r="F351" s="186" t="s">
        <v>82</v>
      </c>
      <c r="G351" s="187" t="s">
        <v>82</v>
      </c>
      <c r="H351" s="187"/>
      <c r="I351" s="188">
        <v>8.8000000000000007</v>
      </c>
      <c r="J351" s="189">
        <v>0</v>
      </c>
      <c r="K351" s="189">
        <v>8.8000000000000007</v>
      </c>
      <c r="L351" s="189" t="s">
        <v>256</v>
      </c>
      <c r="M351" s="189" t="s">
        <v>261</v>
      </c>
      <c r="N351" s="247" t="str">
        <f>IF(A351="k_CalRelNum_Cnt_u8[12]","CalRelNum",IF(F351="Y","TunSetCalSeg",IF(F351="N", "FlashCalSeg", "")))</f>
        <v>FlashCalSeg</v>
      </c>
    </row>
    <row r="352" spans="1:14" ht="20.399999999999999" x14ac:dyDescent="0.25">
      <c r="A352" s="190" t="s">
        <v>3482</v>
      </c>
      <c r="B352" s="184" t="s">
        <v>3483</v>
      </c>
      <c r="C352" s="185" t="s">
        <v>3481</v>
      </c>
      <c r="D352" s="249" t="s">
        <v>244</v>
      </c>
      <c r="E352" s="185"/>
      <c r="F352" s="186" t="s">
        <v>82</v>
      </c>
      <c r="G352" s="187" t="s">
        <v>82</v>
      </c>
      <c r="H352" s="187"/>
      <c r="I352" s="188" t="s">
        <v>3484</v>
      </c>
      <c r="J352" s="189">
        <v>-1118</v>
      </c>
      <c r="K352" s="189">
        <v>1118</v>
      </c>
      <c r="L352" s="189" t="s">
        <v>263</v>
      </c>
      <c r="M352" s="189" t="s">
        <v>1480</v>
      </c>
      <c r="N352" s="247" t="str">
        <f>IF(A352="k_CalRelNum_Cnt_u8[12]","CalRelNum",IF(F352="Y","TunSetCalSeg",IF(F352="N", "FlashCalSeg", "")))</f>
        <v>FlashCalSeg</v>
      </c>
    </row>
    <row r="353" spans="1:14" ht="20.399999999999999" x14ac:dyDescent="0.25">
      <c r="A353" s="190" t="s">
        <v>3490</v>
      </c>
      <c r="B353" s="184" t="s">
        <v>3491</v>
      </c>
      <c r="C353" s="185" t="s">
        <v>3481</v>
      </c>
      <c r="D353" s="249" t="s">
        <v>244</v>
      </c>
      <c r="E353" s="185"/>
      <c r="F353" s="186" t="s">
        <v>82</v>
      </c>
      <c r="G353" s="187" t="s">
        <v>82</v>
      </c>
      <c r="H353" s="187"/>
      <c r="I353" s="188" t="s">
        <v>3492</v>
      </c>
      <c r="J353" s="189">
        <v>0</v>
      </c>
      <c r="K353" s="189">
        <v>511</v>
      </c>
      <c r="L353" s="189" t="s">
        <v>311</v>
      </c>
      <c r="M353" s="189" t="s">
        <v>370</v>
      </c>
      <c r="N353" s="247" t="str">
        <f>IF(A353="k_CalRelNum_Cnt_u8[12]","CalRelNum",IF(F353="Y","TunSetCalSeg",IF(F353="N", "FlashCalSeg", "")))</f>
        <v>FlashCalSeg</v>
      </c>
    </row>
    <row r="354" spans="1:14" ht="20.399999999999999" x14ac:dyDescent="0.25">
      <c r="A354" s="190" t="s">
        <v>3485</v>
      </c>
      <c r="B354" s="184" t="s">
        <v>3486</v>
      </c>
      <c r="C354" s="185" t="s">
        <v>3481</v>
      </c>
      <c r="D354" s="185" t="s">
        <v>244</v>
      </c>
      <c r="E354" s="185"/>
      <c r="F354" s="186" t="s">
        <v>82</v>
      </c>
      <c r="G354" s="187" t="s">
        <v>82</v>
      </c>
      <c r="H354" s="187"/>
      <c r="I354" s="188" t="s">
        <v>3487</v>
      </c>
      <c r="J354" s="189">
        <v>-16</v>
      </c>
      <c r="K354" s="189">
        <v>16</v>
      </c>
      <c r="L354" s="189" t="s">
        <v>256</v>
      </c>
      <c r="M354" s="189" t="s">
        <v>821</v>
      </c>
      <c r="N354" s="247" t="str">
        <f>IF(A354="k_CalRelNum_Cnt_u8[12]","CalRelNum",IF(F354="Y","TunSetCalSeg",IF(F354="N", "FlashCalSeg", "")))</f>
        <v>FlashCalSeg</v>
      </c>
    </row>
    <row r="355" spans="1:14" ht="20.399999999999999" x14ac:dyDescent="0.25">
      <c r="A355" s="190" t="s">
        <v>5129</v>
      </c>
      <c r="B355" s="184" t="s">
        <v>5129</v>
      </c>
      <c r="C355" s="185" t="s">
        <v>5131</v>
      </c>
      <c r="D355" s="185" t="s">
        <v>5127</v>
      </c>
      <c r="E355" s="185" t="s">
        <v>5130</v>
      </c>
      <c r="F355" s="186" t="s">
        <v>82</v>
      </c>
      <c r="G355" s="187" t="s">
        <v>82</v>
      </c>
      <c r="H355" s="187"/>
      <c r="I355" s="188">
        <v>500</v>
      </c>
      <c r="J355" s="189">
        <v>0.1</v>
      </c>
      <c r="K355" s="189">
        <v>500</v>
      </c>
      <c r="L355" s="189" t="s">
        <v>262</v>
      </c>
      <c r="M355" s="189" t="s">
        <v>261</v>
      </c>
      <c r="N355" s="247" t="str">
        <f>IF(A355="k_CalRelNum_Cnt_u8[12]","CalRelNum",IF(F355="Y","TunSetCalSeg",IF(F355="N", "FlashCalSeg", "")))</f>
        <v>FlashCalSeg</v>
      </c>
    </row>
    <row r="356" spans="1:14" ht="30.6" x14ac:dyDescent="0.25">
      <c r="A356" s="190" t="s">
        <v>5132</v>
      </c>
      <c r="B356" s="184" t="s">
        <v>5132</v>
      </c>
      <c r="C356" s="185" t="s">
        <v>5131</v>
      </c>
      <c r="D356" s="185" t="s">
        <v>5127</v>
      </c>
      <c r="E356" s="185" t="s">
        <v>5133</v>
      </c>
      <c r="F356" s="186" t="s">
        <v>82</v>
      </c>
      <c r="G356" s="187" t="s">
        <v>82</v>
      </c>
      <c r="H356" s="187"/>
      <c r="I356" s="188">
        <v>3</v>
      </c>
      <c r="J356" s="189">
        <v>0</v>
      </c>
      <c r="K356" s="189">
        <v>10</v>
      </c>
      <c r="L356" s="189" t="s">
        <v>265</v>
      </c>
      <c r="M356" s="189" t="s">
        <v>261</v>
      </c>
      <c r="N356" s="247" t="str">
        <f>IF(A356="k_CalRelNum_Cnt_u8[12]","CalRelNum",IF(F356="Y","TunSetCalSeg",IF(F356="N", "FlashCalSeg", "")))</f>
        <v>FlashCalSeg</v>
      </c>
    </row>
    <row r="357" spans="1:14" ht="20.399999999999999" x14ac:dyDescent="0.25">
      <c r="A357" s="190" t="s">
        <v>5134</v>
      </c>
      <c r="B357" s="184" t="s">
        <v>5134</v>
      </c>
      <c r="C357" s="185" t="s">
        <v>5131</v>
      </c>
      <c r="D357" s="185" t="s">
        <v>5127</v>
      </c>
      <c r="E357" s="185" t="s">
        <v>5135</v>
      </c>
      <c r="F357" s="186" t="s">
        <v>82</v>
      </c>
      <c r="G357" s="187" t="s">
        <v>82</v>
      </c>
      <c r="H357" s="187"/>
      <c r="I357" s="188">
        <v>500</v>
      </c>
      <c r="J357" s="189">
        <v>0.1</v>
      </c>
      <c r="K357" s="189">
        <v>500</v>
      </c>
      <c r="L357" s="189" t="s">
        <v>262</v>
      </c>
      <c r="M357" s="189" t="s">
        <v>261</v>
      </c>
      <c r="N357" s="247" t="str">
        <f>IF(A357="k_CalRelNum_Cnt_u8[12]","CalRelNum",IF(F357="Y","TunSetCalSeg",IF(F357="N", "FlashCalSeg", "")))</f>
        <v>FlashCalSeg</v>
      </c>
    </row>
    <row r="358" spans="1:14" ht="20.399999999999999" x14ac:dyDescent="0.25">
      <c r="A358" s="190" t="s">
        <v>5136</v>
      </c>
      <c r="B358" s="184" t="s">
        <v>5136</v>
      </c>
      <c r="C358" s="185" t="s">
        <v>5131</v>
      </c>
      <c r="D358" s="185" t="s">
        <v>5127</v>
      </c>
      <c r="E358" s="185" t="s">
        <v>5137</v>
      </c>
      <c r="F358" s="186" t="s">
        <v>82</v>
      </c>
      <c r="G358" s="187" t="s">
        <v>82</v>
      </c>
      <c r="H358" s="187"/>
      <c r="I358" s="188">
        <v>0</v>
      </c>
      <c r="J358" s="189">
        <v>-100</v>
      </c>
      <c r="K358" s="189">
        <v>100</v>
      </c>
      <c r="L358" s="189" t="s">
        <v>260</v>
      </c>
      <c r="M358" s="189" t="s">
        <v>261</v>
      </c>
      <c r="N358" s="247" t="str">
        <f>IF(A358="k_CalRelNum_Cnt_u8[12]","CalRelNum",IF(F358="Y","TunSetCalSeg",IF(F358="N", "FlashCalSeg", "")))</f>
        <v>FlashCalSeg</v>
      </c>
    </row>
    <row r="359" spans="1:14" ht="20.399999999999999" x14ac:dyDescent="0.25">
      <c r="A359" s="190" t="s">
        <v>5138</v>
      </c>
      <c r="B359" s="184" t="s">
        <v>5138</v>
      </c>
      <c r="C359" s="185" t="s">
        <v>5131</v>
      </c>
      <c r="D359" s="185" t="s">
        <v>5127</v>
      </c>
      <c r="E359" s="185" t="s">
        <v>5139</v>
      </c>
      <c r="F359" s="186" t="s">
        <v>82</v>
      </c>
      <c r="G359" s="187" t="s">
        <v>82</v>
      </c>
      <c r="H359" s="187"/>
      <c r="I359" s="188">
        <v>0</v>
      </c>
      <c r="J359" s="189">
        <v>-100</v>
      </c>
      <c r="K359" s="189">
        <v>100</v>
      </c>
      <c r="L359" s="189" t="s">
        <v>260</v>
      </c>
      <c r="M359" s="189" t="s">
        <v>261</v>
      </c>
      <c r="N359" s="247" t="str">
        <f>IF(A359="k_CalRelNum_Cnt_u8[12]","CalRelNum",IF(F359="Y","TunSetCalSeg",IF(F359="N", "FlashCalSeg", "")))</f>
        <v>FlashCalSeg</v>
      </c>
    </row>
    <row r="360" spans="1:14" ht="20.399999999999999" x14ac:dyDescent="0.25">
      <c r="A360" s="190" t="s">
        <v>5140</v>
      </c>
      <c r="B360" s="184" t="s">
        <v>5140</v>
      </c>
      <c r="C360" s="185" t="s">
        <v>5131</v>
      </c>
      <c r="D360" s="185" t="s">
        <v>5127</v>
      </c>
      <c r="E360" s="185" t="s">
        <v>5141</v>
      </c>
      <c r="F360" s="186" t="s">
        <v>82</v>
      </c>
      <c r="G360" s="187" t="s">
        <v>82</v>
      </c>
      <c r="H360" s="187"/>
      <c r="I360" s="188">
        <v>0</v>
      </c>
      <c r="J360" s="189">
        <v>-100</v>
      </c>
      <c r="K360" s="189">
        <v>100</v>
      </c>
      <c r="L360" s="189" t="s">
        <v>260</v>
      </c>
      <c r="M360" s="189" t="s">
        <v>261</v>
      </c>
      <c r="N360" s="247" t="str">
        <f>IF(A360="k_CalRelNum_Cnt_u8[12]","CalRelNum",IF(F360="Y","TunSetCalSeg",IF(F360="N", "FlashCalSeg", "")))</f>
        <v>FlashCalSeg</v>
      </c>
    </row>
    <row r="361" spans="1:14" ht="20.399999999999999" x14ac:dyDescent="0.25">
      <c r="A361" s="190" t="s">
        <v>5142</v>
      </c>
      <c r="B361" s="184" t="s">
        <v>5142</v>
      </c>
      <c r="C361" s="185" t="s">
        <v>5131</v>
      </c>
      <c r="D361" s="185" t="s">
        <v>5127</v>
      </c>
      <c r="E361" s="185" t="s">
        <v>5143</v>
      </c>
      <c r="F361" s="186" t="s">
        <v>82</v>
      </c>
      <c r="G361" s="187" t="s">
        <v>82</v>
      </c>
      <c r="H361" s="187"/>
      <c r="I361" s="188">
        <v>0</v>
      </c>
      <c r="J361" s="189">
        <v>-100</v>
      </c>
      <c r="K361" s="189">
        <v>100</v>
      </c>
      <c r="L361" s="189" t="s">
        <v>260</v>
      </c>
      <c r="M361" s="189" t="s">
        <v>261</v>
      </c>
      <c r="N361" s="247" t="str">
        <f>IF(A361="k_CalRelNum_Cnt_u8[12]","CalRelNum",IF(F361="Y","TunSetCalSeg",IF(F361="N", "FlashCalSeg", "")))</f>
        <v>FlashCalSeg</v>
      </c>
    </row>
    <row r="362" spans="1:14" ht="30.6" x14ac:dyDescent="0.25">
      <c r="A362" s="190" t="s">
        <v>5144</v>
      </c>
      <c r="B362" s="184" t="s">
        <v>5144</v>
      </c>
      <c r="C362" s="185" t="s">
        <v>5131</v>
      </c>
      <c r="D362" s="185" t="s">
        <v>5127</v>
      </c>
      <c r="E362" s="185" t="s">
        <v>5145</v>
      </c>
      <c r="F362" s="186" t="s">
        <v>82</v>
      </c>
      <c r="G362" s="187" t="s">
        <v>82</v>
      </c>
      <c r="H362" s="187"/>
      <c r="I362" s="188">
        <v>105</v>
      </c>
      <c r="J362" s="189">
        <v>0</v>
      </c>
      <c r="K362" s="189">
        <v>120</v>
      </c>
      <c r="L362" s="189" t="s">
        <v>558</v>
      </c>
      <c r="M362" s="189" t="s">
        <v>261</v>
      </c>
      <c r="N362" s="247" t="str">
        <f>IF(A362="k_CalRelNum_Cnt_u8[12]","CalRelNum",IF(F362="Y","TunSetCalSeg",IF(F362="N", "FlashCalSeg", "")))</f>
        <v>FlashCalSeg</v>
      </c>
    </row>
    <row r="363" spans="1:14" ht="30.6" x14ac:dyDescent="0.25">
      <c r="A363" s="190" t="s">
        <v>1008</v>
      </c>
      <c r="B363" s="184" t="s">
        <v>1009</v>
      </c>
      <c r="C363" s="185" t="s">
        <v>1011</v>
      </c>
      <c r="D363" s="185" t="s">
        <v>216</v>
      </c>
      <c r="E363" s="185" t="s">
        <v>1010</v>
      </c>
      <c r="F363" s="186" t="s">
        <v>81</v>
      </c>
      <c r="G363" s="187" t="s">
        <v>82</v>
      </c>
      <c r="H363" s="187" t="s">
        <v>1012</v>
      </c>
      <c r="I363" s="188" t="s">
        <v>1013</v>
      </c>
      <c r="J363" s="189">
        <v>5</v>
      </c>
      <c r="K363" s="189">
        <v>100</v>
      </c>
      <c r="L363" s="189" t="s">
        <v>262</v>
      </c>
      <c r="M363" s="189" t="s">
        <v>1014</v>
      </c>
      <c r="N363" s="247" t="str">
        <f>IF(A363="k_CalRelNum_Cnt_u8[12]","CalRelNum",IF(F363="Y","TunSetCalSeg",IF(F363="N", "FlashCalSeg", "")))</f>
        <v>TunSetCalSeg</v>
      </c>
    </row>
    <row r="364" spans="1:14" ht="112.2" x14ac:dyDescent="0.25">
      <c r="A364" s="190" t="s">
        <v>1023</v>
      </c>
      <c r="B364" s="184" t="s">
        <v>1024</v>
      </c>
      <c r="C364" s="185" t="s">
        <v>1011</v>
      </c>
      <c r="D364" s="185" t="s">
        <v>216</v>
      </c>
      <c r="E364" s="185" t="s">
        <v>1025</v>
      </c>
      <c r="F364" s="186" t="s">
        <v>81</v>
      </c>
      <c r="G364" s="187" t="s">
        <v>82</v>
      </c>
      <c r="H364" s="187" t="s">
        <v>1026</v>
      </c>
      <c r="I364" s="188" t="s">
        <v>3422</v>
      </c>
      <c r="J364" s="189">
        <v>0</v>
      </c>
      <c r="K364" s="189">
        <v>5</v>
      </c>
      <c r="L364" s="189" t="s">
        <v>1027</v>
      </c>
      <c r="M364" s="189" t="s">
        <v>1028</v>
      </c>
      <c r="N364" s="247" t="str">
        <f>IF(A364="k_CalRelNum_Cnt_u8[12]","CalRelNum",IF(F364="Y","TunSetCalSeg",IF(F364="N", "FlashCalSeg", "")))</f>
        <v>TunSetCalSeg</v>
      </c>
    </row>
    <row r="365" spans="1:14" ht="112.2" x14ac:dyDescent="0.25">
      <c r="A365" s="190" t="s">
        <v>1029</v>
      </c>
      <c r="B365" s="184" t="s">
        <v>1030</v>
      </c>
      <c r="C365" s="185" t="s">
        <v>1011</v>
      </c>
      <c r="D365" s="185" t="s">
        <v>216</v>
      </c>
      <c r="E365" s="185" t="s">
        <v>1031</v>
      </c>
      <c r="F365" s="186" t="s">
        <v>81</v>
      </c>
      <c r="G365" s="187" t="s">
        <v>82</v>
      </c>
      <c r="H365" s="187" t="s">
        <v>1032</v>
      </c>
      <c r="I365" s="188" t="s">
        <v>3422</v>
      </c>
      <c r="J365" s="189">
        <v>0</v>
      </c>
      <c r="K365" s="189">
        <v>5</v>
      </c>
      <c r="L365" s="189" t="s">
        <v>1027</v>
      </c>
      <c r="M365" s="189" t="s">
        <v>1028</v>
      </c>
      <c r="N365" s="247" t="str">
        <f>IF(A365="k_CalRelNum_Cnt_u8[12]","CalRelNum",IF(F365="Y","TunSetCalSeg",IF(F365="N", "FlashCalSeg", "")))</f>
        <v>TunSetCalSeg</v>
      </c>
    </row>
    <row r="366" spans="1:14" ht="112.2" x14ac:dyDescent="0.25">
      <c r="A366" s="190" t="s">
        <v>1015</v>
      </c>
      <c r="B366" s="184" t="s">
        <v>1016</v>
      </c>
      <c r="C366" s="185" t="s">
        <v>1011</v>
      </c>
      <c r="D366" s="185" t="s">
        <v>216</v>
      </c>
      <c r="E366" s="185" t="s">
        <v>1017</v>
      </c>
      <c r="F366" s="186" t="s">
        <v>81</v>
      </c>
      <c r="G366" s="187" t="s">
        <v>82</v>
      </c>
      <c r="H366" s="187" t="s">
        <v>1018</v>
      </c>
      <c r="I366" s="188" t="s">
        <v>3421</v>
      </c>
      <c r="J366" s="189">
        <v>0</v>
      </c>
      <c r="K366" s="189">
        <v>10</v>
      </c>
      <c r="L366" s="189" t="s">
        <v>265</v>
      </c>
      <c r="M366" s="189" t="s">
        <v>414</v>
      </c>
      <c r="N366" s="247" t="str">
        <f>IF(A366="k_CalRelNum_Cnt_u8[12]","CalRelNum",IF(F366="Y","TunSetCalSeg",IF(F366="N", "FlashCalSeg", "")))</f>
        <v>TunSetCalSeg</v>
      </c>
    </row>
    <row r="367" spans="1:14" ht="112.2" x14ac:dyDescent="0.25">
      <c r="A367" s="190" t="s">
        <v>1019</v>
      </c>
      <c r="B367" s="184" t="s">
        <v>1020</v>
      </c>
      <c r="C367" s="185" t="s">
        <v>1011</v>
      </c>
      <c r="D367" s="185" t="s">
        <v>216</v>
      </c>
      <c r="E367" s="185" t="s">
        <v>1021</v>
      </c>
      <c r="F367" s="186" t="s">
        <v>81</v>
      </c>
      <c r="G367" s="187" t="s">
        <v>82</v>
      </c>
      <c r="H367" s="187" t="s">
        <v>1022</v>
      </c>
      <c r="I367" s="188" t="s">
        <v>3421</v>
      </c>
      <c r="J367" s="189">
        <v>0</v>
      </c>
      <c r="K367" s="189">
        <v>10</v>
      </c>
      <c r="L367" s="189" t="s">
        <v>265</v>
      </c>
      <c r="M367" s="189" t="s">
        <v>414</v>
      </c>
      <c r="N367" s="247" t="str">
        <f>IF(A367="k_CalRelNum_Cnt_u8[12]","CalRelNum",IF(F367="Y","TunSetCalSeg",IF(F367="N", "FlashCalSeg", "")))</f>
        <v>TunSetCalSeg</v>
      </c>
    </row>
    <row r="368" spans="1:14" ht="51" x14ac:dyDescent="0.25">
      <c r="A368" s="190" t="s">
        <v>1033</v>
      </c>
      <c r="B368" s="184" t="s">
        <v>1034</v>
      </c>
      <c r="C368" s="185" t="s">
        <v>1011</v>
      </c>
      <c r="D368" s="185" t="s">
        <v>216</v>
      </c>
      <c r="E368" s="185" t="s">
        <v>412</v>
      </c>
      <c r="F368" s="186" t="s">
        <v>81</v>
      </c>
      <c r="G368" s="187" t="s">
        <v>82</v>
      </c>
      <c r="H368" s="187" t="s">
        <v>1035</v>
      </c>
      <c r="I368" s="188" t="s">
        <v>3423</v>
      </c>
      <c r="J368" s="189">
        <v>0</v>
      </c>
      <c r="K368" s="189">
        <v>8</v>
      </c>
      <c r="L368" s="189" t="s">
        <v>256</v>
      </c>
      <c r="M368" s="189" t="s">
        <v>733</v>
      </c>
      <c r="N368" s="247" t="str">
        <f>IF(A368="k_CalRelNum_Cnt_u8[12]","CalRelNum",IF(F368="Y","TunSetCalSeg",IF(F368="N", "FlashCalSeg", "")))</f>
        <v>TunSetCalSeg</v>
      </c>
    </row>
    <row r="369" spans="1:14" ht="30.6" x14ac:dyDescent="0.25">
      <c r="A369" s="190" t="s">
        <v>1036</v>
      </c>
      <c r="B369" s="184" t="s">
        <v>1037</v>
      </c>
      <c r="C369" s="185" t="s">
        <v>1011</v>
      </c>
      <c r="D369" s="185" t="s">
        <v>216</v>
      </c>
      <c r="E369" s="185" t="s">
        <v>417</v>
      </c>
      <c r="F369" s="186" t="s">
        <v>81</v>
      </c>
      <c r="G369" s="187" t="s">
        <v>82</v>
      </c>
      <c r="H369" s="187" t="s">
        <v>1038</v>
      </c>
      <c r="I369" s="188" t="s">
        <v>3424</v>
      </c>
      <c r="J369" s="189">
        <v>0</v>
      </c>
      <c r="K369" s="189">
        <v>1</v>
      </c>
      <c r="L369" s="189" t="s">
        <v>300</v>
      </c>
      <c r="M369" s="189" t="s">
        <v>724</v>
      </c>
      <c r="N369" s="247" t="str">
        <f>IF(A369="k_CalRelNum_Cnt_u8[12]","CalRelNum",IF(F369="Y","TunSetCalSeg",IF(F369="N", "FlashCalSeg", "")))</f>
        <v>TunSetCalSeg</v>
      </c>
    </row>
    <row r="370" spans="1:14" ht="30.6" x14ac:dyDescent="0.25">
      <c r="A370" s="190" t="s">
        <v>1044</v>
      </c>
      <c r="B370" s="184" t="s">
        <v>1045</v>
      </c>
      <c r="C370" s="185" t="s">
        <v>1046</v>
      </c>
      <c r="D370" s="185" t="s">
        <v>207</v>
      </c>
      <c r="E370" s="185"/>
      <c r="F370" s="186" t="s">
        <v>82</v>
      </c>
      <c r="G370" s="187" t="s">
        <v>82</v>
      </c>
      <c r="H370" s="187"/>
      <c r="I370" s="188">
        <v>1130</v>
      </c>
      <c r="J370" s="189">
        <v>0</v>
      </c>
      <c r="K370" s="189">
        <v>2252</v>
      </c>
      <c r="L370" s="189" t="s">
        <v>271</v>
      </c>
      <c r="M370" s="189" t="s">
        <v>267</v>
      </c>
      <c r="N370" s="247" t="str">
        <f>IF(A370="k_CalRelNum_Cnt_u8[12]","CalRelNum",IF(F370="Y","TunSetCalSeg",IF(F370="N", "FlashCalSeg", "")))</f>
        <v>FlashCalSeg</v>
      </c>
    </row>
    <row r="371" spans="1:14" ht="30.6" x14ac:dyDescent="0.25">
      <c r="A371" s="190" t="s">
        <v>1057</v>
      </c>
      <c r="B371" s="184" t="s">
        <v>1058</v>
      </c>
      <c r="C371" s="185" t="s">
        <v>1046</v>
      </c>
      <c r="D371" s="241" t="s">
        <v>207</v>
      </c>
      <c r="E371" s="185" t="s">
        <v>1059</v>
      </c>
      <c r="F371" s="186" t="s">
        <v>82</v>
      </c>
      <c r="G371" s="187" t="s">
        <v>82</v>
      </c>
      <c r="H371" s="187"/>
      <c r="I371" s="188">
        <v>0.1015625</v>
      </c>
      <c r="J371" s="189">
        <v>8.0000000000000002E-3</v>
      </c>
      <c r="K371" s="189">
        <v>3</v>
      </c>
      <c r="L371" s="189" t="s">
        <v>256</v>
      </c>
      <c r="M371" s="189" t="s">
        <v>261</v>
      </c>
      <c r="N371" s="247" t="str">
        <f>IF(A371="k_CalRelNum_Cnt_u8[12]","CalRelNum",IF(F371="Y","TunSetCalSeg",IF(F371="N", "FlashCalSeg", "")))</f>
        <v>FlashCalSeg</v>
      </c>
    </row>
    <row r="372" spans="1:14" ht="51" x14ac:dyDescent="0.25">
      <c r="A372" s="190" t="s">
        <v>1052</v>
      </c>
      <c r="B372" s="184" t="s">
        <v>1053</v>
      </c>
      <c r="C372" s="185" t="s">
        <v>1046</v>
      </c>
      <c r="D372" s="185" t="s">
        <v>207</v>
      </c>
      <c r="E372" s="185" t="s">
        <v>1054</v>
      </c>
      <c r="F372" s="186" t="s">
        <v>82</v>
      </c>
      <c r="G372" s="187" t="s">
        <v>82</v>
      </c>
      <c r="H372" s="187" t="s">
        <v>1055</v>
      </c>
      <c r="I372" s="188" t="s">
        <v>1056</v>
      </c>
      <c r="J372" s="189">
        <v>0</v>
      </c>
      <c r="K372" s="189">
        <v>8.8000000000000007</v>
      </c>
      <c r="L372" s="189" t="s">
        <v>256</v>
      </c>
      <c r="M372" s="189" t="s">
        <v>257</v>
      </c>
      <c r="N372" s="247" t="str">
        <f>IF(A372="k_CalRelNum_Cnt_u8[12]","CalRelNum",IF(F372="Y","TunSetCalSeg",IF(F372="N", "FlashCalSeg", "")))</f>
        <v>FlashCalSeg</v>
      </c>
    </row>
    <row r="373" spans="1:14" ht="61.2" x14ac:dyDescent="0.25">
      <c r="A373" s="190" t="s">
        <v>1047</v>
      </c>
      <c r="B373" s="184" t="s">
        <v>1048</v>
      </c>
      <c r="C373" s="185" t="s">
        <v>1046</v>
      </c>
      <c r="D373" s="249" t="s">
        <v>207</v>
      </c>
      <c r="E373" s="185" t="s">
        <v>1049</v>
      </c>
      <c r="F373" s="186" t="s">
        <v>82</v>
      </c>
      <c r="G373" s="187" t="s">
        <v>82</v>
      </c>
      <c r="H373" s="187" t="s">
        <v>1050</v>
      </c>
      <c r="I373" s="188" t="s">
        <v>1051</v>
      </c>
      <c r="J373" s="189">
        <v>0</v>
      </c>
      <c r="K373" s="189">
        <v>8.8000000000000007</v>
      </c>
      <c r="L373" s="189" t="s">
        <v>256</v>
      </c>
      <c r="M373" s="189" t="s">
        <v>257</v>
      </c>
      <c r="N373" s="247" t="str">
        <f>IF(A373="k_CalRelNum_Cnt_u8[12]","CalRelNum",IF(F373="Y","TunSetCalSeg",IF(F373="N", "FlashCalSeg", "")))</f>
        <v>FlashCalSeg</v>
      </c>
    </row>
    <row r="374" spans="1:14" ht="51" x14ac:dyDescent="0.25">
      <c r="A374" s="190" t="s">
        <v>1039</v>
      </c>
      <c r="B374" s="184" t="s">
        <v>1040</v>
      </c>
      <c r="C374" s="185" t="s">
        <v>1042</v>
      </c>
      <c r="D374" s="185" t="s">
        <v>1043</v>
      </c>
      <c r="E374" s="185" t="s">
        <v>1041</v>
      </c>
      <c r="F374" s="186" t="s">
        <v>82</v>
      </c>
      <c r="G374" s="187" t="s">
        <v>82</v>
      </c>
      <c r="H374" s="187"/>
      <c r="I374" s="188">
        <v>1.375</v>
      </c>
      <c r="J374" s="189">
        <v>0</v>
      </c>
      <c r="K374" s="189">
        <v>1350</v>
      </c>
      <c r="L374" s="189" t="s">
        <v>263</v>
      </c>
      <c r="M374" s="189" t="s">
        <v>261</v>
      </c>
      <c r="N374" s="247" t="str">
        <f>IF(A374="k_CalRelNum_Cnt_u8[12]","CalRelNum",IF(F374="Y","TunSetCalSeg",IF(F374="N", "FlashCalSeg", "")))</f>
        <v>FlashCalSeg</v>
      </c>
    </row>
    <row r="375" spans="1:14" ht="61.2" x14ac:dyDescent="0.25">
      <c r="A375" s="190" t="s">
        <v>1117</v>
      </c>
      <c r="B375" s="184" t="s">
        <v>1118</v>
      </c>
      <c r="C375" s="185" t="s">
        <v>1074</v>
      </c>
      <c r="D375" s="185" t="s">
        <v>1120</v>
      </c>
      <c r="E375" s="185" t="s">
        <v>1119</v>
      </c>
      <c r="F375" s="186" t="s">
        <v>81</v>
      </c>
      <c r="G375" s="187" t="s">
        <v>82</v>
      </c>
      <c r="H375" s="187"/>
      <c r="I375" s="188">
        <v>20</v>
      </c>
      <c r="J375" s="189">
        <v>1</v>
      </c>
      <c r="K375" s="189">
        <v>100</v>
      </c>
      <c r="L375" s="189" t="s">
        <v>1121</v>
      </c>
      <c r="M375" s="189" t="s">
        <v>261</v>
      </c>
      <c r="N375" s="247" t="str">
        <f>IF(A375="k_CalRelNum_Cnt_u8[12]","CalRelNum",IF(F375="Y","TunSetCalSeg",IF(F375="N", "FlashCalSeg", "")))</f>
        <v>TunSetCalSeg</v>
      </c>
    </row>
    <row r="376" spans="1:14" ht="30.6" x14ac:dyDescent="0.25">
      <c r="A376" s="190" t="s">
        <v>1075</v>
      </c>
      <c r="B376" s="184" t="s">
        <v>1076</v>
      </c>
      <c r="C376" s="185" t="s">
        <v>1074</v>
      </c>
      <c r="D376" s="185" t="s">
        <v>202</v>
      </c>
      <c r="E376" s="185" t="s">
        <v>1077</v>
      </c>
      <c r="F376" s="186" t="s">
        <v>81</v>
      </c>
      <c r="G376" s="187" t="s">
        <v>82</v>
      </c>
      <c r="H376" s="187"/>
      <c r="I376" s="188">
        <v>50</v>
      </c>
      <c r="J376" s="189">
        <v>1</v>
      </c>
      <c r="K376" s="189">
        <v>50</v>
      </c>
      <c r="L376" s="189" t="s">
        <v>262</v>
      </c>
      <c r="M376" s="189" t="s">
        <v>261</v>
      </c>
      <c r="N376" s="247" t="str">
        <f>IF(A376="k_CalRelNum_Cnt_u8[12]","CalRelNum",IF(F376="Y","TunSetCalSeg",IF(F376="N", "FlashCalSeg", "")))</f>
        <v>TunSetCalSeg</v>
      </c>
    </row>
    <row r="377" spans="1:14" ht="30.6" x14ac:dyDescent="0.25">
      <c r="A377" s="190" t="s">
        <v>1071</v>
      </c>
      <c r="B377" s="184" t="s">
        <v>1072</v>
      </c>
      <c r="C377" s="185" t="s">
        <v>1074</v>
      </c>
      <c r="D377" s="185" t="s">
        <v>202</v>
      </c>
      <c r="E377" s="185" t="s">
        <v>1073</v>
      </c>
      <c r="F377" s="186" t="s">
        <v>81</v>
      </c>
      <c r="G377" s="187" t="s">
        <v>82</v>
      </c>
      <c r="H377" s="187"/>
      <c r="I377" s="188">
        <v>50</v>
      </c>
      <c r="J377" s="189">
        <v>1</v>
      </c>
      <c r="K377" s="189">
        <v>50</v>
      </c>
      <c r="L377" s="189" t="s">
        <v>262</v>
      </c>
      <c r="M377" s="189" t="s">
        <v>261</v>
      </c>
      <c r="N377" s="247" t="str">
        <f>IF(A377="k_CalRelNum_Cnt_u8[12]","CalRelNum",IF(F377="Y","TunSetCalSeg",IF(F377="N", "FlashCalSeg", "")))</f>
        <v>TunSetCalSeg</v>
      </c>
    </row>
    <row r="378" spans="1:14" ht="30.6" x14ac:dyDescent="0.25">
      <c r="A378" s="190" t="s">
        <v>1078</v>
      </c>
      <c r="B378" s="184" t="s">
        <v>1079</v>
      </c>
      <c r="C378" s="185" t="s">
        <v>1074</v>
      </c>
      <c r="D378" s="185" t="s">
        <v>202</v>
      </c>
      <c r="E378" s="185" t="s">
        <v>1080</v>
      </c>
      <c r="F378" s="186" t="s">
        <v>81</v>
      </c>
      <c r="G378" s="187" t="s">
        <v>82</v>
      </c>
      <c r="H378" s="187"/>
      <c r="I378" s="188">
        <v>50</v>
      </c>
      <c r="J378" s="189">
        <v>1</v>
      </c>
      <c r="K378" s="189">
        <v>50</v>
      </c>
      <c r="L378" s="189" t="s">
        <v>262</v>
      </c>
      <c r="M378" s="189" t="s">
        <v>261</v>
      </c>
      <c r="N378" s="247" t="str">
        <f>IF(A378="k_CalRelNum_Cnt_u8[12]","CalRelNum",IF(F378="Y","TunSetCalSeg",IF(F378="N", "FlashCalSeg", "")))</f>
        <v>TunSetCalSeg</v>
      </c>
    </row>
    <row r="379" spans="1:14" ht="30.6" x14ac:dyDescent="0.25">
      <c r="A379" s="190" t="s">
        <v>1122</v>
      </c>
      <c r="B379" s="184" t="s">
        <v>1123</v>
      </c>
      <c r="C379" s="185" t="s">
        <v>1074</v>
      </c>
      <c r="D379" s="185" t="s">
        <v>202</v>
      </c>
      <c r="E379" s="185" t="s">
        <v>1124</v>
      </c>
      <c r="F379" s="186" t="s">
        <v>81</v>
      </c>
      <c r="G379" s="187" t="s">
        <v>82</v>
      </c>
      <c r="H379" s="187"/>
      <c r="I379" s="188">
        <v>16</v>
      </c>
      <c r="J379" s="189">
        <v>0</v>
      </c>
      <c r="K379" s="189">
        <v>20</v>
      </c>
      <c r="L379" s="189" t="s">
        <v>265</v>
      </c>
      <c r="M379" s="189" t="s">
        <v>261</v>
      </c>
      <c r="N379" s="247" t="str">
        <f>IF(A379="k_CalRelNum_Cnt_u8[12]","CalRelNum",IF(F379="Y","TunSetCalSeg",IF(F379="N", "FlashCalSeg", "")))</f>
        <v>TunSetCalSeg</v>
      </c>
    </row>
    <row r="380" spans="1:14" ht="71.400000000000006" x14ac:dyDescent="0.25">
      <c r="A380" s="190" t="s">
        <v>1081</v>
      </c>
      <c r="B380" s="184" t="s">
        <v>1082</v>
      </c>
      <c r="C380" s="185" t="s">
        <v>1074</v>
      </c>
      <c r="D380" s="185" t="s">
        <v>202</v>
      </c>
      <c r="E380" s="185" t="s">
        <v>1083</v>
      </c>
      <c r="F380" s="186" t="s">
        <v>81</v>
      </c>
      <c r="G380" s="187" t="s">
        <v>82</v>
      </c>
      <c r="H380" s="187"/>
      <c r="I380" s="188">
        <v>6</v>
      </c>
      <c r="J380" s="189">
        <v>0.1</v>
      </c>
      <c r="K380" s="189">
        <v>15</v>
      </c>
      <c r="L380" s="189" t="s">
        <v>1084</v>
      </c>
      <c r="M380" s="189" t="s">
        <v>261</v>
      </c>
      <c r="N380" s="247" t="str">
        <f>IF(A380="k_CalRelNum_Cnt_u8[12]","CalRelNum",IF(F380="Y","TunSetCalSeg",IF(F380="N", "FlashCalSeg", "")))</f>
        <v>TunSetCalSeg</v>
      </c>
    </row>
    <row r="381" spans="1:14" ht="30.6" x14ac:dyDescent="0.25">
      <c r="A381" s="190" t="s">
        <v>1085</v>
      </c>
      <c r="B381" s="184" t="s">
        <v>1086</v>
      </c>
      <c r="C381" s="185" t="s">
        <v>1074</v>
      </c>
      <c r="D381" s="185" t="s">
        <v>202</v>
      </c>
      <c r="E381" s="185" t="s">
        <v>1087</v>
      </c>
      <c r="F381" s="186" t="s">
        <v>81</v>
      </c>
      <c r="G381" s="187" t="s">
        <v>82</v>
      </c>
      <c r="H381" s="187"/>
      <c r="I381" s="188">
        <v>100</v>
      </c>
      <c r="J381" s="189">
        <v>0</v>
      </c>
      <c r="K381" s="189">
        <v>255</v>
      </c>
      <c r="L381" s="189" t="s">
        <v>265</v>
      </c>
      <c r="M381" s="189" t="s">
        <v>370</v>
      </c>
      <c r="N381" s="247" t="str">
        <f>IF(A381="k_CalRelNum_Cnt_u8[12]","CalRelNum",IF(F381="Y","TunSetCalSeg",IF(F381="N", "FlashCalSeg", "")))</f>
        <v>TunSetCalSeg</v>
      </c>
    </row>
    <row r="382" spans="1:14" ht="30.6" x14ac:dyDescent="0.25">
      <c r="A382" s="190" t="s">
        <v>1108</v>
      </c>
      <c r="B382" s="184" t="s">
        <v>1109</v>
      </c>
      <c r="C382" s="185" t="s">
        <v>1074</v>
      </c>
      <c r="D382" s="185" t="s">
        <v>202</v>
      </c>
      <c r="E382" s="185" t="s">
        <v>1110</v>
      </c>
      <c r="F382" s="186" t="s">
        <v>81</v>
      </c>
      <c r="G382" s="187" t="s">
        <v>82</v>
      </c>
      <c r="H382" s="187" t="s">
        <v>1111</v>
      </c>
      <c r="I382" s="188" t="s">
        <v>1112</v>
      </c>
      <c r="J382" s="189">
        <v>0</v>
      </c>
      <c r="K382" s="189">
        <v>1</v>
      </c>
      <c r="L382" s="189" t="s">
        <v>260</v>
      </c>
      <c r="M382" s="189" t="s">
        <v>733</v>
      </c>
      <c r="N382" s="247" t="str">
        <f>IF(A382="k_CalRelNum_Cnt_u8[12]","CalRelNum",IF(F382="Y","TunSetCalSeg",IF(F382="N", "FlashCalSeg", "")))</f>
        <v>TunSetCalSeg</v>
      </c>
    </row>
    <row r="383" spans="1:14" ht="30.6" x14ac:dyDescent="0.25">
      <c r="A383" s="190" t="s">
        <v>1113</v>
      </c>
      <c r="B383" s="184" t="s">
        <v>1114</v>
      </c>
      <c r="C383" s="185" t="s">
        <v>1074</v>
      </c>
      <c r="D383" s="185" t="s">
        <v>202</v>
      </c>
      <c r="E383" s="185" t="s">
        <v>1115</v>
      </c>
      <c r="F383" s="186" t="s">
        <v>81</v>
      </c>
      <c r="G383" s="187" t="s">
        <v>82</v>
      </c>
      <c r="H383" s="187" t="s">
        <v>1116</v>
      </c>
      <c r="I383" s="188" t="s">
        <v>1112</v>
      </c>
      <c r="J383" s="189">
        <v>0</v>
      </c>
      <c r="K383" s="189">
        <v>15</v>
      </c>
      <c r="L383" s="189" t="s">
        <v>265</v>
      </c>
      <c r="M383" s="189" t="s">
        <v>370</v>
      </c>
      <c r="N383" s="247" t="str">
        <f>IF(A383="k_CalRelNum_Cnt_u8[12]","CalRelNum",IF(F383="Y","TunSetCalSeg",IF(F383="N", "FlashCalSeg", "")))</f>
        <v>TunSetCalSeg</v>
      </c>
    </row>
    <row r="384" spans="1:14" ht="30.6" x14ac:dyDescent="0.25">
      <c r="A384" s="190" t="s">
        <v>1129</v>
      </c>
      <c r="B384" s="184" t="s">
        <v>1130</v>
      </c>
      <c r="C384" s="185" t="s">
        <v>1074</v>
      </c>
      <c r="D384" s="185" t="s">
        <v>202</v>
      </c>
      <c r="E384" s="185" t="s">
        <v>1131</v>
      </c>
      <c r="F384" s="186" t="s">
        <v>81</v>
      </c>
      <c r="G384" s="187" t="s">
        <v>82</v>
      </c>
      <c r="H384" s="187" t="s">
        <v>1132</v>
      </c>
      <c r="I384" s="188" t="s">
        <v>1133</v>
      </c>
      <c r="J384" s="189">
        <v>-40</v>
      </c>
      <c r="K384" s="189">
        <v>150</v>
      </c>
      <c r="L384" s="189" t="s">
        <v>558</v>
      </c>
      <c r="M384" s="189" t="s">
        <v>1134</v>
      </c>
      <c r="N384" s="247" t="str">
        <f>IF(A384="k_CalRelNum_Cnt_u8[12]","CalRelNum",IF(F384="Y","TunSetCalSeg",IF(F384="N", "FlashCalSeg", "")))</f>
        <v>TunSetCalSeg</v>
      </c>
    </row>
    <row r="385" spans="1:14" ht="30.6" x14ac:dyDescent="0.25">
      <c r="A385" s="190" t="s">
        <v>1135</v>
      </c>
      <c r="B385" s="184" t="s">
        <v>1136</v>
      </c>
      <c r="C385" s="185" t="s">
        <v>1074</v>
      </c>
      <c r="D385" s="185" t="s">
        <v>202</v>
      </c>
      <c r="E385" s="185" t="s">
        <v>1137</v>
      </c>
      <c r="F385" s="186" t="s">
        <v>81</v>
      </c>
      <c r="G385" s="187" t="s">
        <v>82</v>
      </c>
      <c r="H385" s="187" t="s">
        <v>1138</v>
      </c>
      <c r="I385" s="188" t="s">
        <v>1139</v>
      </c>
      <c r="J385" s="189">
        <v>0</v>
      </c>
      <c r="K385" s="189">
        <v>10</v>
      </c>
      <c r="L385" s="189" t="s">
        <v>265</v>
      </c>
      <c r="M385" s="189" t="s">
        <v>370</v>
      </c>
      <c r="N385" s="247" t="str">
        <f>IF(A385="k_CalRelNum_Cnt_u8[12]","CalRelNum",IF(F385="Y","TunSetCalSeg",IF(F385="N", "FlashCalSeg", "")))</f>
        <v>TunSetCalSeg</v>
      </c>
    </row>
    <row r="386" spans="1:14" ht="30.6" x14ac:dyDescent="0.25">
      <c r="A386" s="190" t="s">
        <v>1145</v>
      </c>
      <c r="B386" s="184" t="s">
        <v>1146</v>
      </c>
      <c r="C386" s="185" t="s">
        <v>1074</v>
      </c>
      <c r="D386" s="185" t="s">
        <v>202</v>
      </c>
      <c r="E386" s="185" t="s">
        <v>1147</v>
      </c>
      <c r="F386" s="186" t="s">
        <v>81</v>
      </c>
      <c r="G386" s="187" t="s">
        <v>82</v>
      </c>
      <c r="H386" s="187" t="s">
        <v>1148</v>
      </c>
      <c r="I386" s="188" t="s">
        <v>1149</v>
      </c>
      <c r="J386" s="189">
        <v>0</v>
      </c>
      <c r="K386" s="189">
        <v>8</v>
      </c>
      <c r="L386" s="189" t="s">
        <v>256</v>
      </c>
      <c r="M386" s="189" t="s">
        <v>257</v>
      </c>
      <c r="N386" s="247" t="str">
        <f>IF(A386="k_CalRelNum_Cnt_u8[12]","CalRelNum",IF(F386="Y","TunSetCalSeg",IF(F386="N", "FlashCalSeg", "")))</f>
        <v>TunSetCalSeg</v>
      </c>
    </row>
    <row r="387" spans="1:14" ht="30.6" x14ac:dyDescent="0.25">
      <c r="A387" s="190" t="s">
        <v>1150</v>
      </c>
      <c r="B387" s="184" t="s">
        <v>1151</v>
      </c>
      <c r="C387" s="185" t="s">
        <v>1074</v>
      </c>
      <c r="D387" s="185" t="s">
        <v>202</v>
      </c>
      <c r="E387" s="185" t="s">
        <v>1152</v>
      </c>
      <c r="F387" s="186" t="s">
        <v>81</v>
      </c>
      <c r="G387" s="187" t="s">
        <v>82</v>
      </c>
      <c r="H387" s="187" t="s">
        <v>1153</v>
      </c>
      <c r="I387" s="188" t="s">
        <v>1154</v>
      </c>
      <c r="J387" s="189">
        <v>0</v>
      </c>
      <c r="K387" s="189">
        <v>1</v>
      </c>
      <c r="L387" s="189" t="s">
        <v>260</v>
      </c>
      <c r="M387" s="189" t="s">
        <v>374</v>
      </c>
      <c r="N387" s="247" t="str">
        <f>IF(A387="k_CalRelNum_Cnt_u8[12]","CalRelNum",IF(F387="Y","TunSetCalSeg",IF(F387="N", "FlashCalSeg", "")))</f>
        <v>TunSetCalSeg</v>
      </c>
    </row>
    <row r="388" spans="1:14" ht="71.400000000000006" x14ac:dyDescent="0.25">
      <c r="A388" s="190" t="s">
        <v>1125</v>
      </c>
      <c r="B388" s="184" t="s">
        <v>1126</v>
      </c>
      <c r="C388" s="185" t="s">
        <v>1074</v>
      </c>
      <c r="D388" s="185" t="s">
        <v>202</v>
      </c>
      <c r="E388" s="185" t="s">
        <v>1127</v>
      </c>
      <c r="F388" s="186" t="s">
        <v>81</v>
      </c>
      <c r="G388" s="187" t="s">
        <v>82</v>
      </c>
      <c r="H388" s="187" t="s">
        <v>1128</v>
      </c>
      <c r="I388" s="188" t="s">
        <v>3425</v>
      </c>
      <c r="J388" s="189">
        <v>0</v>
      </c>
      <c r="K388" s="189">
        <v>15</v>
      </c>
      <c r="L388" s="189" t="s">
        <v>265</v>
      </c>
      <c r="M388" s="189" t="s">
        <v>370</v>
      </c>
      <c r="N388" s="247" t="str">
        <f>IF(A388="k_CalRelNum_Cnt_u8[12]","CalRelNum",IF(F388="Y","TunSetCalSeg",IF(F388="N", "FlashCalSeg", "")))</f>
        <v>TunSetCalSeg</v>
      </c>
    </row>
    <row r="389" spans="1:14" ht="30.6" x14ac:dyDescent="0.25">
      <c r="A389" s="190" t="s">
        <v>1140</v>
      </c>
      <c r="B389" s="184" t="s">
        <v>1141</v>
      </c>
      <c r="C389" s="185" t="s">
        <v>1074</v>
      </c>
      <c r="D389" s="185" t="s">
        <v>202</v>
      </c>
      <c r="E389" s="185" t="s">
        <v>1142</v>
      </c>
      <c r="F389" s="186" t="s">
        <v>81</v>
      </c>
      <c r="G389" s="187" t="s">
        <v>82</v>
      </c>
      <c r="H389" s="187" t="s">
        <v>1143</v>
      </c>
      <c r="I389" s="188" t="s">
        <v>1144</v>
      </c>
      <c r="J389" s="189">
        <v>0</v>
      </c>
      <c r="K389" s="189">
        <v>15</v>
      </c>
      <c r="L389" s="189" t="s">
        <v>265</v>
      </c>
      <c r="M389" s="189" t="s">
        <v>370</v>
      </c>
      <c r="N389" s="247" t="str">
        <f>IF(A389="k_CalRelNum_Cnt_u8[12]","CalRelNum",IF(F389="Y","TunSetCalSeg",IF(F389="N", "FlashCalSeg", "")))</f>
        <v>TunSetCalSeg</v>
      </c>
    </row>
    <row r="390" spans="1:14" ht="30.6" x14ac:dyDescent="0.25">
      <c r="A390" s="254" t="s">
        <v>1165</v>
      </c>
      <c r="B390" s="248" t="s">
        <v>1166</v>
      </c>
      <c r="C390" s="249" t="s">
        <v>1074</v>
      </c>
      <c r="D390" s="249" t="s">
        <v>202</v>
      </c>
      <c r="E390" s="249" t="s">
        <v>1167</v>
      </c>
      <c r="F390" s="250" t="s">
        <v>81</v>
      </c>
      <c r="G390" s="251" t="s">
        <v>82</v>
      </c>
      <c r="H390" s="251" t="s">
        <v>1168</v>
      </c>
      <c r="I390" s="252" t="s">
        <v>1169</v>
      </c>
      <c r="J390" s="253">
        <v>0</v>
      </c>
      <c r="K390" s="253">
        <v>255</v>
      </c>
      <c r="L390" s="253" t="s">
        <v>265</v>
      </c>
      <c r="M390" s="253" t="s">
        <v>370</v>
      </c>
      <c r="N390" s="247" t="str">
        <f>IF(A390="k_CalRelNum_Cnt_u8[12]","CalRelNum",IF(F390="Y","TunSetCalSeg",IF(F390="N", "FlashCalSeg", "")))</f>
        <v>TunSetCalSeg</v>
      </c>
    </row>
    <row r="391" spans="1:14" ht="30.6" x14ac:dyDescent="0.25">
      <c r="A391" s="190" t="s">
        <v>1170</v>
      </c>
      <c r="B391" s="184" t="s">
        <v>1171</v>
      </c>
      <c r="C391" s="185" t="s">
        <v>1074</v>
      </c>
      <c r="D391" s="185" t="s">
        <v>202</v>
      </c>
      <c r="E391" s="185" t="s">
        <v>1172</v>
      </c>
      <c r="F391" s="186" t="s">
        <v>81</v>
      </c>
      <c r="G391" s="187" t="s">
        <v>82</v>
      </c>
      <c r="H391" s="187" t="s">
        <v>1173</v>
      </c>
      <c r="I391" s="188" t="s">
        <v>1174</v>
      </c>
      <c r="J391" s="189">
        <v>0</v>
      </c>
      <c r="K391" s="189">
        <v>1</v>
      </c>
      <c r="L391" s="189" t="s">
        <v>260</v>
      </c>
      <c r="M391" s="189" t="s">
        <v>374</v>
      </c>
      <c r="N391" s="247" t="str">
        <f>IF(A391="k_CalRelNum_Cnt_u8[12]","CalRelNum",IF(F391="Y","TunSetCalSeg",IF(F391="N", "FlashCalSeg", "")))</f>
        <v>TunSetCalSeg</v>
      </c>
    </row>
    <row r="392" spans="1:14" ht="40.799999999999997" x14ac:dyDescent="0.25">
      <c r="A392" s="190" t="s">
        <v>1155</v>
      </c>
      <c r="B392" s="184" t="s">
        <v>1156</v>
      </c>
      <c r="C392" s="185" t="s">
        <v>1074</v>
      </c>
      <c r="D392" s="185" t="s">
        <v>202</v>
      </c>
      <c r="E392" s="185" t="s">
        <v>1157</v>
      </c>
      <c r="F392" s="186" t="s">
        <v>81</v>
      </c>
      <c r="G392" s="187" t="s">
        <v>82</v>
      </c>
      <c r="H392" s="187" t="s">
        <v>1158</v>
      </c>
      <c r="I392" s="188" t="s">
        <v>1159</v>
      </c>
      <c r="J392" s="189">
        <v>0</v>
      </c>
      <c r="K392" s="189">
        <v>8</v>
      </c>
      <c r="L392" s="189" t="s">
        <v>256</v>
      </c>
      <c r="M392" s="189" t="s">
        <v>257</v>
      </c>
      <c r="N392" s="247" t="str">
        <f>IF(A392="k_CalRelNum_Cnt_u8[12]","CalRelNum",IF(F392="Y","TunSetCalSeg",IF(F392="N", "FlashCalSeg", "")))</f>
        <v>TunSetCalSeg</v>
      </c>
    </row>
    <row r="393" spans="1:14" ht="40.799999999999997" x14ac:dyDescent="0.25">
      <c r="A393" s="190" t="s">
        <v>1160</v>
      </c>
      <c r="B393" s="184" t="s">
        <v>1161</v>
      </c>
      <c r="C393" s="185" t="s">
        <v>1074</v>
      </c>
      <c r="D393" s="185" t="s">
        <v>202</v>
      </c>
      <c r="E393" s="185" t="s">
        <v>1162</v>
      </c>
      <c r="F393" s="186" t="s">
        <v>81</v>
      </c>
      <c r="G393" s="187" t="s">
        <v>82</v>
      </c>
      <c r="H393" s="187" t="s">
        <v>1163</v>
      </c>
      <c r="I393" s="188" t="s">
        <v>1164</v>
      </c>
      <c r="J393" s="189">
        <v>0</v>
      </c>
      <c r="K393" s="189">
        <v>15</v>
      </c>
      <c r="L393" s="189" t="s">
        <v>265</v>
      </c>
      <c r="M393" s="189" t="s">
        <v>370</v>
      </c>
      <c r="N393" s="247" t="str">
        <f>IF(A393="k_CalRelNum_Cnt_u8[12]","CalRelNum",IF(F393="Y","TunSetCalSeg",IF(F393="N", "FlashCalSeg", "")))</f>
        <v>TunSetCalSeg</v>
      </c>
    </row>
    <row r="394" spans="1:14" ht="40.799999999999997" x14ac:dyDescent="0.25">
      <c r="A394" s="190" t="s">
        <v>1098</v>
      </c>
      <c r="B394" s="184" t="s">
        <v>1099</v>
      </c>
      <c r="C394" s="185" t="s">
        <v>1074</v>
      </c>
      <c r="D394" s="185" t="s">
        <v>202</v>
      </c>
      <c r="E394" s="185" t="s">
        <v>1100</v>
      </c>
      <c r="F394" s="186" t="s">
        <v>81</v>
      </c>
      <c r="G394" s="187" t="s">
        <v>82</v>
      </c>
      <c r="H394" s="187" t="s">
        <v>1101</v>
      </c>
      <c r="I394" s="188" t="s">
        <v>1102</v>
      </c>
      <c r="J394" s="189">
        <v>0</v>
      </c>
      <c r="K394" s="189">
        <v>1</v>
      </c>
      <c r="L394" s="189" t="s">
        <v>265</v>
      </c>
      <c r="M394" s="189" t="s">
        <v>374</v>
      </c>
      <c r="N394" s="247" t="str">
        <f>IF(A394="k_CalRelNum_Cnt_u8[12]","CalRelNum",IF(F394="Y","TunSetCalSeg",IF(F394="N", "FlashCalSeg", "")))</f>
        <v>TunSetCalSeg</v>
      </c>
    </row>
    <row r="395" spans="1:14" ht="40.799999999999997" x14ac:dyDescent="0.25">
      <c r="A395" s="190" t="s">
        <v>1103</v>
      </c>
      <c r="B395" s="184" t="s">
        <v>1104</v>
      </c>
      <c r="C395" s="185" t="s">
        <v>1074</v>
      </c>
      <c r="D395" s="185" t="s">
        <v>202</v>
      </c>
      <c r="E395" s="185" t="s">
        <v>1105</v>
      </c>
      <c r="F395" s="186" t="s">
        <v>81</v>
      </c>
      <c r="G395" s="187" t="s">
        <v>82</v>
      </c>
      <c r="H395" s="187" t="s">
        <v>1106</v>
      </c>
      <c r="I395" s="188" t="s">
        <v>1107</v>
      </c>
      <c r="J395" s="189">
        <v>0</v>
      </c>
      <c r="K395" s="189">
        <v>1</v>
      </c>
      <c r="L395" s="189" t="s">
        <v>260</v>
      </c>
      <c r="M395" s="189" t="s">
        <v>374</v>
      </c>
      <c r="N395" s="247" t="str">
        <f>IF(A395="k_CalRelNum_Cnt_u8[12]","CalRelNum",IF(F395="Y","TunSetCalSeg",IF(F395="N", "FlashCalSeg", "")))</f>
        <v>TunSetCalSeg</v>
      </c>
    </row>
    <row r="396" spans="1:14" ht="71.400000000000006" x14ac:dyDescent="0.25">
      <c r="A396" s="190" t="s">
        <v>1088</v>
      </c>
      <c r="B396" s="184" t="s">
        <v>1089</v>
      </c>
      <c r="C396" s="185" t="s">
        <v>1074</v>
      </c>
      <c r="D396" s="185" t="s">
        <v>202</v>
      </c>
      <c r="E396" s="185" t="s">
        <v>1090</v>
      </c>
      <c r="F396" s="186" t="s">
        <v>81</v>
      </c>
      <c r="G396" s="187" t="s">
        <v>82</v>
      </c>
      <c r="H396" s="187" t="s">
        <v>1091</v>
      </c>
      <c r="I396" s="188" t="s">
        <v>1092</v>
      </c>
      <c r="J396" s="189">
        <v>0</v>
      </c>
      <c r="K396" s="189">
        <v>10</v>
      </c>
      <c r="L396" s="189" t="s">
        <v>265</v>
      </c>
      <c r="M396" s="189" t="s">
        <v>733</v>
      </c>
      <c r="N396" s="247" t="str">
        <f>IF(A396="k_CalRelNum_Cnt_u8[12]","CalRelNum",IF(F396="Y","TunSetCalSeg",IF(F396="N", "FlashCalSeg", "")))</f>
        <v>TunSetCalSeg</v>
      </c>
    </row>
    <row r="397" spans="1:14" ht="51" x14ac:dyDescent="0.25">
      <c r="A397" s="190" t="s">
        <v>1093</v>
      </c>
      <c r="B397" s="184" t="s">
        <v>1094</v>
      </c>
      <c r="C397" s="185" t="s">
        <v>1074</v>
      </c>
      <c r="D397" s="185" t="s">
        <v>202</v>
      </c>
      <c r="E397" s="185" t="s">
        <v>1095</v>
      </c>
      <c r="F397" s="186" t="s">
        <v>81</v>
      </c>
      <c r="G397" s="187" t="s">
        <v>82</v>
      </c>
      <c r="H397" s="187" t="s">
        <v>1096</v>
      </c>
      <c r="I397" s="188" t="s">
        <v>1097</v>
      </c>
      <c r="J397" s="189">
        <v>0</v>
      </c>
      <c r="K397" s="189">
        <v>1</v>
      </c>
      <c r="L397" s="189" t="s">
        <v>260</v>
      </c>
      <c r="M397" s="189" t="s">
        <v>733</v>
      </c>
      <c r="N397" s="247" t="str">
        <f>IF(A397="k_CalRelNum_Cnt_u8[12]","CalRelNum",IF(F397="Y","TunSetCalSeg",IF(F397="N", "FlashCalSeg", "")))</f>
        <v>TunSetCalSeg</v>
      </c>
    </row>
    <row r="398" spans="1:14" x14ac:dyDescent="0.25">
      <c r="A398" s="190" t="s">
        <v>5063</v>
      </c>
      <c r="B398" s="184"/>
      <c r="C398" s="185" t="s">
        <v>4597</v>
      </c>
      <c r="D398" s="185" t="s">
        <v>220</v>
      </c>
      <c r="E398" s="185"/>
      <c r="F398" s="186" t="s">
        <v>82</v>
      </c>
      <c r="G398" s="187" t="s">
        <v>82</v>
      </c>
      <c r="H398" s="187"/>
      <c r="I398" s="188" t="s">
        <v>5064</v>
      </c>
      <c r="J398" s="189"/>
      <c r="K398" s="189"/>
      <c r="L398" s="189"/>
      <c r="M398" s="189" t="s">
        <v>604</v>
      </c>
      <c r="N398" s="247" t="str">
        <f>IF(A398="k_CalRelNum_Cnt_u8[12]","CalRelNum",IF(F398="Y","TunSetCalSeg",IF(F398="N", "FlashCalSeg", "")))</f>
        <v>FlashCalSeg</v>
      </c>
    </row>
    <row r="399" spans="1:14" ht="30.6" x14ac:dyDescent="0.25">
      <c r="A399" s="190" t="s">
        <v>4609</v>
      </c>
      <c r="B399" s="184" t="s">
        <v>4610</v>
      </c>
      <c r="C399" s="185" t="s">
        <v>4597</v>
      </c>
      <c r="D399" s="185" t="s">
        <v>185</v>
      </c>
      <c r="E399" s="185"/>
      <c r="F399" s="186" t="s">
        <v>82</v>
      </c>
      <c r="G399" s="187" t="s">
        <v>82</v>
      </c>
      <c r="H399" s="187"/>
      <c r="I399" s="188">
        <v>0</v>
      </c>
      <c r="J399" s="189">
        <v>-5</v>
      </c>
      <c r="K399" s="189">
        <v>5</v>
      </c>
      <c r="L399" s="189" t="s">
        <v>654</v>
      </c>
      <c r="M399" s="189" t="s">
        <v>261</v>
      </c>
      <c r="N399" s="247" t="str">
        <f>IF(A399="k_CalRelNum_Cnt_u8[12]","CalRelNum",IF(F399="Y","TunSetCalSeg",IF(F399="N", "FlashCalSeg", "")))</f>
        <v>FlashCalSeg</v>
      </c>
    </row>
    <row r="400" spans="1:14" ht="30.6" x14ac:dyDescent="0.25">
      <c r="A400" s="190" t="s">
        <v>4607</v>
      </c>
      <c r="B400" s="184" t="s">
        <v>4608</v>
      </c>
      <c r="C400" s="185" t="s">
        <v>4597</v>
      </c>
      <c r="D400" s="185" t="s">
        <v>185</v>
      </c>
      <c r="E400" s="185"/>
      <c r="F400" s="186" t="s">
        <v>82</v>
      </c>
      <c r="G400" s="187" t="s">
        <v>82</v>
      </c>
      <c r="H400" s="187"/>
      <c r="I400" s="188">
        <v>1</v>
      </c>
      <c r="J400" s="189">
        <v>1</v>
      </c>
      <c r="K400" s="189">
        <v>100</v>
      </c>
      <c r="L400" s="189" t="s">
        <v>300</v>
      </c>
      <c r="M400" s="189" t="s">
        <v>261</v>
      </c>
      <c r="N400" s="247" t="str">
        <f>IF(A400="k_CalRelNum_Cnt_u8[12]","CalRelNum",IF(F400="Y","TunSetCalSeg",IF(F400="N", "FlashCalSeg", "")))</f>
        <v>FlashCalSeg</v>
      </c>
    </row>
    <row r="401" spans="1:14" ht="30.6" x14ac:dyDescent="0.25">
      <c r="A401" s="190" t="s">
        <v>4611</v>
      </c>
      <c r="B401" s="184" t="s">
        <v>4612</v>
      </c>
      <c r="C401" s="185" t="s">
        <v>4597</v>
      </c>
      <c r="D401" s="185" t="s">
        <v>185</v>
      </c>
      <c r="E401" s="185"/>
      <c r="F401" s="186" t="s">
        <v>82</v>
      </c>
      <c r="G401" s="187" t="s">
        <v>82</v>
      </c>
      <c r="H401" s="187"/>
      <c r="I401" s="188">
        <v>6.7471264367800003</v>
      </c>
      <c r="J401" s="189">
        <v>1</v>
      </c>
      <c r="K401" s="189">
        <v>100</v>
      </c>
      <c r="L401" s="189" t="s">
        <v>300</v>
      </c>
      <c r="M401" s="189" t="s">
        <v>261</v>
      </c>
      <c r="N401" s="247" t="str">
        <f>IF(A401="k_CalRelNum_Cnt_u8[12]","CalRelNum",IF(F401="Y","TunSetCalSeg",IF(F401="N", "FlashCalSeg", "")))</f>
        <v>FlashCalSeg</v>
      </c>
    </row>
    <row r="402" spans="1:14" ht="30.6" x14ac:dyDescent="0.25">
      <c r="A402" s="190" t="s">
        <v>4600</v>
      </c>
      <c r="B402" s="184"/>
      <c r="C402" s="185" t="s">
        <v>4597</v>
      </c>
      <c r="D402" s="185" t="s">
        <v>185</v>
      </c>
      <c r="E402" s="185"/>
      <c r="F402" s="186" t="s">
        <v>82</v>
      </c>
      <c r="G402" s="187" t="s">
        <v>82</v>
      </c>
      <c r="H402" s="187"/>
      <c r="I402" s="188" t="s">
        <v>3470</v>
      </c>
      <c r="J402" s="189"/>
      <c r="K402" s="189"/>
      <c r="L402" s="189"/>
      <c r="M402" s="189" t="s">
        <v>604</v>
      </c>
      <c r="N402" s="247" t="str">
        <f>IF(A402="k_CalRelNum_Cnt_u8[12]","CalRelNum",IF(F402="Y","TunSetCalSeg",IF(F402="N", "FlashCalSeg", "")))</f>
        <v>FlashCalSeg</v>
      </c>
    </row>
    <row r="403" spans="1:14" ht="30.6" x14ac:dyDescent="0.25">
      <c r="A403" s="190" t="s">
        <v>4605</v>
      </c>
      <c r="B403" s="184" t="s">
        <v>4606</v>
      </c>
      <c r="C403" s="185" t="s">
        <v>4597</v>
      </c>
      <c r="D403" s="185" t="s">
        <v>185</v>
      </c>
      <c r="E403" s="185"/>
      <c r="F403" s="186" t="s">
        <v>82</v>
      </c>
      <c r="G403" s="187" t="s">
        <v>82</v>
      </c>
      <c r="H403" s="187"/>
      <c r="I403" s="188">
        <v>1</v>
      </c>
      <c r="J403" s="189">
        <v>0</v>
      </c>
      <c r="K403" s="189">
        <v>255</v>
      </c>
      <c r="L403" s="189" t="s">
        <v>1668</v>
      </c>
      <c r="M403" s="189" t="s">
        <v>267</v>
      </c>
      <c r="N403" s="247" t="str">
        <f>IF(A403="k_CalRelNum_Cnt_u8[12]","CalRelNum",IF(F403="Y","TunSetCalSeg",IF(F403="N", "FlashCalSeg", "")))</f>
        <v>FlashCalSeg</v>
      </c>
    </row>
    <row r="404" spans="1:14" ht="30.6" x14ac:dyDescent="0.25">
      <c r="A404" s="190" t="s">
        <v>4603</v>
      </c>
      <c r="B404" s="184" t="s">
        <v>4604</v>
      </c>
      <c r="C404" s="185" t="s">
        <v>4597</v>
      </c>
      <c r="D404" s="185" t="s">
        <v>185</v>
      </c>
      <c r="E404" s="185"/>
      <c r="F404" s="186" t="s">
        <v>82</v>
      </c>
      <c r="G404" s="187" t="s">
        <v>82</v>
      </c>
      <c r="H404" s="187"/>
      <c r="I404" s="188">
        <v>4</v>
      </c>
      <c r="J404" s="189">
        <v>0</v>
      </c>
      <c r="K404" s="189">
        <v>255</v>
      </c>
      <c r="L404" s="189" t="s">
        <v>1668</v>
      </c>
      <c r="M404" s="189" t="s">
        <v>267</v>
      </c>
      <c r="N404" s="247" t="str">
        <f>IF(A404="k_CalRelNum_Cnt_u8[12]","CalRelNum",IF(F404="Y","TunSetCalSeg",IF(F404="N", "FlashCalSeg", "")))</f>
        <v>FlashCalSeg</v>
      </c>
    </row>
    <row r="405" spans="1:14" ht="30.6" x14ac:dyDescent="0.25">
      <c r="A405" s="190" t="s">
        <v>4601</v>
      </c>
      <c r="B405" s="184" t="s">
        <v>4602</v>
      </c>
      <c r="C405" s="185" t="s">
        <v>4597</v>
      </c>
      <c r="D405" s="185" t="s">
        <v>185</v>
      </c>
      <c r="E405" s="185"/>
      <c r="F405" s="186" t="s">
        <v>82</v>
      </c>
      <c r="G405" s="187" t="s">
        <v>82</v>
      </c>
      <c r="H405" s="187"/>
      <c r="I405" s="188">
        <v>100</v>
      </c>
      <c r="J405" s="189">
        <v>0</v>
      </c>
      <c r="K405" s="189">
        <v>255</v>
      </c>
      <c r="L405" s="189" t="s">
        <v>1668</v>
      </c>
      <c r="M405" s="189" t="s">
        <v>267</v>
      </c>
      <c r="N405" s="247" t="str">
        <f>IF(A405="k_CalRelNum_Cnt_u8[12]","CalRelNum",IF(F405="Y","TunSetCalSeg",IF(F405="N", "FlashCalSeg", "")))</f>
        <v>FlashCalSeg</v>
      </c>
    </row>
    <row r="406" spans="1:14" ht="30.6" x14ac:dyDescent="0.25">
      <c r="A406" s="190" t="s">
        <v>4595</v>
      </c>
      <c r="B406" s="184" t="s">
        <v>4596</v>
      </c>
      <c r="C406" s="185" t="s">
        <v>4597</v>
      </c>
      <c r="D406" s="185" t="s">
        <v>185</v>
      </c>
      <c r="E406" s="185"/>
      <c r="F406" s="186" t="s">
        <v>82</v>
      </c>
      <c r="G406" s="187" t="s">
        <v>82</v>
      </c>
      <c r="H406" s="187"/>
      <c r="I406" s="188">
        <v>3</v>
      </c>
      <c r="J406" s="189">
        <v>0</v>
      </c>
      <c r="K406" s="189">
        <v>6</v>
      </c>
      <c r="L406" s="189" t="s">
        <v>654</v>
      </c>
      <c r="M406" s="189" t="s">
        <v>261</v>
      </c>
      <c r="N406" s="247" t="str">
        <f>IF(A406="k_CalRelNum_Cnt_u8[12]","CalRelNum",IF(F406="Y","TunSetCalSeg",IF(F406="N", "FlashCalSeg", "")))</f>
        <v>FlashCalSeg</v>
      </c>
    </row>
    <row r="407" spans="1:14" ht="30.6" x14ac:dyDescent="0.25">
      <c r="A407" s="190" t="s">
        <v>4598</v>
      </c>
      <c r="B407" s="184" t="s">
        <v>4599</v>
      </c>
      <c r="C407" s="185" t="s">
        <v>4597</v>
      </c>
      <c r="D407" s="185" t="s">
        <v>185</v>
      </c>
      <c r="E407" s="185"/>
      <c r="F407" s="186" t="s">
        <v>82</v>
      </c>
      <c r="G407" s="187" t="s">
        <v>82</v>
      </c>
      <c r="H407" s="187"/>
      <c r="I407" s="188">
        <v>2</v>
      </c>
      <c r="J407" s="189">
        <v>0</v>
      </c>
      <c r="K407" s="189">
        <v>6</v>
      </c>
      <c r="L407" s="189" t="s">
        <v>654</v>
      </c>
      <c r="M407" s="189" t="s">
        <v>261</v>
      </c>
      <c r="N407" s="247" t="str">
        <f>IF(A407="k_CalRelNum_Cnt_u8[12]","CalRelNum",IF(F407="Y","TunSetCalSeg",IF(F407="N", "FlashCalSeg", "")))</f>
        <v>FlashCalSeg</v>
      </c>
    </row>
    <row r="408" spans="1:14" ht="30.6" x14ac:dyDescent="0.25">
      <c r="A408" s="190" t="s">
        <v>4615</v>
      </c>
      <c r="B408" s="184" t="s">
        <v>4616</v>
      </c>
      <c r="C408" s="185" t="s">
        <v>4597</v>
      </c>
      <c r="D408" s="241" t="s">
        <v>185</v>
      </c>
      <c r="E408" s="185"/>
      <c r="F408" s="186" t="s">
        <v>82</v>
      </c>
      <c r="G408" s="187" t="s">
        <v>82</v>
      </c>
      <c r="H408" s="187"/>
      <c r="I408" s="188">
        <v>1</v>
      </c>
      <c r="J408" s="189">
        <v>1</v>
      </c>
      <c r="K408" s="189">
        <v>100</v>
      </c>
      <c r="L408" s="189" t="s">
        <v>300</v>
      </c>
      <c r="M408" s="189" t="s">
        <v>261</v>
      </c>
      <c r="N408" s="247" t="str">
        <f>IF(A408="k_CalRelNum_Cnt_u8[12]","CalRelNum",IF(F408="Y","TunSetCalSeg",IF(F408="N", "FlashCalSeg", "")))</f>
        <v>FlashCalSeg</v>
      </c>
    </row>
    <row r="409" spans="1:14" ht="30.6" x14ac:dyDescent="0.25">
      <c r="A409" s="190" t="s">
        <v>4613</v>
      </c>
      <c r="B409" s="184" t="s">
        <v>4614</v>
      </c>
      <c r="C409" s="185" t="s">
        <v>4597</v>
      </c>
      <c r="D409" s="185" t="s">
        <v>185</v>
      </c>
      <c r="E409" s="185"/>
      <c r="F409" s="186" t="s">
        <v>82</v>
      </c>
      <c r="G409" s="187" t="s">
        <v>82</v>
      </c>
      <c r="H409" s="187"/>
      <c r="I409" s="188">
        <v>3.3696682464499998</v>
      </c>
      <c r="J409" s="189">
        <v>1</v>
      </c>
      <c r="K409" s="189">
        <v>100</v>
      </c>
      <c r="L409" s="189" t="s">
        <v>300</v>
      </c>
      <c r="M409" s="189" t="s">
        <v>261</v>
      </c>
      <c r="N409" s="247" t="str">
        <f>IF(A409="k_CalRelNum_Cnt_u8[12]","CalRelNum",IF(F409="Y","TunSetCalSeg",IF(F409="N", "FlashCalSeg", "")))</f>
        <v>FlashCalSeg</v>
      </c>
    </row>
    <row r="410" spans="1:14" ht="20.399999999999999" x14ac:dyDescent="0.25">
      <c r="A410" s="190" t="s">
        <v>4216</v>
      </c>
      <c r="B410" s="184" t="s">
        <v>4217</v>
      </c>
      <c r="C410" s="185" t="s">
        <v>1177</v>
      </c>
      <c r="D410" s="249" t="s">
        <v>251</v>
      </c>
      <c r="E410" s="185"/>
      <c r="F410" s="186" t="s">
        <v>82</v>
      </c>
      <c r="G410" s="187" t="s">
        <v>82</v>
      </c>
      <c r="H410" s="187"/>
      <c r="I410" s="188">
        <v>500</v>
      </c>
      <c r="J410" s="189">
        <v>0.01</v>
      </c>
      <c r="K410" s="189">
        <v>500</v>
      </c>
      <c r="L410" s="189" t="s">
        <v>867</v>
      </c>
      <c r="M410" s="189" t="s">
        <v>261</v>
      </c>
      <c r="N410" s="247" t="str">
        <f>IF(A410="k_CalRelNum_Cnt_u8[12]","CalRelNum",IF(F410="Y","TunSetCalSeg",IF(F410="N", "FlashCalSeg", "")))</f>
        <v>FlashCalSeg</v>
      </c>
    </row>
    <row r="411" spans="1:14" ht="20.399999999999999" x14ac:dyDescent="0.25">
      <c r="A411" s="190" t="s">
        <v>1175</v>
      </c>
      <c r="B411" s="184" t="s">
        <v>1176</v>
      </c>
      <c r="C411" s="185" t="s">
        <v>1177</v>
      </c>
      <c r="D411" s="185" t="s">
        <v>251</v>
      </c>
      <c r="E411" s="185"/>
      <c r="F411" s="186" t="s">
        <v>82</v>
      </c>
      <c r="G411" s="187" t="s">
        <v>82</v>
      </c>
      <c r="H411" s="187"/>
      <c r="I411" s="188">
        <v>500</v>
      </c>
      <c r="J411" s="189">
        <v>0.5</v>
      </c>
      <c r="K411" s="189">
        <v>500</v>
      </c>
      <c r="L411" s="189" t="s">
        <v>867</v>
      </c>
      <c r="M411" s="189" t="s">
        <v>261</v>
      </c>
      <c r="N411" s="247" t="str">
        <f>IF(A411="k_CalRelNum_Cnt_u8[12]","CalRelNum",IF(F411="Y","TunSetCalSeg",IF(F411="N", "FlashCalSeg", "")))</f>
        <v>FlashCalSeg</v>
      </c>
    </row>
    <row r="412" spans="1:14" ht="20.399999999999999" x14ac:dyDescent="0.25">
      <c r="A412" s="190" t="s">
        <v>1178</v>
      </c>
      <c r="B412" s="184" t="s">
        <v>1179</v>
      </c>
      <c r="C412" s="185" t="s">
        <v>1177</v>
      </c>
      <c r="D412" s="185" t="s">
        <v>251</v>
      </c>
      <c r="E412" s="185"/>
      <c r="F412" s="186" t="s">
        <v>82</v>
      </c>
      <c r="G412" s="187" t="s">
        <v>82</v>
      </c>
      <c r="H412" s="187"/>
      <c r="I412" s="188">
        <v>4400</v>
      </c>
      <c r="J412" s="189">
        <v>1</v>
      </c>
      <c r="K412" s="189">
        <v>4400</v>
      </c>
      <c r="L412" s="189" t="s">
        <v>1180</v>
      </c>
      <c r="M412" s="189" t="s">
        <v>261</v>
      </c>
      <c r="N412" s="247" t="str">
        <f>IF(A412="k_CalRelNum_Cnt_u8[12]","CalRelNum",IF(F412="Y","TunSetCalSeg",IF(F412="N", "FlashCalSeg", "")))</f>
        <v>FlashCalSeg</v>
      </c>
    </row>
    <row r="413" spans="1:14" ht="20.399999999999999" x14ac:dyDescent="0.25">
      <c r="A413" s="190" t="s">
        <v>1181</v>
      </c>
      <c r="B413" s="184" t="s">
        <v>1182</v>
      </c>
      <c r="C413" s="185" t="s">
        <v>1177</v>
      </c>
      <c r="D413" s="185" t="s">
        <v>251</v>
      </c>
      <c r="E413" s="185"/>
      <c r="F413" s="186" t="s">
        <v>82</v>
      </c>
      <c r="G413" s="187" t="s">
        <v>82</v>
      </c>
      <c r="H413" s="187"/>
      <c r="I413" s="188" t="s">
        <v>1183</v>
      </c>
      <c r="J413" s="189">
        <v>0</v>
      </c>
      <c r="K413" s="189">
        <v>511</v>
      </c>
      <c r="L413" s="189" t="s">
        <v>311</v>
      </c>
      <c r="M413" s="189" t="s">
        <v>370</v>
      </c>
      <c r="N413" s="247" t="str">
        <f>IF(A413="k_CalRelNum_Cnt_u8[12]","CalRelNum",IF(F413="Y","TunSetCalSeg",IF(F413="N", "FlashCalSeg", "")))</f>
        <v>FlashCalSeg</v>
      </c>
    </row>
    <row r="414" spans="1:14" ht="20.399999999999999" x14ac:dyDescent="0.25">
      <c r="A414" s="190" t="s">
        <v>1184</v>
      </c>
      <c r="B414" s="184" t="s">
        <v>1185</v>
      </c>
      <c r="C414" s="185" t="s">
        <v>1177</v>
      </c>
      <c r="D414" s="185" t="s">
        <v>251</v>
      </c>
      <c r="E414" s="185"/>
      <c r="F414" s="186" t="s">
        <v>82</v>
      </c>
      <c r="G414" s="187" t="s">
        <v>82</v>
      </c>
      <c r="H414" s="187"/>
      <c r="I414" s="188" t="s">
        <v>1186</v>
      </c>
      <c r="J414" s="189">
        <v>0.5</v>
      </c>
      <c r="K414" s="189">
        <v>500</v>
      </c>
      <c r="L414" s="189" t="s">
        <v>867</v>
      </c>
      <c r="M414" s="189" t="s">
        <v>370</v>
      </c>
      <c r="N414" s="247" t="str">
        <f>IF(A414="k_CalRelNum_Cnt_u8[12]","CalRelNum",IF(F414="Y","TunSetCalSeg",IF(F414="N", "FlashCalSeg", "")))</f>
        <v>FlashCalSeg</v>
      </c>
    </row>
    <row r="415" spans="1:14" ht="20.399999999999999" x14ac:dyDescent="0.25">
      <c r="A415" s="190" t="s">
        <v>1187</v>
      </c>
      <c r="B415" s="184" t="s">
        <v>1188</v>
      </c>
      <c r="C415" s="185" t="s">
        <v>1177</v>
      </c>
      <c r="D415" s="185" t="s">
        <v>251</v>
      </c>
      <c r="E415" s="185"/>
      <c r="F415" s="186" t="s">
        <v>82</v>
      </c>
      <c r="G415" s="187" t="s">
        <v>82</v>
      </c>
      <c r="H415" s="187"/>
      <c r="I415" s="188" t="s">
        <v>1183</v>
      </c>
      <c r="J415" s="189">
        <v>0</v>
      </c>
      <c r="K415" s="189">
        <v>511</v>
      </c>
      <c r="L415" s="189" t="s">
        <v>311</v>
      </c>
      <c r="M415" s="189" t="s">
        <v>370</v>
      </c>
      <c r="N415" s="247" t="str">
        <f>IF(A415="k_CalRelNum_Cnt_u8[12]","CalRelNum",IF(F415="Y","TunSetCalSeg",IF(F415="N", "FlashCalSeg", "")))</f>
        <v>FlashCalSeg</v>
      </c>
    </row>
    <row r="416" spans="1:14" ht="20.399999999999999" x14ac:dyDescent="0.25">
      <c r="A416" s="190" t="s">
        <v>1189</v>
      </c>
      <c r="B416" s="184" t="s">
        <v>1190</v>
      </c>
      <c r="C416" s="185" t="s">
        <v>1177</v>
      </c>
      <c r="D416" s="185" t="s">
        <v>251</v>
      </c>
      <c r="E416" s="185"/>
      <c r="F416" s="186" t="s">
        <v>82</v>
      </c>
      <c r="G416" s="187" t="s">
        <v>82</v>
      </c>
      <c r="H416" s="187"/>
      <c r="I416" s="188" t="s">
        <v>1191</v>
      </c>
      <c r="J416" s="189">
        <v>1</v>
      </c>
      <c r="K416" s="189">
        <v>4400</v>
      </c>
      <c r="L416" s="189" t="s">
        <v>1180</v>
      </c>
      <c r="M416" s="189" t="s">
        <v>871</v>
      </c>
      <c r="N416" s="247" t="str">
        <f>IF(A416="k_CalRelNum_Cnt_u8[12]","CalRelNum",IF(F416="Y","TunSetCalSeg",IF(F416="N", "FlashCalSeg", "")))</f>
        <v>FlashCalSeg</v>
      </c>
    </row>
    <row r="417" spans="1:14" ht="51" x14ac:dyDescent="0.25">
      <c r="A417" s="190" t="s">
        <v>1199</v>
      </c>
      <c r="B417" s="184" t="s">
        <v>1200</v>
      </c>
      <c r="C417" s="185" t="s">
        <v>1195</v>
      </c>
      <c r="D417" s="185" t="s">
        <v>201</v>
      </c>
      <c r="E417" s="185" t="s">
        <v>1201</v>
      </c>
      <c r="F417" s="186" t="s">
        <v>81</v>
      </c>
      <c r="G417" s="187" t="s">
        <v>82</v>
      </c>
      <c r="H417" s="187"/>
      <c r="I417" s="188">
        <v>1</v>
      </c>
      <c r="J417" s="189">
        <v>0</v>
      </c>
      <c r="K417" s="189">
        <v>1</v>
      </c>
      <c r="L417" s="189" t="s">
        <v>300</v>
      </c>
      <c r="M417" s="189" t="s">
        <v>261</v>
      </c>
      <c r="N417" s="247" t="str">
        <f>IF(A417="k_CalRelNum_Cnt_u8[12]","CalRelNum",IF(F417="Y","TunSetCalSeg",IF(F417="N", "FlashCalSeg", "")))</f>
        <v>TunSetCalSeg</v>
      </c>
    </row>
    <row r="418" spans="1:14" ht="40.799999999999997" x14ac:dyDescent="0.25">
      <c r="A418" s="190" t="s">
        <v>1196</v>
      </c>
      <c r="B418" s="184" t="s">
        <v>1197</v>
      </c>
      <c r="C418" s="185" t="s">
        <v>1195</v>
      </c>
      <c r="D418" s="185" t="s">
        <v>201</v>
      </c>
      <c r="E418" s="185" t="s">
        <v>1198</v>
      </c>
      <c r="F418" s="186" t="s">
        <v>81</v>
      </c>
      <c r="G418" s="187" t="s">
        <v>82</v>
      </c>
      <c r="H418" s="187"/>
      <c r="I418" s="188">
        <v>100</v>
      </c>
      <c r="J418" s="189">
        <v>0</v>
      </c>
      <c r="K418" s="189">
        <v>10000</v>
      </c>
      <c r="L418" s="189" t="s">
        <v>273</v>
      </c>
      <c r="M418" s="189" t="s">
        <v>267</v>
      </c>
      <c r="N418" s="247" t="str">
        <f>IF(A418="k_CalRelNum_Cnt_u8[12]","CalRelNum",IF(F418="Y","TunSetCalSeg",IF(F418="N", "FlashCalSeg", "")))</f>
        <v>TunSetCalSeg</v>
      </c>
    </row>
    <row r="419" spans="1:14" ht="30.6" x14ac:dyDescent="0.25">
      <c r="A419" s="190" t="s">
        <v>1202</v>
      </c>
      <c r="B419" s="184" t="s">
        <v>1203</v>
      </c>
      <c r="C419" s="185" t="s">
        <v>1195</v>
      </c>
      <c r="D419" s="185" t="s">
        <v>201</v>
      </c>
      <c r="E419" s="185" t="s">
        <v>1204</v>
      </c>
      <c r="F419" s="186" t="s">
        <v>81</v>
      </c>
      <c r="G419" s="187" t="s">
        <v>82</v>
      </c>
      <c r="H419" s="187"/>
      <c r="I419" s="188">
        <v>2</v>
      </c>
      <c r="J419" s="189">
        <v>0</v>
      </c>
      <c r="K419" s="189">
        <v>10</v>
      </c>
      <c r="L419" s="189" t="s">
        <v>265</v>
      </c>
      <c r="M419" s="189" t="s">
        <v>261</v>
      </c>
      <c r="N419" s="247" t="str">
        <f>IF(A419="k_CalRelNum_Cnt_u8[12]","CalRelNum",IF(F419="Y","TunSetCalSeg",IF(F419="N", "FlashCalSeg", "")))</f>
        <v>TunSetCalSeg</v>
      </c>
    </row>
    <row r="420" spans="1:14" ht="30.6" x14ac:dyDescent="0.25">
      <c r="A420" s="190" t="s">
        <v>1209</v>
      </c>
      <c r="B420" s="184" t="s">
        <v>1210</v>
      </c>
      <c r="C420" s="185" t="s">
        <v>1195</v>
      </c>
      <c r="D420" s="185" t="s">
        <v>201</v>
      </c>
      <c r="E420" s="185"/>
      <c r="F420" s="186" t="s">
        <v>81</v>
      </c>
      <c r="G420" s="187" t="s">
        <v>82</v>
      </c>
      <c r="H420" s="187"/>
      <c r="I420" s="188">
        <v>450</v>
      </c>
      <c r="J420" s="189">
        <v>360</v>
      </c>
      <c r="K420" s="189">
        <v>1440</v>
      </c>
      <c r="L420" s="189" t="s">
        <v>268</v>
      </c>
      <c r="M420" s="189" t="s">
        <v>261</v>
      </c>
      <c r="N420" s="247" t="str">
        <f>IF(A420="k_CalRelNum_Cnt_u8[12]","CalRelNum",IF(F420="Y","TunSetCalSeg",IF(F420="N", "FlashCalSeg", "")))</f>
        <v>TunSetCalSeg</v>
      </c>
    </row>
    <row r="421" spans="1:14" ht="30.6" x14ac:dyDescent="0.25">
      <c r="A421" s="190" t="s">
        <v>1207</v>
      </c>
      <c r="B421" s="184" t="s">
        <v>1208</v>
      </c>
      <c r="C421" s="185" t="s">
        <v>1195</v>
      </c>
      <c r="D421" s="185" t="s">
        <v>201</v>
      </c>
      <c r="E421" s="185"/>
      <c r="F421" s="186" t="s">
        <v>81</v>
      </c>
      <c r="G421" s="187" t="s">
        <v>82</v>
      </c>
      <c r="H421" s="187"/>
      <c r="I421" s="188">
        <v>400</v>
      </c>
      <c r="J421" s="189">
        <v>360</v>
      </c>
      <c r="K421" s="189">
        <v>1440</v>
      </c>
      <c r="L421" s="189" t="s">
        <v>268</v>
      </c>
      <c r="M421" s="189" t="s">
        <v>261</v>
      </c>
      <c r="N421" s="247" t="str">
        <f>IF(A421="k_CalRelNum_Cnt_u8[12]","CalRelNum",IF(F421="Y","TunSetCalSeg",IF(F421="N", "FlashCalSeg", "")))</f>
        <v>TunSetCalSeg</v>
      </c>
    </row>
    <row r="422" spans="1:14" ht="30.6" x14ac:dyDescent="0.25">
      <c r="A422" s="190" t="s">
        <v>1205</v>
      </c>
      <c r="B422" s="184" t="s">
        <v>1206</v>
      </c>
      <c r="C422" s="185" t="s">
        <v>1195</v>
      </c>
      <c r="D422" s="185" t="s">
        <v>201</v>
      </c>
      <c r="E422" s="185"/>
      <c r="F422" s="186" t="s">
        <v>81</v>
      </c>
      <c r="G422" s="187" t="s">
        <v>82</v>
      </c>
      <c r="H422" s="187"/>
      <c r="I422" s="188">
        <v>1</v>
      </c>
      <c r="J422" s="189">
        <v>0</v>
      </c>
      <c r="K422" s="189">
        <v>1</v>
      </c>
      <c r="L422" s="189" t="s">
        <v>300</v>
      </c>
      <c r="M422" s="189" t="s">
        <v>261</v>
      </c>
      <c r="N422" s="247" t="str">
        <f>IF(A422="k_CalRelNum_Cnt_u8[12]","CalRelNum",IF(F422="Y","TunSetCalSeg",IF(F422="N", "FlashCalSeg", "")))</f>
        <v>TunSetCalSeg</v>
      </c>
    </row>
    <row r="423" spans="1:14" ht="30.6" x14ac:dyDescent="0.25">
      <c r="A423" s="190" t="s">
        <v>1192</v>
      </c>
      <c r="B423" s="184" t="s">
        <v>1193</v>
      </c>
      <c r="C423" s="185" t="s">
        <v>1195</v>
      </c>
      <c r="D423" s="185" t="s">
        <v>201</v>
      </c>
      <c r="E423" s="185" t="s">
        <v>1194</v>
      </c>
      <c r="F423" s="186" t="s">
        <v>81</v>
      </c>
      <c r="G423" s="187" t="s">
        <v>82</v>
      </c>
      <c r="H423" s="187"/>
      <c r="I423" s="188">
        <v>50</v>
      </c>
      <c r="J423" s="189">
        <v>0</v>
      </c>
      <c r="K423" s="189">
        <v>1100</v>
      </c>
      <c r="L423" s="189" t="s">
        <v>263</v>
      </c>
      <c r="M423" s="189" t="s">
        <v>261</v>
      </c>
      <c r="N423" s="247" t="str">
        <f>IF(A423="k_CalRelNum_Cnt_u8[12]","CalRelNum",IF(F423="Y","TunSetCalSeg",IF(F423="N", "FlashCalSeg", "")))</f>
        <v>TunSetCalSeg</v>
      </c>
    </row>
    <row r="424" spans="1:14" x14ac:dyDescent="0.25">
      <c r="A424" s="190" t="s">
        <v>1287</v>
      </c>
      <c r="B424" s="184" t="s">
        <v>1288</v>
      </c>
      <c r="C424" s="185" t="s">
        <v>1215</v>
      </c>
      <c r="D424" s="185" t="s">
        <v>1222</v>
      </c>
      <c r="E424" s="185"/>
      <c r="F424" s="186" t="s">
        <v>82</v>
      </c>
      <c r="G424" s="187" t="s">
        <v>82</v>
      </c>
      <c r="H424" s="187"/>
      <c r="I424" s="188">
        <v>3.9300000000000003E-3</v>
      </c>
      <c r="J424" s="189">
        <v>0</v>
      </c>
      <c r="K424" s="189">
        <v>4.4999999999999997E-3</v>
      </c>
      <c r="L424" s="189" t="s">
        <v>1286</v>
      </c>
      <c r="M424" s="189" t="s">
        <v>261</v>
      </c>
      <c r="N424" s="247" t="str">
        <f>IF(A424="k_CalRelNum_Cnt_u8[12]","CalRelNum",IF(F424="Y","TunSetCalSeg",IF(F424="N", "FlashCalSeg", "")))</f>
        <v>FlashCalSeg</v>
      </c>
    </row>
    <row r="425" spans="1:14" ht="51" x14ac:dyDescent="0.25">
      <c r="A425" s="190" t="s">
        <v>1395</v>
      </c>
      <c r="B425" s="184" t="s">
        <v>1396</v>
      </c>
      <c r="C425" s="185" t="s">
        <v>1215</v>
      </c>
      <c r="D425" s="185" t="s">
        <v>1222</v>
      </c>
      <c r="E425" s="185" t="s">
        <v>1397</v>
      </c>
      <c r="F425" s="186" t="s">
        <v>82</v>
      </c>
      <c r="G425" s="187" t="s">
        <v>82</v>
      </c>
      <c r="H425" s="187"/>
      <c r="I425" s="188">
        <v>1</v>
      </c>
      <c r="J425" s="189">
        <v>0.95</v>
      </c>
      <c r="K425" s="189">
        <v>1</v>
      </c>
      <c r="L425" s="189" t="s">
        <v>260</v>
      </c>
      <c r="M425" s="189" t="s">
        <v>261</v>
      </c>
      <c r="N425" s="247" t="str">
        <f>IF(A425="k_CalRelNum_Cnt_u8[12]","CalRelNum",IF(F425="Y","TunSetCalSeg",IF(F425="N", "FlashCalSeg", "")))</f>
        <v>FlashCalSeg</v>
      </c>
    </row>
    <row r="426" spans="1:14" ht="40.799999999999997" x14ac:dyDescent="0.25">
      <c r="A426" s="190" t="s">
        <v>1320</v>
      </c>
      <c r="B426" s="184" t="s">
        <v>1321</v>
      </c>
      <c r="C426" s="185" t="s">
        <v>1215</v>
      </c>
      <c r="D426" s="185" t="s">
        <v>1222</v>
      </c>
      <c r="E426" s="185" t="s">
        <v>1322</v>
      </c>
      <c r="F426" s="186" t="s">
        <v>82</v>
      </c>
      <c r="G426" s="187" t="s">
        <v>82</v>
      </c>
      <c r="H426" s="187"/>
      <c r="I426" s="188">
        <v>6268</v>
      </c>
      <c r="J426" s="189">
        <v>82</v>
      </c>
      <c r="K426" s="189">
        <v>7739</v>
      </c>
      <c r="L426" s="189" t="s">
        <v>260</v>
      </c>
      <c r="M426" s="189" t="s">
        <v>267</v>
      </c>
      <c r="N426" s="247" t="str">
        <f>IF(A426="k_CalRelNum_Cnt_u8[12]","CalRelNum",IF(F426="Y","TunSetCalSeg",IF(F426="N", "FlashCalSeg", "")))</f>
        <v>FlashCalSeg</v>
      </c>
    </row>
    <row r="427" spans="1:14" ht="40.799999999999997" x14ac:dyDescent="0.25">
      <c r="A427" s="190" t="s">
        <v>1323</v>
      </c>
      <c r="B427" s="184" t="s">
        <v>1324</v>
      </c>
      <c r="C427" s="185" t="s">
        <v>1215</v>
      </c>
      <c r="D427" s="185" t="s">
        <v>1222</v>
      </c>
      <c r="E427" s="185" t="s">
        <v>1325</v>
      </c>
      <c r="F427" s="186" t="s">
        <v>82</v>
      </c>
      <c r="G427" s="187" t="s">
        <v>82</v>
      </c>
      <c r="H427" s="187"/>
      <c r="I427" s="188">
        <v>1224</v>
      </c>
      <c r="J427" s="189">
        <v>500</v>
      </c>
      <c r="K427" s="189">
        <v>4836</v>
      </c>
      <c r="L427" s="189" t="s">
        <v>260</v>
      </c>
      <c r="M427" s="189" t="s">
        <v>267</v>
      </c>
      <c r="N427" s="247" t="str">
        <f>IF(A427="k_CalRelNum_Cnt_u8[12]","CalRelNum",IF(F427="Y","TunSetCalSeg",IF(F427="N", "FlashCalSeg", "")))</f>
        <v>FlashCalSeg</v>
      </c>
    </row>
    <row r="428" spans="1:14" x14ac:dyDescent="0.25">
      <c r="A428" s="190" t="s">
        <v>3495</v>
      </c>
      <c r="B428" s="184" t="s">
        <v>3496</v>
      </c>
      <c r="C428" s="185" t="s">
        <v>1215</v>
      </c>
      <c r="D428" s="185" t="s">
        <v>1222</v>
      </c>
      <c r="E428" s="185" t="s">
        <v>1332</v>
      </c>
      <c r="F428" s="186" t="s">
        <v>82</v>
      </c>
      <c r="G428" s="187" t="s">
        <v>82</v>
      </c>
      <c r="H428" s="187"/>
      <c r="I428" s="188">
        <v>12</v>
      </c>
      <c r="J428" s="189">
        <v>1</v>
      </c>
      <c r="K428" s="189">
        <v>18</v>
      </c>
      <c r="L428" s="189" t="s">
        <v>300</v>
      </c>
      <c r="M428" s="189" t="s">
        <v>261</v>
      </c>
      <c r="N428" s="247" t="str">
        <f>IF(A428="k_CalRelNum_Cnt_u8[12]","CalRelNum",IF(F428="Y","TunSetCalSeg",IF(F428="N", "FlashCalSeg", "")))</f>
        <v>FlashCalSeg</v>
      </c>
    </row>
    <row r="429" spans="1:14" x14ac:dyDescent="0.25">
      <c r="A429" s="190" t="s">
        <v>3497</v>
      </c>
      <c r="B429" s="184" t="s">
        <v>3498</v>
      </c>
      <c r="C429" s="185" t="s">
        <v>1215</v>
      </c>
      <c r="D429" s="185" t="s">
        <v>1222</v>
      </c>
      <c r="E429" s="185" t="s">
        <v>3499</v>
      </c>
      <c r="F429" s="186" t="s">
        <v>82</v>
      </c>
      <c r="G429" s="187" t="s">
        <v>82</v>
      </c>
      <c r="H429" s="187"/>
      <c r="I429" s="188">
        <v>18</v>
      </c>
      <c r="J429" s="189">
        <v>1</v>
      </c>
      <c r="K429" s="189">
        <v>18</v>
      </c>
      <c r="L429" s="189" t="s">
        <v>300</v>
      </c>
      <c r="M429" s="189" t="s">
        <v>261</v>
      </c>
      <c r="N429" s="247" t="str">
        <f>IF(A429="k_CalRelNum_Cnt_u8[12]","CalRelNum",IF(F429="Y","TunSetCalSeg",IF(F429="N", "FlashCalSeg", "")))</f>
        <v>FlashCalSeg</v>
      </c>
    </row>
    <row r="430" spans="1:14" x14ac:dyDescent="0.25">
      <c r="A430" s="190" t="s">
        <v>3493</v>
      </c>
      <c r="B430" s="184" t="s">
        <v>3494</v>
      </c>
      <c r="C430" s="185" t="s">
        <v>1215</v>
      </c>
      <c r="D430" s="185" t="s">
        <v>1222</v>
      </c>
      <c r="E430" s="185" t="s">
        <v>1331</v>
      </c>
      <c r="F430" s="186" t="s">
        <v>82</v>
      </c>
      <c r="G430" s="187" t="s">
        <v>82</v>
      </c>
      <c r="H430" s="187"/>
      <c r="I430" s="188">
        <v>6</v>
      </c>
      <c r="J430" s="189">
        <v>1</v>
      </c>
      <c r="K430" s="189">
        <v>18</v>
      </c>
      <c r="L430" s="189" t="s">
        <v>300</v>
      </c>
      <c r="M430" s="189" t="s">
        <v>261</v>
      </c>
      <c r="N430" s="247" t="str">
        <f>IF(A430="k_CalRelNum_Cnt_u8[12]","CalRelNum",IF(F430="Y","TunSetCalSeg",IF(F430="N", "FlashCalSeg", "")))</f>
        <v>FlashCalSeg</v>
      </c>
    </row>
    <row r="431" spans="1:14" x14ac:dyDescent="0.25">
      <c r="A431" s="190" t="s">
        <v>4218</v>
      </c>
      <c r="B431" s="184" t="s">
        <v>4219</v>
      </c>
      <c r="C431" s="185" t="s">
        <v>1215</v>
      </c>
      <c r="D431" s="185" t="s">
        <v>1222</v>
      </c>
      <c r="E431" s="185"/>
      <c r="F431" s="186" t="s">
        <v>82</v>
      </c>
      <c r="G431" s="187" t="s">
        <v>82</v>
      </c>
      <c r="H431" s="187"/>
      <c r="I431" s="188">
        <v>0</v>
      </c>
      <c r="J431" s="189">
        <v>0</v>
      </c>
      <c r="K431" s="189">
        <v>1</v>
      </c>
      <c r="L431" s="189" t="s">
        <v>260</v>
      </c>
      <c r="M431" s="189" t="s">
        <v>261</v>
      </c>
      <c r="N431" s="247" t="str">
        <f>IF(A431="k_CalRelNum_Cnt_u8[12]","CalRelNum",IF(F431="Y","TunSetCalSeg",IF(F431="N", "FlashCalSeg", "")))</f>
        <v>FlashCalSeg</v>
      </c>
    </row>
    <row r="432" spans="1:14" x14ac:dyDescent="0.25">
      <c r="A432" s="190" t="s">
        <v>4220</v>
      </c>
      <c r="B432" s="184" t="s">
        <v>4221</v>
      </c>
      <c r="C432" s="185" t="s">
        <v>1215</v>
      </c>
      <c r="D432" s="185" t="s">
        <v>1222</v>
      </c>
      <c r="E432" s="185"/>
      <c r="F432" s="186" t="s">
        <v>82</v>
      </c>
      <c r="G432" s="187" t="s">
        <v>82</v>
      </c>
      <c r="H432" s="187"/>
      <c r="I432" s="188">
        <v>0.25</v>
      </c>
      <c r="J432" s="189">
        <v>0</v>
      </c>
      <c r="K432" s="189">
        <v>1</v>
      </c>
      <c r="L432" s="189" t="s">
        <v>260</v>
      </c>
      <c r="M432" s="189" t="s">
        <v>261</v>
      </c>
      <c r="N432" s="247" t="str">
        <f>IF(A432="k_CalRelNum_Cnt_u8[12]","CalRelNum",IF(F432="Y","TunSetCalSeg",IF(F432="N", "FlashCalSeg", "")))</f>
        <v>FlashCalSeg</v>
      </c>
    </row>
    <row r="433" spans="1:14" ht="20.399999999999999" x14ac:dyDescent="0.25">
      <c r="A433" s="190" t="s">
        <v>1389</v>
      </c>
      <c r="B433" s="184" t="s">
        <v>1390</v>
      </c>
      <c r="C433" s="185" t="s">
        <v>1215</v>
      </c>
      <c r="D433" s="185" t="s">
        <v>1222</v>
      </c>
      <c r="E433" s="185" t="s">
        <v>1391</v>
      </c>
      <c r="F433" s="186" t="s">
        <v>82</v>
      </c>
      <c r="G433" s="187" t="s">
        <v>82</v>
      </c>
      <c r="H433" s="187"/>
      <c r="I433" s="188">
        <v>3</v>
      </c>
      <c r="J433" s="189">
        <v>1</v>
      </c>
      <c r="K433" s="189">
        <v>5</v>
      </c>
      <c r="L433" s="189" t="s">
        <v>271</v>
      </c>
      <c r="M433" s="189" t="s">
        <v>267</v>
      </c>
      <c r="N433" s="247" t="str">
        <f>IF(A433="k_CalRelNum_Cnt_u8[12]","CalRelNum",IF(F433="Y","TunSetCalSeg",IF(F433="N", "FlashCalSeg", "")))</f>
        <v>FlashCalSeg</v>
      </c>
    </row>
    <row r="434" spans="1:14" ht="20.399999999999999" x14ac:dyDescent="0.25">
      <c r="A434" s="190" t="s">
        <v>1386</v>
      </c>
      <c r="B434" s="184" t="s">
        <v>1387</v>
      </c>
      <c r="C434" s="185" t="s">
        <v>1215</v>
      </c>
      <c r="D434" s="185" t="s">
        <v>1222</v>
      </c>
      <c r="E434" s="185" t="s">
        <v>1388</v>
      </c>
      <c r="F434" s="186" t="s">
        <v>82</v>
      </c>
      <c r="G434" s="187" t="s">
        <v>82</v>
      </c>
      <c r="H434" s="187"/>
      <c r="I434" s="188">
        <v>0.1</v>
      </c>
      <c r="J434" s="189">
        <v>0.01</v>
      </c>
      <c r="K434" s="189">
        <v>20</v>
      </c>
      <c r="L434" s="189" t="s">
        <v>648</v>
      </c>
      <c r="M434" s="189" t="s">
        <v>261</v>
      </c>
      <c r="N434" s="247" t="str">
        <f>IF(A434="k_CalRelNum_Cnt_u8[12]","CalRelNum",IF(F434="Y","TunSetCalSeg",IF(F434="N", "FlashCalSeg", "")))</f>
        <v>FlashCalSeg</v>
      </c>
    </row>
    <row r="435" spans="1:14" ht="20.399999999999999" x14ac:dyDescent="0.25">
      <c r="A435" s="190" t="s">
        <v>1392</v>
      </c>
      <c r="B435" s="184" t="s">
        <v>1393</v>
      </c>
      <c r="C435" s="185" t="s">
        <v>1215</v>
      </c>
      <c r="D435" s="185" t="s">
        <v>1222</v>
      </c>
      <c r="E435" s="185" t="s">
        <v>1394</v>
      </c>
      <c r="F435" s="186" t="s">
        <v>82</v>
      </c>
      <c r="G435" s="187" t="s">
        <v>82</v>
      </c>
      <c r="H435" s="187"/>
      <c r="I435" s="188">
        <v>10</v>
      </c>
      <c r="J435" s="189">
        <v>1</v>
      </c>
      <c r="K435" s="189">
        <v>20</v>
      </c>
      <c r="L435" s="189" t="s">
        <v>271</v>
      </c>
      <c r="M435" s="189" t="s">
        <v>267</v>
      </c>
      <c r="N435" s="247" t="str">
        <f>IF(A435="k_CalRelNum_Cnt_u8[12]","CalRelNum",IF(F435="Y","TunSetCalSeg",IF(F435="N", "FlashCalSeg", "")))</f>
        <v>FlashCalSeg</v>
      </c>
    </row>
    <row r="436" spans="1:14" ht="20.399999999999999" x14ac:dyDescent="0.25">
      <c r="A436" s="190" t="s">
        <v>1383</v>
      </c>
      <c r="B436" s="184" t="s">
        <v>1384</v>
      </c>
      <c r="C436" s="185" t="s">
        <v>1215</v>
      </c>
      <c r="D436" s="185" t="s">
        <v>1222</v>
      </c>
      <c r="E436" s="185" t="s">
        <v>1385</v>
      </c>
      <c r="F436" s="186" t="s">
        <v>82</v>
      </c>
      <c r="G436" s="187" t="s">
        <v>82</v>
      </c>
      <c r="H436" s="187"/>
      <c r="I436" s="188">
        <v>3</v>
      </c>
      <c r="J436" s="189">
        <v>1</v>
      </c>
      <c r="K436" s="189">
        <v>5</v>
      </c>
      <c r="L436" s="189" t="s">
        <v>271</v>
      </c>
      <c r="M436" s="189" t="s">
        <v>267</v>
      </c>
      <c r="N436" s="247" t="str">
        <f>IF(A436="k_CalRelNum_Cnt_u8[12]","CalRelNum",IF(F436="Y","TunSetCalSeg",IF(F436="N", "FlashCalSeg", "")))</f>
        <v>FlashCalSeg</v>
      </c>
    </row>
    <row r="437" spans="1:14" ht="20.399999999999999" x14ac:dyDescent="0.25">
      <c r="A437" s="190" t="s">
        <v>1380</v>
      </c>
      <c r="B437" s="184" t="s">
        <v>1381</v>
      </c>
      <c r="C437" s="185" t="s">
        <v>1215</v>
      </c>
      <c r="D437" s="185" t="s">
        <v>1222</v>
      </c>
      <c r="E437" s="185" t="s">
        <v>1382</v>
      </c>
      <c r="F437" s="186" t="s">
        <v>82</v>
      </c>
      <c r="G437" s="187" t="s">
        <v>82</v>
      </c>
      <c r="H437" s="187"/>
      <c r="I437" s="188">
        <v>1.4999999999999999E-2</v>
      </c>
      <c r="J437" s="189">
        <v>1E-3</v>
      </c>
      <c r="K437" s="189">
        <v>0.1</v>
      </c>
      <c r="L437" s="189" t="s">
        <v>1330</v>
      </c>
      <c r="M437" s="189" t="s">
        <v>261</v>
      </c>
      <c r="N437" s="247" t="str">
        <f>IF(A437="k_CalRelNum_Cnt_u8[12]","CalRelNum",IF(F437="Y","TunSetCalSeg",IF(F437="N", "FlashCalSeg", "")))</f>
        <v>FlashCalSeg</v>
      </c>
    </row>
    <row r="438" spans="1:14" ht="51" x14ac:dyDescent="0.25">
      <c r="A438" s="190" t="s">
        <v>1354</v>
      </c>
      <c r="B438" s="184" t="s">
        <v>1355</v>
      </c>
      <c r="C438" s="185" t="s">
        <v>1215</v>
      </c>
      <c r="D438" s="185" t="s">
        <v>1222</v>
      </c>
      <c r="E438" s="185" t="s">
        <v>1356</v>
      </c>
      <c r="F438" s="186" t="s">
        <v>82</v>
      </c>
      <c r="G438" s="187" t="s">
        <v>82</v>
      </c>
      <c r="H438" s="187"/>
      <c r="I438" s="188">
        <v>2.5</v>
      </c>
      <c r="J438" s="189">
        <v>0</v>
      </c>
      <c r="K438" s="189">
        <v>6.25</v>
      </c>
      <c r="L438" s="189" t="s">
        <v>1357</v>
      </c>
      <c r="M438" s="189" t="s">
        <v>261</v>
      </c>
      <c r="N438" s="247" t="str">
        <f>IF(A438="k_CalRelNum_Cnt_u8[12]","CalRelNum",IF(F438="Y","TunSetCalSeg",IF(F438="N", "FlashCalSeg", "")))</f>
        <v>FlashCalSeg</v>
      </c>
    </row>
    <row r="439" spans="1:14" x14ac:dyDescent="0.25">
      <c r="A439" s="190" t="s">
        <v>1279</v>
      </c>
      <c r="B439" s="184" t="s">
        <v>1280</v>
      </c>
      <c r="C439" s="185" t="s">
        <v>1215</v>
      </c>
      <c r="D439" s="185" t="s">
        <v>1222</v>
      </c>
      <c r="E439" s="185"/>
      <c r="F439" s="186" t="s">
        <v>82</v>
      </c>
      <c r="G439" s="187" t="s">
        <v>82</v>
      </c>
      <c r="H439" s="187"/>
      <c r="I439" s="188">
        <v>-1E-3</v>
      </c>
      <c r="J439" s="189">
        <v>-1.5E-3</v>
      </c>
      <c r="K439" s="189">
        <v>1.5E-3</v>
      </c>
      <c r="L439" s="189" t="s">
        <v>1281</v>
      </c>
      <c r="M439" s="189" t="s">
        <v>261</v>
      </c>
      <c r="N439" s="247" t="str">
        <f>IF(A439="k_CalRelNum_Cnt_u8[12]","CalRelNum",IF(F439="Y","TunSetCalSeg",IF(F439="N", "FlashCalSeg", "")))</f>
        <v>FlashCalSeg</v>
      </c>
    </row>
    <row r="440" spans="1:14" x14ac:dyDescent="0.25">
      <c r="A440" s="190" t="s">
        <v>1261</v>
      </c>
      <c r="B440" s="184" t="s">
        <v>1262</v>
      </c>
      <c r="C440" s="185" t="s">
        <v>1215</v>
      </c>
      <c r="D440" s="185" t="s">
        <v>1222</v>
      </c>
      <c r="E440" s="185"/>
      <c r="F440" s="186" t="s">
        <v>82</v>
      </c>
      <c r="G440" s="187" t="s">
        <v>82</v>
      </c>
      <c r="H440" s="187"/>
      <c r="I440" s="188">
        <v>0.06</v>
      </c>
      <c r="J440" s="189">
        <v>2.5000000000000001E-2</v>
      </c>
      <c r="K440" s="189">
        <v>7.4999999999999997E-2</v>
      </c>
      <c r="L440" s="189" t="s">
        <v>1260</v>
      </c>
      <c r="M440" s="189" t="s">
        <v>261</v>
      </c>
      <c r="N440" s="247" t="str">
        <f>IF(A440="k_CalRelNum_Cnt_u8[12]","CalRelNum",IF(F440="Y","TunSetCalSeg",IF(F440="N", "FlashCalSeg", "")))</f>
        <v>FlashCalSeg</v>
      </c>
    </row>
    <row r="441" spans="1:14" x14ac:dyDescent="0.25">
      <c r="A441" s="190" t="s">
        <v>1275</v>
      </c>
      <c r="B441" s="184" t="s">
        <v>1276</v>
      </c>
      <c r="C441" s="185" t="s">
        <v>1215</v>
      </c>
      <c r="D441" s="185" t="s">
        <v>1222</v>
      </c>
      <c r="E441" s="185"/>
      <c r="F441" s="186" t="s">
        <v>82</v>
      </c>
      <c r="G441" s="187" t="s">
        <v>82</v>
      </c>
      <c r="H441" s="187"/>
      <c r="I441" s="238">
        <v>2.0000000000000001E-4</v>
      </c>
      <c r="J441" s="239">
        <v>3.0000000000000001E-5</v>
      </c>
      <c r="K441" s="239">
        <v>4.0999999999999999E-4</v>
      </c>
      <c r="L441" s="189" t="s">
        <v>1270</v>
      </c>
      <c r="M441" s="189" t="s">
        <v>261</v>
      </c>
      <c r="N441" s="247" t="str">
        <f>IF(A441="k_CalRelNum_Cnt_u8[12]","CalRelNum",IF(F441="Y","TunSetCalSeg",IF(F441="N", "FlashCalSeg", "")))</f>
        <v>FlashCalSeg</v>
      </c>
    </row>
    <row r="442" spans="1:14" x14ac:dyDescent="0.25">
      <c r="A442" s="190" t="s">
        <v>1271</v>
      </c>
      <c r="B442" s="184" t="s">
        <v>1272</v>
      </c>
      <c r="C442" s="185" t="s">
        <v>1215</v>
      </c>
      <c r="D442" s="185" t="s">
        <v>1222</v>
      </c>
      <c r="E442" s="185"/>
      <c r="F442" s="186" t="s">
        <v>82</v>
      </c>
      <c r="G442" s="187" t="s">
        <v>82</v>
      </c>
      <c r="H442" s="187"/>
      <c r="I442" s="188">
        <v>2.0000000000000001E-4</v>
      </c>
      <c r="J442" s="189">
        <v>3.0000000000000001E-5</v>
      </c>
      <c r="K442" s="189">
        <v>4.0999999999999999E-4</v>
      </c>
      <c r="L442" s="189" t="s">
        <v>1270</v>
      </c>
      <c r="M442" s="189" t="s">
        <v>261</v>
      </c>
      <c r="N442" s="247" t="str">
        <f>IF(A442="k_CalRelNum_Cnt_u8[12]","CalRelNum",IF(F442="Y","TunSetCalSeg",IF(F442="N", "FlashCalSeg", "")))</f>
        <v>FlashCalSeg</v>
      </c>
    </row>
    <row r="443" spans="1:14" x14ac:dyDescent="0.25">
      <c r="A443" s="190" t="s">
        <v>1266</v>
      </c>
      <c r="B443" s="184" t="s">
        <v>1267</v>
      </c>
      <c r="C443" s="185" t="s">
        <v>1215</v>
      </c>
      <c r="D443" s="185" t="s">
        <v>1222</v>
      </c>
      <c r="E443" s="185"/>
      <c r="F443" s="186" t="s">
        <v>82</v>
      </c>
      <c r="G443" s="187" t="s">
        <v>82</v>
      </c>
      <c r="H443" s="187"/>
      <c r="I443" s="252">
        <v>0.06</v>
      </c>
      <c r="J443" s="253">
        <v>5.0000000000000001E-3</v>
      </c>
      <c r="K443" s="253">
        <v>0.12565000000000001</v>
      </c>
      <c r="L443" s="189" t="s">
        <v>1265</v>
      </c>
      <c r="M443" s="189" t="s">
        <v>261</v>
      </c>
      <c r="N443" s="247" t="str">
        <f>IF(A443="k_CalRelNum_Cnt_u8[12]","CalRelNum",IF(F443="Y","TunSetCalSeg",IF(F443="N", "FlashCalSeg", "")))</f>
        <v>FlashCalSeg</v>
      </c>
    </row>
    <row r="444" spans="1:14" ht="30.6" x14ac:dyDescent="0.25">
      <c r="A444" s="190" t="s">
        <v>1216</v>
      </c>
      <c r="B444" s="184" t="s">
        <v>1217</v>
      </c>
      <c r="C444" s="185" t="s">
        <v>1215</v>
      </c>
      <c r="D444" s="185" t="s">
        <v>219</v>
      </c>
      <c r="E444" s="185" t="s">
        <v>1218</v>
      </c>
      <c r="F444" s="186" t="s">
        <v>82</v>
      </c>
      <c r="G444" s="187" t="s">
        <v>82</v>
      </c>
      <c r="H444" s="187"/>
      <c r="I444" s="188">
        <v>1.1000000000000001</v>
      </c>
      <c r="J444" s="189">
        <v>0.9</v>
      </c>
      <c r="K444" s="189">
        <v>1.1000000000000001</v>
      </c>
      <c r="L444" s="189" t="s">
        <v>260</v>
      </c>
      <c r="M444" s="189" t="s">
        <v>261</v>
      </c>
      <c r="N444" s="247" t="str">
        <f>IF(A444="k_CalRelNum_Cnt_u8[12]","CalRelNum",IF(F444="Y","TunSetCalSeg",IF(F444="N", "FlashCalSeg", "")))</f>
        <v>FlashCalSeg</v>
      </c>
    </row>
    <row r="445" spans="1:14" x14ac:dyDescent="0.25">
      <c r="A445" s="190" t="s">
        <v>1258</v>
      </c>
      <c r="B445" s="184" t="s">
        <v>1259</v>
      </c>
      <c r="C445" s="185" t="s">
        <v>1215</v>
      </c>
      <c r="D445" s="185" t="s">
        <v>1222</v>
      </c>
      <c r="E445" s="185"/>
      <c r="F445" s="186" t="s">
        <v>82</v>
      </c>
      <c r="G445" s="187" t="s">
        <v>82</v>
      </c>
      <c r="H445" s="187"/>
      <c r="I445" s="188">
        <v>2.5999999999999999E-2</v>
      </c>
      <c r="J445" s="189">
        <v>2.5000000000000001E-2</v>
      </c>
      <c r="K445" s="189">
        <v>7.4999999999999997E-2</v>
      </c>
      <c r="L445" s="189" t="s">
        <v>1260</v>
      </c>
      <c r="M445" s="189" t="s">
        <v>261</v>
      </c>
      <c r="N445" s="247" t="str">
        <f>IF(A445="k_CalRelNum_Cnt_u8[12]","CalRelNum",IF(F445="Y","TunSetCalSeg",IF(F445="N", "FlashCalSeg", "")))</f>
        <v>FlashCalSeg</v>
      </c>
    </row>
    <row r="446" spans="1:14" x14ac:dyDescent="0.25">
      <c r="A446" s="190" t="s">
        <v>1273</v>
      </c>
      <c r="B446" s="184" t="s">
        <v>1274</v>
      </c>
      <c r="C446" s="185" t="s">
        <v>1215</v>
      </c>
      <c r="D446" s="185" t="s">
        <v>1222</v>
      </c>
      <c r="E446" s="185"/>
      <c r="F446" s="186" t="s">
        <v>82</v>
      </c>
      <c r="G446" s="187" t="s">
        <v>82</v>
      </c>
      <c r="H446" s="187"/>
      <c r="I446" s="252">
        <v>1E-4</v>
      </c>
      <c r="J446" s="253">
        <v>3.0000000000000001E-5</v>
      </c>
      <c r="K446" s="253">
        <v>4.0999999999999999E-4</v>
      </c>
      <c r="L446" s="189" t="s">
        <v>1270</v>
      </c>
      <c r="M446" s="189" t="s">
        <v>261</v>
      </c>
      <c r="N446" s="247" t="str">
        <f>IF(A446="k_CalRelNum_Cnt_u8[12]","CalRelNum",IF(F446="Y","TunSetCalSeg",IF(F446="N", "FlashCalSeg", "")))</f>
        <v>FlashCalSeg</v>
      </c>
    </row>
    <row r="447" spans="1:14" x14ac:dyDescent="0.25">
      <c r="A447" s="190" t="s">
        <v>1268</v>
      </c>
      <c r="B447" s="184" t="s">
        <v>1269</v>
      </c>
      <c r="C447" s="185" t="s">
        <v>1215</v>
      </c>
      <c r="D447" s="185" t="s">
        <v>1222</v>
      </c>
      <c r="E447" s="185"/>
      <c r="F447" s="186" t="s">
        <v>82</v>
      </c>
      <c r="G447" s="187" t="s">
        <v>82</v>
      </c>
      <c r="H447" s="187"/>
      <c r="I447" s="252">
        <v>1E-4</v>
      </c>
      <c r="J447" s="253">
        <v>3.0000000000000001E-5</v>
      </c>
      <c r="K447" s="253">
        <v>4.0999999999999999E-4</v>
      </c>
      <c r="L447" s="189" t="s">
        <v>1270</v>
      </c>
      <c r="M447" s="189" t="s">
        <v>261</v>
      </c>
      <c r="N447" s="247" t="str">
        <f>IF(A447="k_CalRelNum_Cnt_u8[12]","CalRelNum",IF(F447="Y","TunSetCalSeg",IF(F447="N", "FlashCalSeg", "")))</f>
        <v>FlashCalSeg</v>
      </c>
    </row>
    <row r="448" spans="1:14" x14ac:dyDescent="0.25">
      <c r="A448" s="190" t="s">
        <v>1263</v>
      </c>
      <c r="B448" s="184" t="s">
        <v>1264</v>
      </c>
      <c r="C448" s="185" t="s">
        <v>1215</v>
      </c>
      <c r="D448" s="185" t="s">
        <v>1222</v>
      </c>
      <c r="E448" s="185"/>
      <c r="F448" s="186" t="s">
        <v>82</v>
      </c>
      <c r="G448" s="187" t="s">
        <v>82</v>
      </c>
      <c r="H448" s="187"/>
      <c r="I448" s="188">
        <v>0.01</v>
      </c>
      <c r="J448" s="189">
        <v>5.0000000000000001E-3</v>
      </c>
      <c r="K448" s="189">
        <v>0.12565000000000001</v>
      </c>
      <c r="L448" s="189" t="s">
        <v>1265</v>
      </c>
      <c r="M448" s="189" t="s">
        <v>261</v>
      </c>
      <c r="N448" s="247" t="str">
        <f>IF(A448="k_CalRelNum_Cnt_u8[12]","CalRelNum",IF(F448="Y","TunSetCalSeg",IF(F448="N", "FlashCalSeg", "")))</f>
        <v>FlashCalSeg</v>
      </c>
    </row>
    <row r="449" spans="1:14" ht="30.6" x14ac:dyDescent="0.25">
      <c r="A449" s="190" t="s">
        <v>1212</v>
      </c>
      <c r="B449" s="184" t="s">
        <v>1213</v>
      </c>
      <c r="C449" s="185" t="s">
        <v>1215</v>
      </c>
      <c r="D449" s="185" t="s">
        <v>219</v>
      </c>
      <c r="E449" s="185" t="s">
        <v>1214</v>
      </c>
      <c r="F449" s="186" t="s">
        <v>82</v>
      </c>
      <c r="G449" s="187" t="s">
        <v>82</v>
      </c>
      <c r="H449" s="187"/>
      <c r="I449" s="188">
        <v>0.9</v>
      </c>
      <c r="J449" s="189">
        <v>0.9</v>
      </c>
      <c r="K449" s="189">
        <v>1.1000000000000001</v>
      </c>
      <c r="L449" s="189" t="s">
        <v>260</v>
      </c>
      <c r="M449" s="189" t="s">
        <v>261</v>
      </c>
      <c r="N449" s="247" t="str">
        <f>IF(A449="k_CalRelNum_Cnt_u8[12]","CalRelNum",IF(F449="Y","TunSetCalSeg",IF(F449="N", "FlashCalSeg", "")))</f>
        <v>FlashCalSeg</v>
      </c>
    </row>
    <row r="450" spans="1:14" ht="377.4" x14ac:dyDescent="0.25">
      <c r="A450" s="190" t="s">
        <v>1255</v>
      </c>
      <c r="B450" s="184" t="s">
        <v>1256</v>
      </c>
      <c r="C450" s="185" t="s">
        <v>1215</v>
      </c>
      <c r="D450" s="185" t="s">
        <v>5168</v>
      </c>
      <c r="E450" s="185" t="s">
        <v>1257</v>
      </c>
      <c r="F450" s="186" t="s">
        <v>82</v>
      </c>
      <c r="G450" s="187" t="s">
        <v>82</v>
      </c>
      <c r="H450" s="187"/>
      <c r="I450" s="188">
        <v>9.3750000000000002E-5</v>
      </c>
      <c r="J450" s="189">
        <v>0</v>
      </c>
      <c r="K450" s="189">
        <v>2.0000000000000001E-4</v>
      </c>
      <c r="L450" s="189" t="s">
        <v>651</v>
      </c>
      <c r="M450" s="189" t="s">
        <v>261</v>
      </c>
      <c r="N450" s="247" t="str">
        <f>IF(A450="k_CalRelNum_Cnt_u8[12]","CalRelNum",IF(F450="Y","TunSetCalSeg",IF(F450="N", "FlashCalSeg", "")))</f>
        <v>FlashCalSeg</v>
      </c>
    </row>
    <row r="451" spans="1:14" x14ac:dyDescent="0.25">
      <c r="A451" s="190" t="s">
        <v>1326</v>
      </c>
      <c r="B451" s="184" t="s">
        <v>1327</v>
      </c>
      <c r="C451" s="185" t="s">
        <v>1215</v>
      </c>
      <c r="D451" s="185" t="s">
        <v>1222</v>
      </c>
      <c r="E451" s="185" t="s">
        <v>716</v>
      </c>
      <c r="F451" s="186" t="s">
        <v>82</v>
      </c>
      <c r="G451" s="187" t="s">
        <v>82</v>
      </c>
      <c r="H451" s="187"/>
      <c r="I451" s="188">
        <v>7739</v>
      </c>
      <c r="J451" s="189">
        <v>818</v>
      </c>
      <c r="K451" s="189">
        <v>46884</v>
      </c>
      <c r="L451" s="189" t="s">
        <v>271</v>
      </c>
      <c r="M451" s="189" t="s">
        <v>267</v>
      </c>
      <c r="N451" s="247" t="str">
        <f>IF(A451="k_CalRelNum_Cnt_u8[12]","CalRelNum",IF(F451="Y","TunSetCalSeg",IF(F451="N", "FlashCalSeg", "")))</f>
        <v>FlashCalSeg</v>
      </c>
    </row>
    <row r="452" spans="1:14" x14ac:dyDescent="0.25">
      <c r="A452" s="190" t="s">
        <v>1328</v>
      </c>
      <c r="B452" s="184" t="s">
        <v>1329</v>
      </c>
      <c r="C452" s="185" t="s">
        <v>1215</v>
      </c>
      <c r="D452" s="185" t="s">
        <v>1222</v>
      </c>
      <c r="E452" s="185" t="s">
        <v>716</v>
      </c>
      <c r="F452" s="186" t="s">
        <v>82</v>
      </c>
      <c r="G452" s="187" t="s">
        <v>82</v>
      </c>
      <c r="H452" s="187"/>
      <c r="I452" s="188">
        <v>7739</v>
      </c>
      <c r="J452" s="189">
        <v>818</v>
      </c>
      <c r="K452" s="189">
        <v>46884</v>
      </c>
      <c r="L452" s="189" t="s">
        <v>271</v>
      </c>
      <c r="M452" s="189" t="s">
        <v>267</v>
      </c>
      <c r="N452" s="247" t="str">
        <f>IF(A452="k_CalRelNum_Cnt_u8[12]","CalRelNum",IF(F452="Y","TunSetCalSeg",IF(F452="N", "FlashCalSeg", "")))</f>
        <v>FlashCalSeg</v>
      </c>
    </row>
    <row r="453" spans="1:14" x14ac:dyDescent="0.25">
      <c r="A453" s="190" t="s">
        <v>1361</v>
      </c>
      <c r="B453" s="184" t="s">
        <v>1362</v>
      </c>
      <c r="C453" s="185" t="s">
        <v>1215</v>
      </c>
      <c r="D453" s="185" t="s">
        <v>1222</v>
      </c>
      <c r="E453" s="185" t="s">
        <v>1363</v>
      </c>
      <c r="F453" s="186" t="s">
        <v>82</v>
      </c>
      <c r="G453" s="187" t="s">
        <v>82</v>
      </c>
      <c r="H453" s="187"/>
      <c r="I453" s="188">
        <v>1.1889E-4</v>
      </c>
      <c r="J453" s="189">
        <v>3.0000000000000001E-5</v>
      </c>
      <c r="K453" s="189">
        <v>4.0999999999999999E-4</v>
      </c>
      <c r="L453" s="189" t="s">
        <v>1270</v>
      </c>
      <c r="M453" s="189" t="s">
        <v>261</v>
      </c>
      <c r="N453" s="247" t="str">
        <f>IF(A453="k_CalRelNum_Cnt_u8[12]","CalRelNum",IF(F453="Y","TunSetCalSeg",IF(F453="N", "FlashCalSeg", "")))</f>
        <v>FlashCalSeg</v>
      </c>
    </row>
    <row r="454" spans="1:14" x14ac:dyDescent="0.25">
      <c r="A454" s="190" t="s">
        <v>1358</v>
      </c>
      <c r="B454" s="184" t="s">
        <v>1359</v>
      </c>
      <c r="C454" s="185" t="s">
        <v>1215</v>
      </c>
      <c r="D454" s="185" t="s">
        <v>1222</v>
      </c>
      <c r="E454" s="185" t="s">
        <v>1360</v>
      </c>
      <c r="F454" s="186" t="s">
        <v>82</v>
      </c>
      <c r="G454" s="187" t="s">
        <v>82</v>
      </c>
      <c r="H454" s="187"/>
      <c r="I454" s="188">
        <v>1.1889E-4</v>
      </c>
      <c r="J454" s="189">
        <v>3.0000000000000001E-5</v>
      </c>
      <c r="K454" s="189">
        <v>4.0999999999999999E-4</v>
      </c>
      <c r="L454" s="189" t="s">
        <v>1270</v>
      </c>
      <c r="M454" s="189" t="s">
        <v>261</v>
      </c>
      <c r="N454" s="247" t="str">
        <f>IF(A454="k_CalRelNum_Cnt_u8[12]","CalRelNum",IF(F454="Y","TunSetCalSeg",IF(F454="N", "FlashCalSeg", "")))</f>
        <v>FlashCalSeg</v>
      </c>
    </row>
    <row r="455" spans="1:14" x14ac:dyDescent="0.25">
      <c r="A455" s="190" t="s">
        <v>1282</v>
      </c>
      <c r="B455" s="184" t="s">
        <v>1283</v>
      </c>
      <c r="C455" s="185" t="s">
        <v>1215</v>
      </c>
      <c r="D455" s="185" t="s">
        <v>1222</v>
      </c>
      <c r="E455" s="185"/>
      <c r="F455" s="186" t="s">
        <v>82</v>
      </c>
      <c r="G455" s="187" t="s">
        <v>82</v>
      </c>
      <c r="H455" s="187"/>
      <c r="I455" s="188">
        <v>6.2500000000000003E-3</v>
      </c>
      <c r="J455" s="189">
        <v>0</v>
      </c>
      <c r="K455" s="189">
        <v>0.12565000000000001</v>
      </c>
      <c r="L455" s="189" t="s">
        <v>1265</v>
      </c>
      <c r="M455" s="189" t="s">
        <v>261</v>
      </c>
      <c r="N455" s="247" t="str">
        <f>IF(A455="k_CalRelNum_Cnt_u8[12]","CalRelNum",IF(F455="Y","TunSetCalSeg",IF(F455="N", "FlashCalSeg", "")))</f>
        <v>FlashCalSeg</v>
      </c>
    </row>
    <row r="456" spans="1:14" x14ac:dyDescent="0.25">
      <c r="A456" s="190" t="s">
        <v>1277</v>
      </c>
      <c r="B456" s="184" t="s">
        <v>1278</v>
      </c>
      <c r="C456" s="185" t="s">
        <v>1215</v>
      </c>
      <c r="D456" s="185" t="s">
        <v>1222</v>
      </c>
      <c r="E456" s="185"/>
      <c r="F456" s="186" t="s">
        <v>82</v>
      </c>
      <c r="G456" s="187" t="s">
        <v>82</v>
      </c>
      <c r="H456" s="187"/>
      <c r="I456" s="188">
        <v>25</v>
      </c>
      <c r="J456" s="189">
        <v>-40</v>
      </c>
      <c r="K456" s="189">
        <v>150</v>
      </c>
      <c r="L456" s="189" t="s">
        <v>558</v>
      </c>
      <c r="M456" s="189" t="s">
        <v>261</v>
      </c>
      <c r="N456" s="247" t="str">
        <f>IF(A456="k_CalRelNum_Cnt_u8[12]","CalRelNum",IF(F456="Y","TunSetCalSeg",IF(F456="N", "FlashCalSeg", "")))</f>
        <v>FlashCalSeg</v>
      </c>
    </row>
    <row r="457" spans="1:14" ht="377.4" x14ac:dyDescent="0.25">
      <c r="A457" s="190" t="s">
        <v>1219</v>
      </c>
      <c r="B457" s="184" t="s">
        <v>1220</v>
      </c>
      <c r="C457" s="185" t="s">
        <v>1215</v>
      </c>
      <c r="D457" s="185" t="s">
        <v>5168</v>
      </c>
      <c r="E457" s="185" t="s">
        <v>1221</v>
      </c>
      <c r="F457" s="186" t="s">
        <v>82</v>
      </c>
      <c r="G457" s="187" t="s">
        <v>82</v>
      </c>
      <c r="H457" s="187"/>
      <c r="I457" s="188">
        <v>6</v>
      </c>
      <c r="J457" s="189">
        <v>2</v>
      </c>
      <c r="K457" s="189">
        <v>12</v>
      </c>
      <c r="L457" s="189" t="s">
        <v>300</v>
      </c>
      <c r="M457" s="189" t="s">
        <v>261</v>
      </c>
      <c r="N457" s="247" t="str">
        <f>IF(A457="k_CalRelNum_Cnt_u8[12]","CalRelNum",IF(F457="Y","TunSetCalSeg",IF(F457="N", "FlashCalSeg", "")))</f>
        <v>FlashCalSeg</v>
      </c>
    </row>
    <row r="458" spans="1:14" ht="30.6" x14ac:dyDescent="0.25">
      <c r="A458" s="190" t="s">
        <v>1225</v>
      </c>
      <c r="B458" s="184" t="s">
        <v>1226</v>
      </c>
      <c r="C458" s="185" t="s">
        <v>1215</v>
      </c>
      <c r="D458" s="185" t="s">
        <v>1222</v>
      </c>
      <c r="E458" s="185" t="s">
        <v>1224</v>
      </c>
      <c r="F458" s="186" t="s">
        <v>82</v>
      </c>
      <c r="G458" s="187" t="s">
        <v>82</v>
      </c>
      <c r="H458" s="187"/>
      <c r="I458" s="188">
        <v>3</v>
      </c>
      <c r="J458" s="189">
        <v>0</v>
      </c>
      <c r="K458" s="189">
        <v>255</v>
      </c>
      <c r="L458" s="189" t="s">
        <v>264</v>
      </c>
      <c r="M458" s="189" t="s">
        <v>261</v>
      </c>
      <c r="N458" s="247" t="str">
        <f>IF(A458="k_CalRelNum_Cnt_u8[12]","CalRelNum",IF(F458="Y","TunSetCalSeg",IF(F458="N", "FlashCalSeg", "")))</f>
        <v>FlashCalSeg</v>
      </c>
    </row>
    <row r="459" spans="1:14" x14ac:dyDescent="0.25">
      <c r="A459" s="190" t="s">
        <v>1307</v>
      </c>
      <c r="B459" s="184" t="s">
        <v>1308</v>
      </c>
      <c r="C459" s="185" t="s">
        <v>1215</v>
      </c>
      <c r="D459" s="185" t="s">
        <v>1222</v>
      </c>
      <c r="E459" s="185" t="s">
        <v>1309</v>
      </c>
      <c r="F459" s="186" t="s">
        <v>82</v>
      </c>
      <c r="G459" s="187" t="s">
        <v>82</v>
      </c>
      <c r="H459" s="187"/>
      <c r="I459" s="188">
        <v>1.25E-4</v>
      </c>
      <c r="J459" s="189">
        <v>0</v>
      </c>
      <c r="K459" s="189">
        <v>1E-3</v>
      </c>
      <c r="L459" s="189" t="s">
        <v>1310</v>
      </c>
      <c r="M459" s="189" t="s">
        <v>261</v>
      </c>
      <c r="N459" s="247" t="str">
        <f>IF(A459="k_CalRelNum_Cnt_u8[12]","CalRelNum",IF(F459="Y","TunSetCalSeg",IF(F459="N", "FlashCalSeg", "")))</f>
        <v>FlashCalSeg</v>
      </c>
    </row>
    <row r="460" spans="1:14" x14ac:dyDescent="0.25">
      <c r="A460" s="190" t="s">
        <v>1284</v>
      </c>
      <c r="B460" s="184" t="s">
        <v>1285</v>
      </c>
      <c r="C460" s="185" t="s">
        <v>1215</v>
      </c>
      <c r="D460" s="185" t="s">
        <v>1222</v>
      </c>
      <c r="E460" s="185"/>
      <c r="F460" s="186" t="s">
        <v>82</v>
      </c>
      <c r="G460" s="187" t="s">
        <v>82</v>
      </c>
      <c r="H460" s="187"/>
      <c r="I460" s="188">
        <v>5.0000000000000001E-3</v>
      </c>
      <c r="J460" s="189">
        <v>0</v>
      </c>
      <c r="K460" s="189">
        <v>6.0000000000000001E-3</v>
      </c>
      <c r="L460" s="189" t="s">
        <v>1286</v>
      </c>
      <c r="M460" s="189" t="s">
        <v>261</v>
      </c>
      <c r="N460" s="247" t="str">
        <f>IF(A460="k_CalRelNum_Cnt_u8[12]","CalRelNum",IF(F460="Y","TunSetCalSeg",IF(F460="N", "FlashCalSeg", "")))</f>
        <v>FlashCalSeg</v>
      </c>
    </row>
    <row r="461" spans="1:14" ht="30.6" x14ac:dyDescent="0.25">
      <c r="A461" s="190" t="s">
        <v>1311</v>
      </c>
      <c r="B461" s="184" t="s">
        <v>1312</v>
      </c>
      <c r="C461" s="185" t="s">
        <v>1215</v>
      </c>
      <c r="D461" s="185" t="s">
        <v>179</v>
      </c>
      <c r="E461" s="185" t="s">
        <v>1313</v>
      </c>
      <c r="F461" s="186" t="s">
        <v>82</v>
      </c>
      <c r="G461" s="187" t="s">
        <v>82</v>
      </c>
      <c r="H461" s="187"/>
      <c r="I461" s="188" t="s">
        <v>1314</v>
      </c>
      <c r="J461" s="189">
        <v>0</v>
      </c>
      <c r="K461" s="189">
        <v>1</v>
      </c>
      <c r="L461" s="189" t="s">
        <v>260</v>
      </c>
      <c r="M461" s="189" t="s">
        <v>1028</v>
      </c>
      <c r="N461" s="247" t="str">
        <f>IF(A461="k_CalRelNum_Cnt_u8[12]","CalRelNum",IF(F461="Y","TunSetCalSeg",IF(F461="N", "FlashCalSeg", "")))</f>
        <v>FlashCalSeg</v>
      </c>
    </row>
    <row r="462" spans="1:14" x14ac:dyDescent="0.25">
      <c r="A462" s="190" t="s">
        <v>1295</v>
      </c>
      <c r="B462" s="184" t="s">
        <v>1296</v>
      </c>
      <c r="C462" s="185" t="s">
        <v>1215</v>
      </c>
      <c r="D462" s="185" t="s">
        <v>1222</v>
      </c>
      <c r="E462" s="185"/>
      <c r="F462" s="186" t="s">
        <v>82</v>
      </c>
      <c r="G462" s="187" t="s">
        <v>82</v>
      </c>
      <c r="H462" s="187"/>
      <c r="I462" s="188" t="s">
        <v>1297</v>
      </c>
      <c r="J462" s="189">
        <v>0</v>
      </c>
      <c r="K462" s="189">
        <v>220</v>
      </c>
      <c r="L462" s="189" t="s">
        <v>648</v>
      </c>
      <c r="M462" s="189" t="s">
        <v>370</v>
      </c>
      <c r="N462" s="247" t="str">
        <f>IF(A462="k_CalRelNum_Cnt_u8[12]","CalRelNum",IF(F462="Y","TunSetCalSeg",IF(F462="N", "FlashCalSeg", "")))</f>
        <v>FlashCalSeg</v>
      </c>
    </row>
    <row r="463" spans="1:14" x14ac:dyDescent="0.25">
      <c r="A463" s="190" t="s">
        <v>1298</v>
      </c>
      <c r="B463" s="184" t="s">
        <v>1299</v>
      </c>
      <c r="C463" s="185" t="s">
        <v>1215</v>
      </c>
      <c r="D463" s="185" t="s">
        <v>1222</v>
      </c>
      <c r="E463" s="185"/>
      <c r="F463" s="186" t="s">
        <v>82</v>
      </c>
      <c r="G463" s="187" t="s">
        <v>82</v>
      </c>
      <c r="H463" s="187"/>
      <c r="I463" s="188" t="s">
        <v>1300</v>
      </c>
      <c r="J463" s="189">
        <v>0</v>
      </c>
      <c r="K463" s="189">
        <v>220</v>
      </c>
      <c r="L463" s="189" t="s">
        <v>648</v>
      </c>
      <c r="M463" s="189" t="s">
        <v>370</v>
      </c>
      <c r="N463" s="247" t="str">
        <f>IF(A463="k_CalRelNum_Cnt_u8[12]","CalRelNum",IF(F463="Y","TunSetCalSeg",IF(F463="N", "FlashCalSeg", "")))</f>
        <v>FlashCalSeg</v>
      </c>
    </row>
    <row r="464" spans="1:14" x14ac:dyDescent="0.25">
      <c r="A464" s="190" t="s">
        <v>4225</v>
      </c>
      <c r="B464" s="184" t="s">
        <v>4226</v>
      </c>
      <c r="C464" s="185" t="s">
        <v>1215</v>
      </c>
      <c r="D464" s="185" t="s">
        <v>1222</v>
      </c>
      <c r="E464" s="185"/>
      <c r="F464" s="186" t="s">
        <v>82</v>
      </c>
      <c r="G464" s="187" t="s">
        <v>82</v>
      </c>
      <c r="H464" s="187"/>
      <c r="I464" s="252" t="s">
        <v>4227</v>
      </c>
      <c r="J464" s="253">
        <v>0</v>
      </c>
      <c r="K464" s="253">
        <v>1</v>
      </c>
      <c r="L464" s="189" t="s">
        <v>260</v>
      </c>
      <c r="M464" s="189" t="s">
        <v>724</v>
      </c>
      <c r="N464" s="247" t="str">
        <f>IF(A464="k_CalRelNum_Cnt_u8[12]","CalRelNum",IF(F464="Y","TunSetCalSeg",IF(F464="N", "FlashCalSeg", "")))</f>
        <v>FlashCalSeg</v>
      </c>
    </row>
    <row r="465" spans="1:14" x14ac:dyDescent="0.25">
      <c r="A465" s="190" t="s">
        <v>4222</v>
      </c>
      <c r="B465" s="184" t="s">
        <v>4223</v>
      </c>
      <c r="C465" s="185" t="s">
        <v>1215</v>
      </c>
      <c r="D465" s="185" t="s">
        <v>1222</v>
      </c>
      <c r="E465" s="185"/>
      <c r="F465" s="186" t="s">
        <v>82</v>
      </c>
      <c r="G465" s="187" t="s">
        <v>82</v>
      </c>
      <c r="H465" s="187"/>
      <c r="I465" s="188" t="s">
        <v>4224</v>
      </c>
      <c r="J465" s="189">
        <v>0</v>
      </c>
      <c r="K465" s="189">
        <v>8.8000000000000007</v>
      </c>
      <c r="L465" s="189" t="s">
        <v>256</v>
      </c>
      <c r="M465" s="189" t="s">
        <v>733</v>
      </c>
      <c r="N465" s="247" t="str">
        <f>IF(A465="k_CalRelNum_Cnt_u8[12]","CalRelNum",IF(F465="Y","TunSetCalSeg",IF(F465="N", "FlashCalSeg", "")))</f>
        <v>FlashCalSeg</v>
      </c>
    </row>
    <row r="466" spans="1:14" ht="20.399999999999999" x14ac:dyDescent="0.25">
      <c r="A466" s="190" t="s">
        <v>1289</v>
      </c>
      <c r="B466" s="184" t="s">
        <v>1290</v>
      </c>
      <c r="C466" s="185" t="s">
        <v>1215</v>
      </c>
      <c r="D466" s="185" t="s">
        <v>1222</v>
      </c>
      <c r="E466" s="185"/>
      <c r="F466" s="186" t="s">
        <v>82</v>
      </c>
      <c r="G466" s="187" t="s">
        <v>82</v>
      </c>
      <c r="H466" s="187"/>
      <c r="I466" s="188" t="s">
        <v>1291</v>
      </c>
      <c r="J466" s="189">
        <v>0</v>
      </c>
      <c r="K466" s="189">
        <v>220</v>
      </c>
      <c r="L466" s="189" t="s">
        <v>648</v>
      </c>
      <c r="M466" s="189" t="s">
        <v>370</v>
      </c>
      <c r="N466" s="247" t="str">
        <f>IF(A466="k_CalRelNum_Cnt_u8[12]","CalRelNum",IF(F466="Y","TunSetCalSeg",IF(F466="N", "FlashCalSeg", "")))</f>
        <v>FlashCalSeg</v>
      </c>
    </row>
    <row r="467" spans="1:14" ht="51" x14ac:dyDescent="0.25">
      <c r="A467" s="190" t="s">
        <v>1292</v>
      </c>
      <c r="B467" s="184" t="s">
        <v>1293</v>
      </c>
      <c r="C467" s="185" t="s">
        <v>1215</v>
      </c>
      <c r="D467" s="185" t="s">
        <v>1222</v>
      </c>
      <c r="E467" s="185"/>
      <c r="F467" s="186" t="s">
        <v>82</v>
      </c>
      <c r="G467" s="187" t="s">
        <v>82</v>
      </c>
      <c r="H467" s="187"/>
      <c r="I467" s="188" t="s">
        <v>1294</v>
      </c>
      <c r="J467" s="189">
        <v>0</v>
      </c>
      <c r="K467" s="189">
        <v>2</v>
      </c>
      <c r="L467" s="189" t="s">
        <v>300</v>
      </c>
      <c r="M467" s="189" t="s">
        <v>374</v>
      </c>
      <c r="N467" s="247" t="str">
        <f>IF(A467="k_CalRelNum_Cnt_u8[12]","CalRelNum",IF(F467="Y","TunSetCalSeg",IF(F467="N", "FlashCalSeg", "")))</f>
        <v>FlashCalSeg</v>
      </c>
    </row>
    <row r="468" spans="1:14" ht="377.4" x14ac:dyDescent="0.25">
      <c r="A468" s="190" t="s">
        <v>1249</v>
      </c>
      <c r="B468" s="184" t="s">
        <v>1250</v>
      </c>
      <c r="C468" s="185" t="s">
        <v>1215</v>
      </c>
      <c r="D468" s="185" t="s">
        <v>5168</v>
      </c>
      <c r="E468" s="185" t="s">
        <v>1251</v>
      </c>
      <c r="F468" s="186" t="s">
        <v>82</v>
      </c>
      <c r="G468" s="187" t="s">
        <v>82</v>
      </c>
      <c r="H468" s="187"/>
      <c r="I468" s="188" t="s">
        <v>1230</v>
      </c>
      <c r="J468" s="189">
        <v>0</v>
      </c>
      <c r="K468" s="189">
        <v>1118</v>
      </c>
      <c r="L468" s="189" t="s">
        <v>1231</v>
      </c>
      <c r="M468" s="189" t="s">
        <v>711</v>
      </c>
      <c r="N468" s="247" t="str">
        <f>IF(A468="k_CalRelNum_Cnt_u8[12]","CalRelNum",IF(F468="Y","TunSetCalSeg",IF(F468="N", "FlashCalSeg", "")))</f>
        <v>FlashCalSeg</v>
      </c>
    </row>
    <row r="469" spans="1:14" ht="377.4" x14ac:dyDescent="0.25">
      <c r="A469" s="190" t="s">
        <v>1252</v>
      </c>
      <c r="B469" s="184" t="s">
        <v>1253</v>
      </c>
      <c r="C469" s="185" t="s">
        <v>1215</v>
      </c>
      <c r="D469" s="185" t="s">
        <v>5168</v>
      </c>
      <c r="E469" s="185" t="s">
        <v>1254</v>
      </c>
      <c r="F469" s="186" t="s">
        <v>82</v>
      </c>
      <c r="G469" s="187" t="s">
        <v>82</v>
      </c>
      <c r="H469" s="187"/>
      <c r="I469" s="188" t="s">
        <v>1242</v>
      </c>
      <c r="J469" s="189">
        <v>0</v>
      </c>
      <c r="K469" s="189">
        <v>1023.984</v>
      </c>
      <c r="L469" s="189" t="s">
        <v>300</v>
      </c>
      <c r="M469" s="189" t="s">
        <v>626</v>
      </c>
      <c r="N469" s="247" t="str">
        <f>IF(A469="k_CalRelNum_Cnt_u8[12]","CalRelNum",IF(F469="Y","TunSetCalSeg",IF(F469="N", "FlashCalSeg", "")))</f>
        <v>FlashCalSeg</v>
      </c>
    </row>
    <row r="470" spans="1:14" ht="377.4" x14ac:dyDescent="0.25">
      <c r="A470" s="190" t="s">
        <v>1236</v>
      </c>
      <c r="B470" s="184" t="s">
        <v>1237</v>
      </c>
      <c r="C470" s="185" t="s">
        <v>1215</v>
      </c>
      <c r="D470" s="185" t="s">
        <v>5168</v>
      </c>
      <c r="E470" s="185" t="s">
        <v>1238</v>
      </c>
      <c r="F470" s="186" t="s">
        <v>82</v>
      </c>
      <c r="G470" s="187" t="s">
        <v>82</v>
      </c>
      <c r="H470" s="187"/>
      <c r="I470" s="188" t="s">
        <v>1230</v>
      </c>
      <c r="J470" s="189">
        <v>0</v>
      </c>
      <c r="K470" s="189">
        <v>1118</v>
      </c>
      <c r="L470" s="189" t="s">
        <v>1231</v>
      </c>
      <c r="M470" s="189" t="s">
        <v>711</v>
      </c>
      <c r="N470" s="247" t="str">
        <f>IF(A470="k_CalRelNum_Cnt_u8[12]","CalRelNum",IF(F470="Y","TunSetCalSeg",IF(F470="N", "FlashCalSeg", "")))</f>
        <v>FlashCalSeg</v>
      </c>
    </row>
    <row r="471" spans="1:14" ht="377.4" x14ac:dyDescent="0.25">
      <c r="A471" s="190" t="s">
        <v>1239</v>
      </c>
      <c r="B471" s="184" t="s">
        <v>1240</v>
      </c>
      <c r="C471" s="185" t="s">
        <v>1215</v>
      </c>
      <c r="D471" s="185" t="s">
        <v>5168</v>
      </c>
      <c r="E471" s="185" t="s">
        <v>1241</v>
      </c>
      <c r="F471" s="186" t="s">
        <v>82</v>
      </c>
      <c r="G471" s="187" t="s">
        <v>82</v>
      </c>
      <c r="H471" s="187"/>
      <c r="I471" s="188" t="s">
        <v>1242</v>
      </c>
      <c r="J471" s="189">
        <v>0</v>
      </c>
      <c r="K471" s="189">
        <v>1023.984</v>
      </c>
      <c r="L471" s="189" t="s">
        <v>300</v>
      </c>
      <c r="M471" s="189" t="s">
        <v>626</v>
      </c>
      <c r="N471" s="247" t="str">
        <f>IF(A471="k_CalRelNum_Cnt_u8[12]","CalRelNum",IF(F471="Y","TunSetCalSeg",IF(F471="N", "FlashCalSeg", "")))</f>
        <v>FlashCalSeg</v>
      </c>
    </row>
    <row r="472" spans="1:14" ht="377.4" x14ac:dyDescent="0.25">
      <c r="A472" s="190" t="s">
        <v>1243</v>
      </c>
      <c r="B472" s="184" t="s">
        <v>1244</v>
      </c>
      <c r="C472" s="185" t="s">
        <v>1215</v>
      </c>
      <c r="D472" s="185" t="s">
        <v>5168</v>
      </c>
      <c r="E472" s="185" t="s">
        <v>1245</v>
      </c>
      <c r="F472" s="186" t="s">
        <v>82</v>
      </c>
      <c r="G472" s="187" t="s">
        <v>82</v>
      </c>
      <c r="H472" s="187"/>
      <c r="I472" s="188" t="s">
        <v>1230</v>
      </c>
      <c r="J472" s="189">
        <v>0</v>
      </c>
      <c r="K472" s="189">
        <v>1118</v>
      </c>
      <c r="L472" s="189" t="s">
        <v>1231</v>
      </c>
      <c r="M472" s="189" t="s">
        <v>711</v>
      </c>
      <c r="N472" s="247" t="str">
        <f>IF(A472="k_CalRelNum_Cnt_u8[12]","CalRelNum",IF(F472="Y","TunSetCalSeg",IF(F472="N", "FlashCalSeg", "")))</f>
        <v>FlashCalSeg</v>
      </c>
    </row>
    <row r="473" spans="1:14" ht="377.4" x14ac:dyDescent="0.25">
      <c r="A473" s="190" t="s">
        <v>1246</v>
      </c>
      <c r="B473" s="184" t="s">
        <v>1247</v>
      </c>
      <c r="C473" s="185" t="s">
        <v>1215</v>
      </c>
      <c r="D473" s="185" t="s">
        <v>5168</v>
      </c>
      <c r="E473" s="185" t="s">
        <v>1248</v>
      </c>
      <c r="F473" s="186" t="s">
        <v>82</v>
      </c>
      <c r="G473" s="187" t="s">
        <v>82</v>
      </c>
      <c r="H473" s="187"/>
      <c r="I473" s="188" t="s">
        <v>1235</v>
      </c>
      <c r="J473" s="189">
        <v>0</v>
      </c>
      <c r="K473" s="189">
        <v>2</v>
      </c>
      <c r="L473" s="189" t="s">
        <v>300</v>
      </c>
      <c r="M473" s="189" t="s">
        <v>258</v>
      </c>
      <c r="N473" s="247" t="str">
        <f>IF(A473="k_CalRelNum_Cnt_u8[12]","CalRelNum",IF(F473="Y","TunSetCalSeg",IF(F473="N", "FlashCalSeg", "")))</f>
        <v>FlashCalSeg</v>
      </c>
    </row>
    <row r="474" spans="1:14" ht="30.6" x14ac:dyDescent="0.25">
      <c r="A474" s="190" t="s">
        <v>1227</v>
      </c>
      <c r="B474" s="184" t="s">
        <v>1228</v>
      </c>
      <c r="C474" s="185" t="s">
        <v>1215</v>
      </c>
      <c r="D474" s="185" t="s">
        <v>1222</v>
      </c>
      <c r="E474" s="185" t="s">
        <v>1229</v>
      </c>
      <c r="F474" s="186" t="s">
        <v>82</v>
      </c>
      <c r="G474" s="187" t="s">
        <v>82</v>
      </c>
      <c r="H474" s="187"/>
      <c r="I474" s="188" t="s">
        <v>1230</v>
      </c>
      <c r="J474" s="189">
        <v>0</v>
      </c>
      <c r="K474" s="189">
        <v>1118</v>
      </c>
      <c r="L474" s="189" t="s">
        <v>1231</v>
      </c>
      <c r="M474" s="189" t="s">
        <v>711</v>
      </c>
      <c r="N474" s="247" t="str">
        <f>IF(A474="k_CalRelNum_Cnt_u8[12]","CalRelNum",IF(F474="Y","TunSetCalSeg",IF(F474="N", "FlashCalSeg", "")))</f>
        <v>FlashCalSeg</v>
      </c>
    </row>
    <row r="475" spans="1:14" ht="30.6" x14ac:dyDescent="0.25">
      <c r="A475" s="190" t="s">
        <v>1232</v>
      </c>
      <c r="B475" s="184" t="s">
        <v>1233</v>
      </c>
      <c r="C475" s="185" t="s">
        <v>1215</v>
      </c>
      <c r="D475" s="185" t="s">
        <v>1222</v>
      </c>
      <c r="E475" s="185" t="s">
        <v>1234</v>
      </c>
      <c r="F475" s="186" t="s">
        <v>82</v>
      </c>
      <c r="G475" s="187" t="s">
        <v>82</v>
      </c>
      <c r="H475" s="187"/>
      <c r="I475" s="252" t="s">
        <v>1235</v>
      </c>
      <c r="J475" s="253">
        <v>0</v>
      </c>
      <c r="K475" s="253">
        <v>2</v>
      </c>
      <c r="L475" s="189" t="s">
        <v>300</v>
      </c>
      <c r="M475" s="189" t="s">
        <v>258</v>
      </c>
      <c r="N475" s="247" t="str">
        <f>IF(A475="k_CalRelNum_Cnt_u8[12]","CalRelNum",IF(F475="Y","TunSetCalSeg",IF(F475="N", "FlashCalSeg", "")))</f>
        <v>FlashCalSeg</v>
      </c>
    </row>
    <row r="476" spans="1:14" x14ac:dyDescent="0.25">
      <c r="A476" s="190" t="s">
        <v>1336</v>
      </c>
      <c r="B476" s="184" t="s">
        <v>1337</v>
      </c>
      <c r="C476" s="185" t="s">
        <v>1215</v>
      </c>
      <c r="D476" s="185" t="s">
        <v>1222</v>
      </c>
      <c r="E476" s="185" t="s">
        <v>1338</v>
      </c>
      <c r="F476" s="186" t="s">
        <v>82</v>
      </c>
      <c r="G476" s="187" t="s">
        <v>82</v>
      </c>
      <c r="H476" s="187"/>
      <c r="I476" s="188" t="s">
        <v>1339</v>
      </c>
      <c r="J476" s="189">
        <v>0</v>
      </c>
      <c r="K476" s="189">
        <v>220</v>
      </c>
      <c r="L476" s="189" t="s">
        <v>648</v>
      </c>
      <c r="M476" s="189" t="s">
        <v>370</v>
      </c>
      <c r="N476" s="247" t="str">
        <f>IF(A476="k_CalRelNum_Cnt_u8[12]","CalRelNum",IF(F476="Y","TunSetCalSeg",IF(F476="N", "FlashCalSeg", "")))</f>
        <v>FlashCalSeg</v>
      </c>
    </row>
    <row r="477" spans="1:14" x14ac:dyDescent="0.25">
      <c r="A477" s="190" t="s">
        <v>1333</v>
      </c>
      <c r="B477" s="184" t="s">
        <v>1334</v>
      </c>
      <c r="C477" s="185" t="s">
        <v>1215</v>
      </c>
      <c r="D477" s="185" t="s">
        <v>1222</v>
      </c>
      <c r="E477" s="185" t="s">
        <v>1335</v>
      </c>
      <c r="F477" s="186" t="s">
        <v>82</v>
      </c>
      <c r="G477" s="187" t="s">
        <v>82</v>
      </c>
      <c r="H477" s="187"/>
      <c r="I477" s="188" t="s">
        <v>3431</v>
      </c>
      <c r="J477" s="189">
        <v>0</v>
      </c>
      <c r="K477" s="189">
        <v>220</v>
      </c>
      <c r="L477" s="189" t="s">
        <v>648</v>
      </c>
      <c r="M477" s="189" t="s">
        <v>370</v>
      </c>
      <c r="N477" s="247" t="str">
        <f>IF(A477="k_CalRelNum_Cnt_u8[12]","CalRelNum",IF(F477="Y","TunSetCalSeg",IF(F477="N", "FlashCalSeg", "")))</f>
        <v>FlashCalSeg</v>
      </c>
    </row>
    <row r="478" spans="1:14" x14ac:dyDescent="0.25">
      <c r="A478" s="190" t="s">
        <v>3502</v>
      </c>
      <c r="B478" s="184" t="s">
        <v>3503</v>
      </c>
      <c r="C478" s="185" t="s">
        <v>1215</v>
      </c>
      <c r="D478" s="185" t="s">
        <v>1222</v>
      </c>
      <c r="E478" s="185" t="s">
        <v>1335</v>
      </c>
      <c r="F478" s="186" t="s">
        <v>82</v>
      </c>
      <c r="G478" s="187" t="s">
        <v>82</v>
      </c>
      <c r="H478" s="187"/>
      <c r="I478" s="188" t="s">
        <v>3431</v>
      </c>
      <c r="J478" s="189">
        <v>0</v>
      </c>
      <c r="K478" s="189">
        <v>220</v>
      </c>
      <c r="L478" s="189" t="s">
        <v>648</v>
      </c>
      <c r="M478" s="189" t="s">
        <v>370</v>
      </c>
      <c r="N478" s="247" t="str">
        <f>IF(A478="k_CalRelNum_Cnt_u8[12]","CalRelNum",IF(F478="Y","TunSetCalSeg",IF(F478="N", "FlashCalSeg", "")))</f>
        <v>FlashCalSeg</v>
      </c>
    </row>
    <row r="479" spans="1:14" x14ac:dyDescent="0.25">
      <c r="A479" s="190" t="s">
        <v>4107</v>
      </c>
      <c r="B479" s="184" t="s">
        <v>1350</v>
      </c>
      <c r="C479" s="185" t="s">
        <v>1215</v>
      </c>
      <c r="D479" s="185" t="s">
        <v>1222</v>
      </c>
      <c r="E479" s="185" t="s">
        <v>1351</v>
      </c>
      <c r="F479" s="186" t="s">
        <v>82</v>
      </c>
      <c r="G479" s="187" t="s">
        <v>82</v>
      </c>
      <c r="H479" s="187"/>
      <c r="I479" s="188" t="s">
        <v>1352</v>
      </c>
      <c r="J479" s="189">
        <v>0</v>
      </c>
      <c r="K479" s="189">
        <v>12000</v>
      </c>
      <c r="L479" s="189" t="s">
        <v>1231</v>
      </c>
      <c r="M479" s="189" t="s">
        <v>267</v>
      </c>
      <c r="N479" s="247" t="str">
        <f>IF(A479="k_CalRelNum_Cnt_u8[12]","CalRelNum",IF(F479="Y","TunSetCalSeg",IF(F479="N", "FlashCalSeg", "")))</f>
        <v>FlashCalSeg</v>
      </c>
    </row>
    <row r="480" spans="1:14" ht="20.399999999999999" x14ac:dyDescent="0.25">
      <c r="A480" s="190" t="s">
        <v>1368</v>
      </c>
      <c r="B480" s="184" t="s">
        <v>1369</v>
      </c>
      <c r="C480" s="185" t="s">
        <v>1215</v>
      </c>
      <c r="D480" s="185" t="s">
        <v>1222</v>
      </c>
      <c r="E480" s="185" t="s">
        <v>1370</v>
      </c>
      <c r="F480" s="186" t="s">
        <v>82</v>
      </c>
      <c r="G480" s="187" t="s">
        <v>82</v>
      </c>
      <c r="H480" s="187"/>
      <c r="I480" s="252" t="s">
        <v>1371</v>
      </c>
      <c r="J480" s="253">
        <v>0</v>
      </c>
      <c r="K480" s="253">
        <v>1118</v>
      </c>
      <c r="L480" s="189" t="s">
        <v>1231</v>
      </c>
      <c r="M480" s="189" t="s">
        <v>711</v>
      </c>
      <c r="N480" s="247" t="str">
        <f>IF(A480="k_CalRelNum_Cnt_u8[12]","CalRelNum",IF(F480="Y","TunSetCalSeg",IF(F480="N", "FlashCalSeg", "")))</f>
        <v>FlashCalSeg</v>
      </c>
    </row>
    <row r="481" spans="1:14" ht="20.399999999999999" x14ac:dyDescent="0.25">
      <c r="A481" s="190" t="s">
        <v>1372</v>
      </c>
      <c r="B481" s="184" t="s">
        <v>1373</v>
      </c>
      <c r="C481" s="185" t="s">
        <v>1215</v>
      </c>
      <c r="D481" s="185" t="s">
        <v>1222</v>
      </c>
      <c r="E481" s="185" t="s">
        <v>1370</v>
      </c>
      <c r="F481" s="186" t="s">
        <v>82</v>
      </c>
      <c r="G481" s="187" t="s">
        <v>82</v>
      </c>
      <c r="H481" s="187"/>
      <c r="I481" s="188" t="s">
        <v>1374</v>
      </c>
      <c r="J481" s="189">
        <v>0</v>
      </c>
      <c r="K481" s="189">
        <v>5</v>
      </c>
      <c r="L481" s="189" t="s">
        <v>654</v>
      </c>
      <c r="M481" s="189" t="s">
        <v>414</v>
      </c>
      <c r="N481" s="247" t="str">
        <f>IF(A481="k_CalRelNum_Cnt_u8[12]","CalRelNum",IF(F481="Y","TunSetCalSeg",IF(F481="N", "FlashCalSeg", "")))</f>
        <v>FlashCalSeg</v>
      </c>
    </row>
    <row r="482" spans="1:14" ht="20.399999999999999" x14ac:dyDescent="0.25">
      <c r="A482" s="190" t="s">
        <v>1375</v>
      </c>
      <c r="B482" s="184" t="s">
        <v>1376</v>
      </c>
      <c r="C482" s="185" t="s">
        <v>1215</v>
      </c>
      <c r="D482" s="185" t="s">
        <v>1222</v>
      </c>
      <c r="E482" s="185" t="s">
        <v>1377</v>
      </c>
      <c r="F482" s="186" t="s">
        <v>82</v>
      </c>
      <c r="G482" s="187" t="s">
        <v>82</v>
      </c>
      <c r="H482" s="187"/>
      <c r="I482" s="252" t="s">
        <v>1371</v>
      </c>
      <c r="J482" s="253">
        <v>0</v>
      </c>
      <c r="K482" s="253">
        <v>1118</v>
      </c>
      <c r="L482" s="189" t="s">
        <v>1231</v>
      </c>
      <c r="M482" s="189" t="s">
        <v>711</v>
      </c>
      <c r="N482" s="247" t="str">
        <f>IF(A482="k_CalRelNum_Cnt_u8[12]","CalRelNum",IF(F482="Y","TunSetCalSeg",IF(F482="N", "FlashCalSeg", "")))</f>
        <v>FlashCalSeg</v>
      </c>
    </row>
    <row r="483" spans="1:14" ht="20.399999999999999" x14ac:dyDescent="0.25">
      <c r="A483" s="190" t="s">
        <v>1378</v>
      </c>
      <c r="B483" s="184" t="s">
        <v>1379</v>
      </c>
      <c r="C483" s="185" t="s">
        <v>1215</v>
      </c>
      <c r="D483" s="185" t="s">
        <v>1222</v>
      </c>
      <c r="E483" s="185" t="s">
        <v>1377</v>
      </c>
      <c r="F483" s="186" t="s">
        <v>82</v>
      </c>
      <c r="G483" s="187" t="s">
        <v>82</v>
      </c>
      <c r="H483" s="187"/>
      <c r="I483" s="188" t="s">
        <v>1374</v>
      </c>
      <c r="J483" s="189">
        <v>0</v>
      </c>
      <c r="K483" s="189">
        <v>5</v>
      </c>
      <c r="L483" s="189" t="s">
        <v>654</v>
      </c>
      <c r="M483" s="189" t="s">
        <v>414</v>
      </c>
      <c r="N483" s="247" t="str">
        <f>IF(A483="k_CalRelNum_Cnt_u8[12]","CalRelNum",IF(F483="Y","TunSetCalSeg",IF(F483="N", "FlashCalSeg", "")))</f>
        <v>FlashCalSeg</v>
      </c>
    </row>
    <row r="484" spans="1:14" ht="40.799999999999997" x14ac:dyDescent="0.25">
      <c r="A484" s="190" t="s">
        <v>1364</v>
      </c>
      <c r="B484" s="184" t="s">
        <v>1365</v>
      </c>
      <c r="C484" s="185" t="s">
        <v>1215</v>
      </c>
      <c r="D484" s="185" t="s">
        <v>1222</v>
      </c>
      <c r="E484" s="185" t="s">
        <v>1366</v>
      </c>
      <c r="F484" s="186" t="s">
        <v>82</v>
      </c>
      <c r="G484" s="187" t="s">
        <v>82</v>
      </c>
      <c r="H484" s="187"/>
      <c r="I484" s="188" t="s">
        <v>1367</v>
      </c>
      <c r="J484" s="189">
        <v>-3.14159265358979</v>
      </c>
      <c r="K484" s="189">
        <v>3.14159265358979</v>
      </c>
      <c r="L484" s="189" t="s">
        <v>1330</v>
      </c>
      <c r="M484" s="189" t="s">
        <v>261</v>
      </c>
      <c r="N484" s="247" t="str">
        <f>IF(A484="k_CalRelNum_Cnt_u8[12]","CalRelNum",IF(F484="Y","TunSetCalSeg",IF(F484="N", "FlashCalSeg", "")))</f>
        <v>FlashCalSeg</v>
      </c>
    </row>
    <row r="485" spans="1:14" ht="61.2" x14ac:dyDescent="0.25">
      <c r="A485" s="190" t="s">
        <v>1301</v>
      </c>
      <c r="B485" s="184" t="s">
        <v>1302</v>
      </c>
      <c r="C485" s="185" t="s">
        <v>1215</v>
      </c>
      <c r="D485" s="185" t="s">
        <v>1222</v>
      </c>
      <c r="E485" s="185"/>
      <c r="F485" s="186" t="s">
        <v>82</v>
      </c>
      <c r="G485" s="187" t="s">
        <v>82</v>
      </c>
      <c r="H485" s="187"/>
      <c r="I485" s="188" t="s">
        <v>1303</v>
      </c>
      <c r="J485" s="189">
        <v>0</v>
      </c>
      <c r="K485" s="189">
        <v>2</v>
      </c>
      <c r="L485" s="189" t="s">
        <v>1304</v>
      </c>
      <c r="M485" s="189" t="s">
        <v>374</v>
      </c>
      <c r="N485" s="247" t="str">
        <f>IF(A485="k_CalRelNum_Cnt_u8[12]","CalRelNum",IF(F485="Y","TunSetCalSeg",IF(F485="N", "FlashCalSeg", "")))</f>
        <v>FlashCalSeg</v>
      </c>
    </row>
    <row r="486" spans="1:14" ht="61.2" x14ac:dyDescent="0.25">
      <c r="A486" s="190" t="s">
        <v>1305</v>
      </c>
      <c r="B486" s="184" t="s">
        <v>1306</v>
      </c>
      <c r="C486" s="185" t="s">
        <v>1215</v>
      </c>
      <c r="D486" s="185" t="s">
        <v>1222</v>
      </c>
      <c r="E486" s="185"/>
      <c r="F486" s="186" t="s">
        <v>82</v>
      </c>
      <c r="G486" s="187" t="s">
        <v>82</v>
      </c>
      <c r="H486" s="187"/>
      <c r="I486" s="188" t="s">
        <v>1303</v>
      </c>
      <c r="J486" s="189">
        <v>0</v>
      </c>
      <c r="K486" s="189">
        <v>2</v>
      </c>
      <c r="L486" s="189" t="s">
        <v>260</v>
      </c>
      <c r="M486" s="189" t="s">
        <v>374</v>
      </c>
      <c r="N486" s="247" t="str">
        <f>IF(A486="k_CalRelNum_Cnt_u8[12]","CalRelNum",IF(F486="Y","TunSetCalSeg",IF(F486="N", "FlashCalSeg", "")))</f>
        <v>FlashCalSeg</v>
      </c>
    </row>
    <row r="487" spans="1:14" ht="30.6" x14ac:dyDescent="0.25">
      <c r="A487" s="190" t="s">
        <v>1346</v>
      </c>
      <c r="B487" s="184" t="s">
        <v>1347</v>
      </c>
      <c r="C487" s="185" t="s">
        <v>1215</v>
      </c>
      <c r="D487" s="185" t="s">
        <v>1222</v>
      </c>
      <c r="E487" s="185" t="s">
        <v>1342</v>
      </c>
      <c r="F487" s="186" t="s">
        <v>82</v>
      </c>
      <c r="G487" s="187" t="s">
        <v>82</v>
      </c>
      <c r="H487" s="187"/>
      <c r="I487" s="188" t="s">
        <v>3432</v>
      </c>
      <c r="J487" s="189">
        <v>-64</v>
      </c>
      <c r="K487" s="189">
        <v>63.998046875</v>
      </c>
      <c r="L487" s="189" t="s">
        <v>648</v>
      </c>
      <c r="M487" s="189" t="s">
        <v>1343</v>
      </c>
      <c r="N487" s="247" t="str">
        <f>IF(A487="k_CalRelNum_Cnt_u8[12]","CalRelNum",IF(F487="Y","TunSetCalSeg",IF(F487="N", "FlashCalSeg", "")))</f>
        <v>FlashCalSeg</v>
      </c>
    </row>
    <row r="488" spans="1:14" ht="30.6" x14ac:dyDescent="0.25">
      <c r="A488" s="190" t="s">
        <v>1348</v>
      </c>
      <c r="B488" s="184" t="s">
        <v>1349</v>
      </c>
      <c r="C488" s="185" t="s">
        <v>1215</v>
      </c>
      <c r="D488" s="185" t="s">
        <v>1222</v>
      </c>
      <c r="E488" s="185" t="s">
        <v>1342</v>
      </c>
      <c r="F488" s="186" t="s">
        <v>82</v>
      </c>
      <c r="G488" s="187" t="s">
        <v>82</v>
      </c>
      <c r="H488" s="187"/>
      <c r="I488" s="188" t="s">
        <v>3432</v>
      </c>
      <c r="J488" s="189">
        <v>-64</v>
      </c>
      <c r="K488" s="189">
        <v>63.998046875</v>
      </c>
      <c r="L488" s="189" t="s">
        <v>648</v>
      </c>
      <c r="M488" s="189" t="s">
        <v>1343</v>
      </c>
      <c r="N488" s="247" t="str">
        <f>IF(A488="k_CalRelNum_Cnt_u8[12]","CalRelNum",IF(F488="Y","TunSetCalSeg",IF(F488="N", "FlashCalSeg", "")))</f>
        <v>FlashCalSeg</v>
      </c>
    </row>
    <row r="489" spans="1:14" ht="30.6" x14ac:dyDescent="0.25">
      <c r="A489" s="190" t="s">
        <v>3500</v>
      </c>
      <c r="B489" s="184" t="s">
        <v>1341</v>
      </c>
      <c r="C489" s="185" t="s">
        <v>1215</v>
      </c>
      <c r="D489" s="185" t="s">
        <v>1222</v>
      </c>
      <c r="E489" s="185" t="s">
        <v>1342</v>
      </c>
      <c r="F489" s="186" t="s">
        <v>82</v>
      </c>
      <c r="G489" s="187" t="s">
        <v>82</v>
      </c>
      <c r="H489" s="187"/>
      <c r="I489" s="188" t="s">
        <v>3432</v>
      </c>
      <c r="J489" s="189">
        <v>-64</v>
      </c>
      <c r="K489" s="189">
        <v>63.998046875</v>
      </c>
      <c r="L489" s="189" t="s">
        <v>648</v>
      </c>
      <c r="M489" s="189" t="s">
        <v>1343</v>
      </c>
      <c r="N489" s="247" t="str">
        <f>IF(A489="k_CalRelNum_Cnt_u8[12]","CalRelNum",IF(F489="Y","TunSetCalSeg",IF(F489="N", "FlashCalSeg", "")))</f>
        <v>FlashCalSeg</v>
      </c>
    </row>
    <row r="490" spans="1:14" ht="30.6" x14ac:dyDescent="0.25">
      <c r="A490" s="190" t="s">
        <v>3501</v>
      </c>
      <c r="B490" s="184" t="s">
        <v>1345</v>
      </c>
      <c r="C490" s="185" t="s">
        <v>1215</v>
      </c>
      <c r="D490" s="185" t="s">
        <v>1222</v>
      </c>
      <c r="E490" s="185" t="s">
        <v>1342</v>
      </c>
      <c r="F490" s="186" t="s">
        <v>82</v>
      </c>
      <c r="G490" s="187" t="s">
        <v>82</v>
      </c>
      <c r="H490" s="187"/>
      <c r="I490" s="188" t="s">
        <v>3432</v>
      </c>
      <c r="J490" s="189">
        <v>-64</v>
      </c>
      <c r="K490" s="189">
        <v>63.998046875</v>
      </c>
      <c r="L490" s="189" t="s">
        <v>648</v>
      </c>
      <c r="M490" s="189" t="s">
        <v>1343</v>
      </c>
      <c r="N490" s="247" t="str">
        <f>IF(A490="k_CalRelNum_Cnt_u8[12]","CalRelNum",IF(F490="Y","TunSetCalSeg",IF(F490="N", "FlashCalSeg", "")))</f>
        <v>FlashCalSeg</v>
      </c>
    </row>
    <row r="491" spans="1:14" ht="30.6" x14ac:dyDescent="0.25">
      <c r="A491" s="190" t="s">
        <v>1340</v>
      </c>
      <c r="B491" s="184" t="s">
        <v>1341</v>
      </c>
      <c r="C491" s="185" t="s">
        <v>1215</v>
      </c>
      <c r="D491" s="185" t="s">
        <v>1222</v>
      </c>
      <c r="E491" s="185" t="s">
        <v>1342</v>
      </c>
      <c r="F491" s="186" t="s">
        <v>82</v>
      </c>
      <c r="G491" s="187" t="s">
        <v>82</v>
      </c>
      <c r="H491" s="187"/>
      <c r="I491" s="188" t="s">
        <v>3432</v>
      </c>
      <c r="J491" s="189">
        <v>-64</v>
      </c>
      <c r="K491" s="189">
        <v>63.998046875</v>
      </c>
      <c r="L491" s="189" t="s">
        <v>648</v>
      </c>
      <c r="M491" s="189" t="s">
        <v>1343</v>
      </c>
      <c r="N491" s="247" t="str">
        <f>IF(A491="k_CalRelNum_Cnt_u8[12]","CalRelNum",IF(F491="Y","TunSetCalSeg",IF(F491="N", "FlashCalSeg", "")))</f>
        <v>FlashCalSeg</v>
      </c>
    </row>
    <row r="492" spans="1:14" ht="30.6" x14ac:dyDescent="0.25">
      <c r="A492" s="190" t="s">
        <v>1344</v>
      </c>
      <c r="B492" s="184" t="s">
        <v>1345</v>
      </c>
      <c r="C492" s="185" t="s">
        <v>1215</v>
      </c>
      <c r="D492" s="185" t="s">
        <v>1222</v>
      </c>
      <c r="E492" s="185" t="s">
        <v>1342</v>
      </c>
      <c r="F492" s="186" t="s">
        <v>82</v>
      </c>
      <c r="G492" s="187" t="s">
        <v>82</v>
      </c>
      <c r="H492" s="187"/>
      <c r="I492" s="188" t="s">
        <v>3432</v>
      </c>
      <c r="J492" s="189">
        <v>-64</v>
      </c>
      <c r="K492" s="189">
        <v>63.998046875</v>
      </c>
      <c r="L492" s="189" t="s">
        <v>648</v>
      </c>
      <c r="M492" s="189" t="s">
        <v>1343</v>
      </c>
      <c r="N492" s="247" t="str">
        <f>IF(A492="k_CalRelNum_Cnt_u8[12]","CalRelNum",IF(F492="Y","TunSetCalSeg",IF(F492="N", "FlashCalSeg", "")))</f>
        <v>FlashCalSeg</v>
      </c>
    </row>
    <row r="493" spans="1:14" ht="30.6" x14ac:dyDescent="0.25">
      <c r="A493" s="190" t="s">
        <v>3504</v>
      </c>
      <c r="B493" s="184" t="s">
        <v>3505</v>
      </c>
      <c r="C493" s="185" t="s">
        <v>1215</v>
      </c>
      <c r="D493" s="185" t="s">
        <v>1222</v>
      </c>
      <c r="E493" s="185" t="s">
        <v>1224</v>
      </c>
      <c r="F493" s="186" t="s">
        <v>82</v>
      </c>
      <c r="G493" s="187" t="s">
        <v>82</v>
      </c>
      <c r="H493" s="187"/>
      <c r="I493" s="188" t="s">
        <v>3506</v>
      </c>
      <c r="J493" s="189">
        <v>0</v>
      </c>
      <c r="K493" s="189">
        <v>10</v>
      </c>
      <c r="L493" s="189" t="s">
        <v>260</v>
      </c>
      <c r="M493" s="189" t="s">
        <v>258</v>
      </c>
      <c r="N493" s="247" t="str">
        <f>IF(A493="k_CalRelNum_Cnt_u8[12]","CalRelNum",IF(F493="Y","TunSetCalSeg",IF(F493="N", "FlashCalSeg", "")))</f>
        <v>FlashCalSeg</v>
      </c>
    </row>
    <row r="494" spans="1:14" ht="30.6" x14ac:dyDescent="0.25">
      <c r="A494" s="190" t="s">
        <v>3507</v>
      </c>
      <c r="B494" s="184" t="s">
        <v>3508</v>
      </c>
      <c r="C494" s="185" t="s">
        <v>1215</v>
      </c>
      <c r="D494" s="185" t="s">
        <v>1222</v>
      </c>
      <c r="E494" s="185" t="s">
        <v>1229</v>
      </c>
      <c r="F494" s="186" t="s">
        <v>82</v>
      </c>
      <c r="G494" s="187" t="s">
        <v>82</v>
      </c>
      <c r="H494" s="187"/>
      <c r="I494" s="188" t="s">
        <v>3506</v>
      </c>
      <c r="J494" s="189">
        <v>0</v>
      </c>
      <c r="K494" s="189">
        <v>0.99998474121093806</v>
      </c>
      <c r="L494" s="189" t="s">
        <v>1353</v>
      </c>
      <c r="M494" s="189" t="s">
        <v>977</v>
      </c>
      <c r="N494" s="247" t="str">
        <f>IF(A494="k_CalRelNum_Cnt_u8[12]","CalRelNum",IF(F494="Y","TunSetCalSeg",IF(F494="N", "FlashCalSeg", "")))</f>
        <v>FlashCalSeg</v>
      </c>
    </row>
    <row r="495" spans="1:14" ht="51" x14ac:dyDescent="0.25">
      <c r="A495" s="190" t="s">
        <v>1315</v>
      </c>
      <c r="B495" s="184" t="s">
        <v>1316</v>
      </c>
      <c r="C495" s="185" t="s">
        <v>1317</v>
      </c>
      <c r="D495" s="185" t="s">
        <v>1318</v>
      </c>
      <c r="E495" s="185" t="s">
        <v>1313</v>
      </c>
      <c r="F495" s="186" t="s">
        <v>82</v>
      </c>
      <c r="G495" s="187" t="s">
        <v>82</v>
      </c>
      <c r="H495" s="187"/>
      <c r="I495" s="252" t="s">
        <v>1319</v>
      </c>
      <c r="J495" s="253">
        <v>0</v>
      </c>
      <c r="K495" s="253">
        <v>2000</v>
      </c>
      <c r="L495" s="189" t="s">
        <v>271</v>
      </c>
      <c r="M495" s="189" t="s">
        <v>267</v>
      </c>
      <c r="N495" s="247" t="str">
        <f>IF(A495="k_CalRelNum_Cnt_u8[12]","CalRelNum",IF(F495="Y","TunSetCalSeg",IF(F495="N", "FlashCalSeg", "")))</f>
        <v>FlashCalSeg</v>
      </c>
    </row>
    <row r="496" spans="1:14" ht="30.6" x14ac:dyDescent="0.25">
      <c r="A496" s="190" t="s">
        <v>1423</v>
      </c>
      <c r="B496" s="184" t="s">
        <v>4188</v>
      </c>
      <c r="C496" s="185" t="s">
        <v>1399</v>
      </c>
      <c r="D496" s="185" t="s">
        <v>198</v>
      </c>
      <c r="E496" s="185"/>
      <c r="F496" s="186" t="s">
        <v>82</v>
      </c>
      <c r="G496" s="187" t="s">
        <v>82</v>
      </c>
      <c r="H496" s="187"/>
      <c r="I496" s="252">
        <v>2.4E-2</v>
      </c>
      <c r="J496" s="253">
        <v>1.0000000000000001E-5</v>
      </c>
      <c r="K496" s="253">
        <v>0.1</v>
      </c>
      <c r="L496" s="189" t="s">
        <v>262</v>
      </c>
      <c r="M496" s="189" t="s">
        <v>261</v>
      </c>
      <c r="N496" s="247" t="str">
        <f>IF(A496="k_CalRelNum_Cnt_u8[12]","CalRelNum",IF(F496="Y","TunSetCalSeg",IF(F496="N", "FlashCalSeg", "")))</f>
        <v>FlashCalSeg</v>
      </c>
    </row>
    <row r="497" spans="1:14" ht="30.6" x14ac:dyDescent="0.25">
      <c r="A497" s="190" t="s">
        <v>1422</v>
      </c>
      <c r="B497" s="184" t="s">
        <v>4187</v>
      </c>
      <c r="C497" s="185" t="s">
        <v>1399</v>
      </c>
      <c r="D497" s="185" t="s">
        <v>198</v>
      </c>
      <c r="E497" s="185"/>
      <c r="F497" s="186" t="s">
        <v>82</v>
      </c>
      <c r="G497" s="187" t="s">
        <v>82</v>
      </c>
      <c r="H497" s="187"/>
      <c r="I497" s="188">
        <v>0.01</v>
      </c>
      <c r="J497" s="189">
        <v>-1</v>
      </c>
      <c r="K497" s="189">
        <v>1</v>
      </c>
      <c r="L497" s="189" t="s">
        <v>1412</v>
      </c>
      <c r="M497" s="189" t="s">
        <v>261</v>
      </c>
      <c r="N497" s="247" t="str">
        <f>IF(A497="k_CalRelNum_Cnt_u8[12]","CalRelNum",IF(F497="Y","TunSetCalSeg",IF(F497="N", "FlashCalSeg", "")))</f>
        <v>FlashCalSeg</v>
      </c>
    </row>
    <row r="498" spans="1:14" ht="30.6" x14ac:dyDescent="0.25">
      <c r="A498" s="190" t="s">
        <v>1408</v>
      </c>
      <c r="B498" s="184" t="s">
        <v>4176</v>
      </c>
      <c r="C498" s="185" t="s">
        <v>1399</v>
      </c>
      <c r="D498" s="185" t="s">
        <v>198</v>
      </c>
      <c r="E498" s="185"/>
      <c r="F498" s="186" t="s">
        <v>82</v>
      </c>
      <c r="G498" s="187" t="s">
        <v>82</v>
      </c>
      <c r="H498" s="187"/>
      <c r="I498" s="188">
        <v>0.01</v>
      </c>
      <c r="J498" s="189">
        <v>0</v>
      </c>
      <c r="K498" s="189">
        <v>1</v>
      </c>
      <c r="L498" s="189" t="s">
        <v>1409</v>
      </c>
      <c r="M498" s="189" t="s">
        <v>261</v>
      </c>
      <c r="N498" s="247" t="str">
        <f>IF(A498="k_CalRelNum_Cnt_u8[12]","CalRelNum",IF(F498="Y","TunSetCalSeg",IF(F498="N", "FlashCalSeg", "")))</f>
        <v>FlashCalSeg</v>
      </c>
    </row>
    <row r="499" spans="1:14" ht="30.6" x14ac:dyDescent="0.25">
      <c r="A499" s="190" t="s">
        <v>1429</v>
      </c>
      <c r="B499" s="184" t="s">
        <v>4194</v>
      </c>
      <c r="C499" s="185" t="s">
        <v>1399</v>
      </c>
      <c r="D499" s="185" t="s">
        <v>198</v>
      </c>
      <c r="E499" s="185"/>
      <c r="F499" s="186" t="s">
        <v>82</v>
      </c>
      <c r="G499" s="187" t="s">
        <v>82</v>
      </c>
      <c r="H499" s="187"/>
      <c r="I499" s="188">
        <v>0.9</v>
      </c>
      <c r="J499" s="189">
        <v>0</v>
      </c>
      <c r="K499" s="189">
        <v>1</v>
      </c>
      <c r="L499" s="189" t="s">
        <v>260</v>
      </c>
      <c r="M499" s="189" t="s">
        <v>261</v>
      </c>
      <c r="N499" s="247" t="str">
        <f>IF(A499="k_CalRelNum_Cnt_u8[12]","CalRelNum",IF(F499="Y","TunSetCalSeg",IF(F499="N", "FlashCalSeg", "")))</f>
        <v>FlashCalSeg</v>
      </c>
    </row>
    <row r="500" spans="1:14" ht="30.6" x14ac:dyDescent="0.25">
      <c r="A500" s="190" t="s">
        <v>4228</v>
      </c>
      <c r="B500" s="184" t="s">
        <v>4229</v>
      </c>
      <c r="C500" s="185" t="s">
        <v>1399</v>
      </c>
      <c r="D500" s="185" t="s">
        <v>198</v>
      </c>
      <c r="E500" s="185"/>
      <c r="F500" s="186" t="s">
        <v>82</v>
      </c>
      <c r="G500" s="187" t="s">
        <v>82</v>
      </c>
      <c r="H500" s="187"/>
      <c r="I500" s="188">
        <v>60</v>
      </c>
      <c r="J500" s="189">
        <v>-70</v>
      </c>
      <c r="K500" s="189">
        <v>70</v>
      </c>
      <c r="L500" s="189" t="s">
        <v>558</v>
      </c>
      <c r="M500" s="189" t="s">
        <v>261</v>
      </c>
      <c r="N500" s="247" t="str">
        <f>IF(A500="k_CalRelNum_Cnt_u8[12]","CalRelNum",IF(F500="Y","TunSetCalSeg",IF(F500="N", "FlashCalSeg", "")))</f>
        <v>FlashCalSeg</v>
      </c>
    </row>
    <row r="501" spans="1:14" ht="30.6" x14ac:dyDescent="0.25">
      <c r="A501" s="190" t="s">
        <v>1420</v>
      </c>
      <c r="B501" s="184" t="s">
        <v>4186</v>
      </c>
      <c r="C501" s="185" t="s">
        <v>1399</v>
      </c>
      <c r="D501" s="185" t="s">
        <v>198</v>
      </c>
      <c r="E501" s="185"/>
      <c r="F501" s="186" t="s">
        <v>82</v>
      </c>
      <c r="G501" s="187" t="s">
        <v>82</v>
      </c>
      <c r="H501" s="187"/>
      <c r="I501" s="188">
        <v>1E-4</v>
      </c>
      <c r="J501" s="189">
        <v>0</v>
      </c>
      <c r="K501" s="189">
        <v>1</v>
      </c>
      <c r="L501" s="189" t="s">
        <v>1421</v>
      </c>
      <c r="M501" s="189" t="s">
        <v>261</v>
      </c>
      <c r="N501" s="247" t="str">
        <f>IF(A501="k_CalRelNum_Cnt_u8[12]","CalRelNum",IF(F501="Y","TunSetCalSeg",IF(F501="N", "FlashCalSeg", "")))</f>
        <v>FlashCalSeg</v>
      </c>
    </row>
    <row r="502" spans="1:14" ht="30.6" x14ac:dyDescent="0.25">
      <c r="A502" s="190" t="s">
        <v>4230</v>
      </c>
      <c r="B502" s="184" t="s">
        <v>4231</v>
      </c>
      <c r="C502" s="185" t="s">
        <v>1399</v>
      </c>
      <c r="D502" s="185" t="s">
        <v>198</v>
      </c>
      <c r="E502" s="185"/>
      <c r="F502" s="186" t="s">
        <v>82</v>
      </c>
      <c r="G502" s="187" t="s">
        <v>82</v>
      </c>
      <c r="H502" s="187"/>
      <c r="I502" s="188">
        <v>50</v>
      </c>
      <c r="J502" s="189">
        <v>0</v>
      </c>
      <c r="K502" s="189">
        <v>100</v>
      </c>
      <c r="L502" s="189" t="s">
        <v>558</v>
      </c>
      <c r="M502" s="189" t="s">
        <v>261</v>
      </c>
      <c r="N502" s="247" t="str">
        <f>IF(A502="k_CalRelNum_Cnt_u8[12]","CalRelNum",IF(F502="Y","TunSetCalSeg",IF(F502="N", "FlashCalSeg", "")))</f>
        <v>FlashCalSeg</v>
      </c>
    </row>
    <row r="503" spans="1:14" ht="30.6" x14ac:dyDescent="0.25">
      <c r="A503" s="190" t="s">
        <v>1431</v>
      </c>
      <c r="B503" s="184" t="s">
        <v>4196</v>
      </c>
      <c r="C503" s="185" t="s">
        <v>1399</v>
      </c>
      <c r="D503" s="185" t="s">
        <v>198</v>
      </c>
      <c r="E503" s="185"/>
      <c r="F503" s="186" t="s">
        <v>82</v>
      </c>
      <c r="G503" s="187" t="s">
        <v>82</v>
      </c>
      <c r="H503" s="187"/>
      <c r="I503" s="188">
        <v>0.47619869999999997</v>
      </c>
      <c r="J503" s="189">
        <v>-150</v>
      </c>
      <c r="K503" s="189">
        <v>150</v>
      </c>
      <c r="L503" s="189" t="s">
        <v>260</v>
      </c>
      <c r="M503" s="189" t="s">
        <v>261</v>
      </c>
      <c r="N503" s="247" t="str">
        <f>IF(A503="k_CalRelNum_Cnt_u8[12]","CalRelNum",IF(F503="Y","TunSetCalSeg",IF(F503="N", "FlashCalSeg", "")))</f>
        <v>FlashCalSeg</v>
      </c>
    </row>
    <row r="504" spans="1:14" ht="30.6" x14ac:dyDescent="0.25">
      <c r="A504" s="190" t="s">
        <v>1432</v>
      </c>
      <c r="B504" s="184" t="s">
        <v>4197</v>
      </c>
      <c r="C504" s="185" t="s">
        <v>1399</v>
      </c>
      <c r="D504" s="185" t="s">
        <v>198</v>
      </c>
      <c r="E504" s="185"/>
      <c r="F504" s="186" t="s">
        <v>82</v>
      </c>
      <c r="G504" s="187" t="s">
        <v>82</v>
      </c>
      <c r="H504" s="187"/>
      <c r="I504" s="188">
        <v>-0.47616730000000002</v>
      </c>
      <c r="J504" s="189">
        <v>-150</v>
      </c>
      <c r="K504" s="189">
        <v>150</v>
      </c>
      <c r="L504" s="189" t="s">
        <v>260</v>
      </c>
      <c r="M504" s="189" t="s">
        <v>261</v>
      </c>
      <c r="N504" s="247" t="str">
        <f>IF(A504="k_CalRelNum_Cnt_u8[12]","CalRelNum",IF(F504="Y","TunSetCalSeg",IF(F504="N", "FlashCalSeg", "")))</f>
        <v>FlashCalSeg</v>
      </c>
    </row>
    <row r="505" spans="1:14" ht="30.6" x14ac:dyDescent="0.25">
      <c r="A505" s="190" t="s">
        <v>1430</v>
      </c>
      <c r="B505" s="184" t="s">
        <v>4195</v>
      </c>
      <c r="C505" s="185" t="s">
        <v>1399</v>
      </c>
      <c r="D505" s="185" t="s">
        <v>198</v>
      </c>
      <c r="E505" s="185"/>
      <c r="F505" s="186" t="s">
        <v>82</v>
      </c>
      <c r="G505" s="187" t="s">
        <v>82</v>
      </c>
      <c r="H505" s="187"/>
      <c r="I505" s="188">
        <v>0.99996858</v>
      </c>
      <c r="J505" s="189">
        <v>-150</v>
      </c>
      <c r="K505" s="189">
        <v>150</v>
      </c>
      <c r="L505" s="189" t="s">
        <v>260</v>
      </c>
      <c r="M505" s="189" t="s">
        <v>261</v>
      </c>
      <c r="N505" s="247" t="str">
        <f>IF(A505="k_CalRelNum_Cnt_u8[12]","CalRelNum",IF(F505="Y","TunSetCalSeg",IF(F505="N", "FlashCalSeg", "")))</f>
        <v>FlashCalSeg</v>
      </c>
    </row>
    <row r="506" spans="1:14" ht="30.6" x14ac:dyDescent="0.25">
      <c r="A506" s="190" t="s">
        <v>1433</v>
      </c>
      <c r="B506" s="184" t="s">
        <v>4198</v>
      </c>
      <c r="C506" s="185" t="s">
        <v>1399</v>
      </c>
      <c r="D506" s="185" t="s">
        <v>198</v>
      </c>
      <c r="E506" s="185"/>
      <c r="F506" s="186" t="s">
        <v>82</v>
      </c>
      <c r="G506" s="187" t="s">
        <v>82</v>
      </c>
      <c r="H506" s="187"/>
      <c r="I506" s="188">
        <v>1</v>
      </c>
      <c r="J506" s="189">
        <v>0</v>
      </c>
      <c r="K506" s="189">
        <v>100</v>
      </c>
      <c r="L506" s="189" t="s">
        <v>1434</v>
      </c>
      <c r="M506" s="189" t="s">
        <v>261</v>
      </c>
      <c r="N506" s="247" t="str">
        <f>IF(A506="k_CalRelNum_Cnt_u8[12]","CalRelNum",IF(F506="Y","TunSetCalSeg",IF(F506="N", "FlashCalSeg", "")))</f>
        <v>FlashCalSeg</v>
      </c>
    </row>
    <row r="507" spans="1:14" ht="30.6" x14ac:dyDescent="0.25">
      <c r="A507" s="190" t="s">
        <v>1415</v>
      </c>
      <c r="B507" s="184" t="s">
        <v>4181</v>
      </c>
      <c r="C507" s="185" t="s">
        <v>1399</v>
      </c>
      <c r="D507" s="185" t="s">
        <v>198</v>
      </c>
      <c r="E507" s="185"/>
      <c r="F507" s="186" t="s">
        <v>82</v>
      </c>
      <c r="G507" s="187" t="s">
        <v>82</v>
      </c>
      <c r="H507" s="187"/>
      <c r="I507" s="188">
        <v>2.4E-2</v>
      </c>
      <c r="J507" s="189">
        <v>1.0000000000000001E-5</v>
      </c>
      <c r="K507" s="189">
        <v>0.1</v>
      </c>
      <c r="L507" s="189" t="s">
        <v>262</v>
      </c>
      <c r="M507" s="189" t="s">
        <v>261</v>
      </c>
      <c r="N507" s="247" t="str">
        <f>IF(A507="k_CalRelNum_Cnt_u8[12]","CalRelNum",IF(F507="Y","TunSetCalSeg",IF(F507="N", "FlashCalSeg", "")))</f>
        <v>FlashCalSeg</v>
      </c>
    </row>
    <row r="508" spans="1:14" ht="30.6" x14ac:dyDescent="0.25">
      <c r="A508" s="190" t="s">
        <v>1416</v>
      </c>
      <c r="B508" s="184" t="s">
        <v>4182</v>
      </c>
      <c r="C508" s="185" t="s">
        <v>1399</v>
      </c>
      <c r="D508" s="185" t="s">
        <v>198</v>
      </c>
      <c r="E508" s="185"/>
      <c r="F508" s="186" t="s">
        <v>82</v>
      </c>
      <c r="G508" s="187" t="s">
        <v>82</v>
      </c>
      <c r="H508" s="187"/>
      <c r="I508" s="188">
        <v>0.75</v>
      </c>
      <c r="J508" s="189">
        <v>-1</v>
      </c>
      <c r="K508" s="189">
        <v>1</v>
      </c>
      <c r="L508" s="189" t="s">
        <v>1412</v>
      </c>
      <c r="M508" s="189" t="s">
        <v>261</v>
      </c>
      <c r="N508" s="247" t="str">
        <f>IF(A508="k_CalRelNum_Cnt_u8[12]","CalRelNum",IF(F508="Y","TunSetCalSeg",IF(F508="N", "FlashCalSeg", "")))</f>
        <v>FlashCalSeg</v>
      </c>
    </row>
    <row r="509" spans="1:14" ht="30.6" x14ac:dyDescent="0.25">
      <c r="A509" s="190" t="s">
        <v>1419</v>
      </c>
      <c r="B509" s="184" t="s">
        <v>4185</v>
      </c>
      <c r="C509" s="185" t="s">
        <v>1399</v>
      </c>
      <c r="D509" s="185" t="s">
        <v>198</v>
      </c>
      <c r="E509" s="185"/>
      <c r="F509" s="186" t="s">
        <v>82</v>
      </c>
      <c r="G509" s="187" t="s">
        <v>82</v>
      </c>
      <c r="H509" s="187"/>
      <c r="I509" s="188">
        <v>80</v>
      </c>
      <c r="J509" s="189">
        <v>-100</v>
      </c>
      <c r="K509" s="189">
        <v>100</v>
      </c>
      <c r="L509" s="189" t="s">
        <v>558</v>
      </c>
      <c r="M509" s="189" t="s">
        <v>261</v>
      </c>
      <c r="N509" s="247" t="str">
        <f>IF(A509="k_CalRelNum_Cnt_u8[12]","CalRelNum",IF(F509="Y","TunSetCalSeg",IF(F509="N", "FlashCalSeg", "")))</f>
        <v>FlashCalSeg</v>
      </c>
    </row>
    <row r="510" spans="1:14" ht="30.6" x14ac:dyDescent="0.25">
      <c r="A510" s="190" t="s">
        <v>1407</v>
      </c>
      <c r="B510" s="184" t="s">
        <v>4175</v>
      </c>
      <c r="C510" s="185" t="s">
        <v>1399</v>
      </c>
      <c r="D510" s="185" t="s">
        <v>198</v>
      </c>
      <c r="E510" s="185"/>
      <c r="F510" s="186" t="s">
        <v>82</v>
      </c>
      <c r="G510" s="187" t="s">
        <v>82</v>
      </c>
      <c r="H510" s="187"/>
      <c r="I510" s="188">
        <v>0.99994282000000001</v>
      </c>
      <c r="J510" s="189">
        <v>-150</v>
      </c>
      <c r="K510" s="189">
        <v>150</v>
      </c>
      <c r="L510" s="189" t="s">
        <v>260</v>
      </c>
      <c r="M510" s="189" t="s">
        <v>261</v>
      </c>
      <c r="N510" s="247" t="str">
        <f>IF(A510="k_CalRelNum_Cnt_u8[12]","CalRelNum",IF(F510="Y","TunSetCalSeg",IF(F510="N", "FlashCalSeg", "")))</f>
        <v>FlashCalSeg</v>
      </c>
    </row>
    <row r="511" spans="1:14" ht="30.6" x14ac:dyDescent="0.25">
      <c r="A511" s="190" t="s">
        <v>1405</v>
      </c>
      <c r="B511" s="184" t="s">
        <v>4173</v>
      </c>
      <c r="C511" s="185" t="s">
        <v>1399</v>
      </c>
      <c r="D511" s="185" t="s">
        <v>198</v>
      </c>
      <c r="E511" s="185"/>
      <c r="F511" s="186" t="s">
        <v>82</v>
      </c>
      <c r="G511" s="187" t="s">
        <v>82</v>
      </c>
      <c r="H511" s="187"/>
      <c r="I511" s="188">
        <v>0.86667048000000002</v>
      </c>
      <c r="J511" s="189">
        <v>-150</v>
      </c>
      <c r="K511" s="189">
        <v>150</v>
      </c>
      <c r="L511" s="189" t="s">
        <v>260</v>
      </c>
      <c r="M511" s="189" t="s">
        <v>261</v>
      </c>
      <c r="N511" s="247" t="str">
        <f>IF(A511="k_CalRelNum_Cnt_u8[12]","CalRelNum",IF(F511="Y","TunSetCalSeg",IF(F511="N", "FlashCalSeg", "")))</f>
        <v>FlashCalSeg</v>
      </c>
    </row>
    <row r="512" spans="1:14" ht="30.6" x14ac:dyDescent="0.25">
      <c r="A512" s="190" t="s">
        <v>1406</v>
      </c>
      <c r="B512" s="184" t="s">
        <v>4174</v>
      </c>
      <c r="C512" s="185" t="s">
        <v>1399</v>
      </c>
      <c r="D512" s="185" t="s">
        <v>198</v>
      </c>
      <c r="E512" s="185"/>
      <c r="F512" s="186" t="s">
        <v>82</v>
      </c>
      <c r="G512" s="187" t="s">
        <v>82</v>
      </c>
      <c r="H512" s="187"/>
      <c r="I512" s="188">
        <v>-0.86661330000000003</v>
      </c>
      <c r="J512" s="189">
        <v>-150</v>
      </c>
      <c r="K512" s="189">
        <v>150</v>
      </c>
      <c r="L512" s="189" t="s">
        <v>260</v>
      </c>
      <c r="M512" s="189" t="s">
        <v>261</v>
      </c>
      <c r="N512" s="247" t="str">
        <f>IF(A512="k_CalRelNum_Cnt_u8[12]","CalRelNum",IF(F512="Y","TunSetCalSeg",IF(F512="N", "FlashCalSeg", "")))</f>
        <v>FlashCalSeg</v>
      </c>
    </row>
    <row r="513" spans="1:14" ht="30.6" x14ac:dyDescent="0.25">
      <c r="A513" s="190" t="s">
        <v>1428</v>
      </c>
      <c r="B513" s="184" t="s">
        <v>4193</v>
      </c>
      <c r="C513" s="185" t="s">
        <v>1399</v>
      </c>
      <c r="D513" s="185" t="s">
        <v>198</v>
      </c>
      <c r="E513" s="185"/>
      <c r="F513" s="186" t="s">
        <v>82</v>
      </c>
      <c r="G513" s="187" t="s">
        <v>82</v>
      </c>
      <c r="H513" s="187"/>
      <c r="I513" s="188">
        <v>0.1</v>
      </c>
      <c r="J513" s="189">
        <v>0</v>
      </c>
      <c r="K513" s="189">
        <v>1</v>
      </c>
      <c r="L513" s="189" t="s">
        <v>260</v>
      </c>
      <c r="M513" s="189" t="s">
        <v>261</v>
      </c>
      <c r="N513" s="247" t="str">
        <f>IF(A513="k_CalRelNum_Cnt_u8[12]","CalRelNum",IF(F513="Y","TunSetCalSeg",IF(F513="N", "FlashCalSeg", "")))</f>
        <v>FlashCalSeg</v>
      </c>
    </row>
    <row r="514" spans="1:14" ht="30.6" x14ac:dyDescent="0.25">
      <c r="A514" s="190" t="s">
        <v>1413</v>
      </c>
      <c r="B514" s="184" t="s">
        <v>4179</v>
      </c>
      <c r="C514" s="185" t="s">
        <v>1399</v>
      </c>
      <c r="D514" s="185" t="s">
        <v>198</v>
      </c>
      <c r="E514" s="185"/>
      <c r="F514" s="186" t="s">
        <v>82</v>
      </c>
      <c r="G514" s="187" t="s">
        <v>82</v>
      </c>
      <c r="H514" s="187"/>
      <c r="I514" s="188">
        <v>2.4E-2</v>
      </c>
      <c r="J514" s="189">
        <v>1.0000000000000001E-5</v>
      </c>
      <c r="K514" s="189">
        <v>0.1</v>
      </c>
      <c r="L514" s="189" t="s">
        <v>262</v>
      </c>
      <c r="M514" s="189" t="s">
        <v>261</v>
      </c>
      <c r="N514" s="247" t="str">
        <f>IF(A514="k_CalRelNum_Cnt_u8[12]","CalRelNum",IF(F514="Y","TunSetCalSeg",IF(F514="N", "FlashCalSeg", "")))</f>
        <v>FlashCalSeg</v>
      </c>
    </row>
    <row r="515" spans="1:14" ht="30.6" x14ac:dyDescent="0.25">
      <c r="A515" s="190" t="s">
        <v>1414</v>
      </c>
      <c r="B515" s="184" t="s">
        <v>4180</v>
      </c>
      <c r="C515" s="185" t="s">
        <v>1399</v>
      </c>
      <c r="D515" s="185" t="s">
        <v>198</v>
      </c>
      <c r="E515" s="185"/>
      <c r="F515" s="186" t="s">
        <v>82</v>
      </c>
      <c r="G515" s="187" t="s">
        <v>82</v>
      </c>
      <c r="H515" s="187"/>
      <c r="I515" s="188">
        <v>0.01</v>
      </c>
      <c r="J515" s="189">
        <v>-1</v>
      </c>
      <c r="K515" s="189">
        <v>1</v>
      </c>
      <c r="L515" s="189" t="s">
        <v>1412</v>
      </c>
      <c r="M515" s="189" t="s">
        <v>261</v>
      </c>
      <c r="N515" s="247" t="str">
        <f>IF(A515="k_CalRelNum_Cnt_u8[12]","CalRelNum",IF(F515="Y","TunSetCalSeg",IF(F515="N", "FlashCalSeg", "")))</f>
        <v>FlashCalSeg</v>
      </c>
    </row>
    <row r="516" spans="1:14" ht="30.6" x14ac:dyDescent="0.25">
      <c r="A516" s="190" t="s">
        <v>1418</v>
      </c>
      <c r="B516" s="184" t="s">
        <v>4184</v>
      </c>
      <c r="C516" s="185" t="s">
        <v>1399</v>
      </c>
      <c r="D516" s="185" t="s">
        <v>198</v>
      </c>
      <c r="E516" s="185"/>
      <c r="F516" s="186" t="s">
        <v>82</v>
      </c>
      <c r="G516" s="187" t="s">
        <v>82</v>
      </c>
      <c r="H516" s="187"/>
      <c r="I516" s="188">
        <v>60</v>
      </c>
      <c r="J516" s="189">
        <v>-100</v>
      </c>
      <c r="K516" s="189">
        <v>100</v>
      </c>
      <c r="L516" s="189" t="s">
        <v>558</v>
      </c>
      <c r="M516" s="189" t="s">
        <v>261</v>
      </c>
      <c r="N516" s="247" t="str">
        <f>IF(A516="k_CalRelNum_Cnt_u8[12]","CalRelNum",IF(F516="Y","TunSetCalSeg",IF(F516="N", "FlashCalSeg", "")))</f>
        <v>FlashCalSeg</v>
      </c>
    </row>
    <row r="517" spans="1:14" ht="30.6" x14ac:dyDescent="0.25">
      <c r="A517" s="190" t="s">
        <v>1404</v>
      </c>
      <c r="B517" s="184" t="s">
        <v>4172</v>
      </c>
      <c r="C517" s="185" t="s">
        <v>1399</v>
      </c>
      <c r="D517" s="185" t="s">
        <v>198</v>
      </c>
      <c r="E517" s="185"/>
      <c r="F517" s="186" t="s">
        <v>82</v>
      </c>
      <c r="G517" s="187" t="s">
        <v>82</v>
      </c>
      <c r="H517" s="187"/>
      <c r="I517" s="188">
        <v>0.99996229999999997</v>
      </c>
      <c r="J517" s="189">
        <v>-150</v>
      </c>
      <c r="K517" s="189">
        <v>150</v>
      </c>
      <c r="L517" s="189" t="s">
        <v>260</v>
      </c>
      <c r="M517" s="189" t="s">
        <v>261</v>
      </c>
      <c r="N517" s="247" t="str">
        <f>IF(A517="k_CalRelNum_Cnt_u8[12]","CalRelNum",IF(F517="Y","TunSetCalSeg",IF(F517="N", "FlashCalSeg", "")))</f>
        <v>FlashCalSeg</v>
      </c>
    </row>
    <row r="518" spans="1:14" ht="30.6" x14ac:dyDescent="0.25">
      <c r="A518" s="190" t="s">
        <v>1402</v>
      </c>
      <c r="B518" s="184" t="s">
        <v>4170</v>
      </c>
      <c r="C518" s="185" t="s">
        <v>1399</v>
      </c>
      <c r="D518" s="185" t="s">
        <v>198</v>
      </c>
      <c r="E518" s="185"/>
      <c r="F518" s="186" t="s">
        <v>82</v>
      </c>
      <c r="G518" s="187" t="s">
        <v>82</v>
      </c>
      <c r="H518" s="187"/>
      <c r="I518" s="188">
        <v>0.57143664999999999</v>
      </c>
      <c r="J518" s="189">
        <v>-150</v>
      </c>
      <c r="K518" s="189">
        <v>150</v>
      </c>
      <c r="L518" s="189" t="s">
        <v>260</v>
      </c>
      <c r="M518" s="189" t="s">
        <v>261</v>
      </c>
      <c r="N518" s="247" t="str">
        <f>IF(A518="k_CalRelNum_Cnt_u8[12]","CalRelNum",IF(F518="Y","TunSetCalSeg",IF(F518="N", "FlashCalSeg", "")))</f>
        <v>FlashCalSeg</v>
      </c>
    </row>
    <row r="519" spans="1:14" ht="30.6" x14ac:dyDescent="0.25">
      <c r="A519" s="190" t="s">
        <v>1403</v>
      </c>
      <c r="B519" s="184" t="s">
        <v>4171</v>
      </c>
      <c r="C519" s="185" t="s">
        <v>1399</v>
      </c>
      <c r="D519" s="185" t="s">
        <v>198</v>
      </c>
      <c r="E519" s="185"/>
      <c r="F519" s="186" t="s">
        <v>82</v>
      </c>
      <c r="G519" s="187" t="s">
        <v>82</v>
      </c>
      <c r="H519" s="187"/>
      <c r="I519" s="188">
        <v>-0.57139899999999999</v>
      </c>
      <c r="J519" s="189">
        <v>-150</v>
      </c>
      <c r="K519" s="189">
        <v>150</v>
      </c>
      <c r="L519" s="189" t="s">
        <v>260</v>
      </c>
      <c r="M519" s="189" t="s">
        <v>261</v>
      </c>
      <c r="N519" s="247" t="str">
        <f>IF(A519="k_CalRelNum_Cnt_u8[12]","CalRelNum",IF(F519="Y","TunSetCalSeg",IF(F519="N", "FlashCalSeg", "")))</f>
        <v>FlashCalSeg</v>
      </c>
    </row>
    <row r="520" spans="1:14" ht="30.6" x14ac:dyDescent="0.25">
      <c r="A520" s="190" t="s">
        <v>1410</v>
      </c>
      <c r="B520" s="184" t="s">
        <v>4177</v>
      </c>
      <c r="C520" s="185" t="s">
        <v>1399</v>
      </c>
      <c r="D520" s="185" t="s">
        <v>198</v>
      </c>
      <c r="E520" s="185"/>
      <c r="F520" s="186" t="s">
        <v>82</v>
      </c>
      <c r="G520" s="187" t="s">
        <v>82</v>
      </c>
      <c r="H520" s="187"/>
      <c r="I520" s="188">
        <v>2.4E-2</v>
      </c>
      <c r="J520" s="189">
        <v>1.0000000000000001E-5</v>
      </c>
      <c r="K520" s="189">
        <v>0.1</v>
      </c>
      <c r="L520" s="189" t="s">
        <v>262</v>
      </c>
      <c r="M520" s="189" t="s">
        <v>261</v>
      </c>
      <c r="N520" s="247" t="str">
        <f>IF(A520="k_CalRelNum_Cnt_u8[12]","CalRelNum",IF(F520="Y","TunSetCalSeg",IF(F520="N", "FlashCalSeg", "")))</f>
        <v>FlashCalSeg</v>
      </c>
    </row>
    <row r="521" spans="1:14" ht="30.6" x14ac:dyDescent="0.25">
      <c r="A521" s="190" t="s">
        <v>1411</v>
      </c>
      <c r="B521" s="184" t="s">
        <v>4178</v>
      </c>
      <c r="C521" s="185" t="s">
        <v>1399</v>
      </c>
      <c r="D521" s="185" t="s">
        <v>198</v>
      </c>
      <c r="E521" s="185"/>
      <c r="F521" s="186" t="s">
        <v>82</v>
      </c>
      <c r="G521" s="187" t="s">
        <v>82</v>
      </c>
      <c r="H521" s="187"/>
      <c r="I521" s="252">
        <v>0</v>
      </c>
      <c r="J521" s="253">
        <v>-1</v>
      </c>
      <c r="K521" s="253">
        <v>1</v>
      </c>
      <c r="L521" s="189" t="s">
        <v>1412</v>
      </c>
      <c r="M521" s="189" t="s">
        <v>261</v>
      </c>
      <c r="N521" s="247" t="str">
        <f>IF(A521="k_CalRelNum_Cnt_u8[12]","CalRelNum",IF(F521="Y","TunSetCalSeg",IF(F521="N", "FlashCalSeg", "")))</f>
        <v>FlashCalSeg</v>
      </c>
    </row>
    <row r="522" spans="1:14" ht="30.6" x14ac:dyDescent="0.25">
      <c r="A522" s="190" t="s">
        <v>1417</v>
      </c>
      <c r="B522" s="184" t="s">
        <v>4183</v>
      </c>
      <c r="C522" s="185" t="s">
        <v>1399</v>
      </c>
      <c r="D522" s="185" t="s">
        <v>198</v>
      </c>
      <c r="E522" s="185"/>
      <c r="F522" s="186" t="s">
        <v>82</v>
      </c>
      <c r="G522" s="187" t="s">
        <v>82</v>
      </c>
      <c r="H522" s="187"/>
      <c r="I522" s="188">
        <v>60</v>
      </c>
      <c r="J522" s="189">
        <v>-100</v>
      </c>
      <c r="K522" s="189">
        <v>100</v>
      </c>
      <c r="L522" s="189" t="s">
        <v>558</v>
      </c>
      <c r="M522" s="189" t="s">
        <v>261</v>
      </c>
      <c r="N522" s="247" t="str">
        <f>IF(A522="k_CalRelNum_Cnt_u8[12]","CalRelNum",IF(F522="Y","TunSetCalSeg",IF(F522="N", "FlashCalSeg", "")))</f>
        <v>FlashCalSeg</v>
      </c>
    </row>
    <row r="523" spans="1:14" ht="30.6" x14ac:dyDescent="0.25">
      <c r="A523" s="190" t="s">
        <v>1401</v>
      </c>
      <c r="B523" s="184" t="s">
        <v>4169</v>
      </c>
      <c r="C523" s="185" t="s">
        <v>1399</v>
      </c>
      <c r="D523" s="185" t="s">
        <v>198</v>
      </c>
      <c r="E523" s="185"/>
      <c r="F523" s="186" t="s">
        <v>82</v>
      </c>
      <c r="G523" s="187" t="s">
        <v>82</v>
      </c>
      <c r="H523" s="187"/>
      <c r="I523" s="252">
        <v>0.99988878999999997</v>
      </c>
      <c r="J523" s="253">
        <v>-150</v>
      </c>
      <c r="K523" s="253">
        <v>150</v>
      </c>
      <c r="L523" s="189" t="s">
        <v>260</v>
      </c>
      <c r="M523" s="189" t="s">
        <v>261</v>
      </c>
      <c r="N523" s="247" t="str">
        <f>IF(A523="k_CalRelNum_Cnt_u8[12]","CalRelNum",IF(F523="Y","TunSetCalSeg",IF(F523="N", "FlashCalSeg", "")))</f>
        <v>FlashCalSeg</v>
      </c>
    </row>
    <row r="524" spans="1:14" ht="30.6" x14ac:dyDescent="0.25">
      <c r="A524" s="190" t="s">
        <v>1398</v>
      </c>
      <c r="B524" s="184" t="s">
        <v>4167</v>
      </c>
      <c r="C524" s="185" t="s">
        <v>1399</v>
      </c>
      <c r="D524" s="185" t="s">
        <v>198</v>
      </c>
      <c r="E524" s="185"/>
      <c r="F524" s="186" t="s">
        <v>82</v>
      </c>
      <c r="G524" s="187" t="s">
        <v>82</v>
      </c>
      <c r="H524" s="187"/>
      <c r="I524" s="188">
        <v>1.6856761600000001</v>
      </c>
      <c r="J524" s="189">
        <v>-150</v>
      </c>
      <c r="K524" s="189">
        <v>150</v>
      </c>
      <c r="L524" s="189" t="s">
        <v>260</v>
      </c>
      <c r="M524" s="189" t="s">
        <v>261</v>
      </c>
      <c r="N524" s="247" t="str">
        <f>IF(A524="k_CalRelNum_Cnt_u8[12]","CalRelNum",IF(F524="Y","TunSetCalSeg",IF(F524="N", "FlashCalSeg", "")))</f>
        <v>FlashCalSeg</v>
      </c>
    </row>
    <row r="525" spans="1:14" ht="30.6" x14ac:dyDescent="0.25">
      <c r="A525" s="190" t="s">
        <v>1400</v>
      </c>
      <c r="B525" s="184" t="s">
        <v>4168</v>
      </c>
      <c r="C525" s="185" t="s">
        <v>1399</v>
      </c>
      <c r="D525" s="185" t="s">
        <v>198</v>
      </c>
      <c r="E525" s="185"/>
      <c r="F525" s="186" t="s">
        <v>82</v>
      </c>
      <c r="G525" s="187" t="s">
        <v>82</v>
      </c>
      <c r="H525" s="187"/>
      <c r="I525" s="188">
        <v>-1.685565</v>
      </c>
      <c r="J525" s="189">
        <v>-150</v>
      </c>
      <c r="K525" s="189">
        <v>150</v>
      </c>
      <c r="L525" s="189" t="s">
        <v>260</v>
      </c>
      <c r="M525" s="189" t="s">
        <v>261</v>
      </c>
      <c r="N525" s="247" t="str">
        <f>IF(A525="k_CalRelNum_Cnt_u8[12]","CalRelNum",IF(F525="Y","TunSetCalSeg",IF(F525="N", "FlashCalSeg", "")))</f>
        <v>FlashCalSeg</v>
      </c>
    </row>
    <row r="526" spans="1:14" ht="30.6" x14ac:dyDescent="0.25">
      <c r="A526" s="190" t="s">
        <v>1427</v>
      </c>
      <c r="B526" s="184" t="s">
        <v>4192</v>
      </c>
      <c r="C526" s="185" t="s">
        <v>1399</v>
      </c>
      <c r="D526" s="185" t="s">
        <v>198</v>
      </c>
      <c r="E526" s="185"/>
      <c r="F526" s="186" t="s">
        <v>82</v>
      </c>
      <c r="G526" s="187" t="s">
        <v>82</v>
      </c>
      <c r="H526" s="187"/>
      <c r="I526" s="188">
        <v>0</v>
      </c>
      <c r="J526" s="189">
        <v>-20</v>
      </c>
      <c r="K526" s="189">
        <v>20</v>
      </c>
      <c r="L526" s="189" t="s">
        <v>558</v>
      </c>
      <c r="M526" s="189" t="s">
        <v>261</v>
      </c>
      <c r="N526" s="247" t="str">
        <f>IF(A526="k_CalRelNum_Cnt_u8[12]","CalRelNum",IF(F526="Y","TunSetCalSeg",IF(F526="N", "FlashCalSeg", "")))</f>
        <v>FlashCalSeg</v>
      </c>
    </row>
    <row r="527" spans="1:14" ht="30.6" x14ac:dyDescent="0.25">
      <c r="A527" s="190" t="s">
        <v>1426</v>
      </c>
      <c r="B527" s="184" t="s">
        <v>4191</v>
      </c>
      <c r="C527" s="185" t="s">
        <v>1399</v>
      </c>
      <c r="D527" s="185" t="s">
        <v>198</v>
      </c>
      <c r="E527" s="185"/>
      <c r="F527" s="186" t="s">
        <v>82</v>
      </c>
      <c r="G527" s="187" t="s">
        <v>82</v>
      </c>
      <c r="H527" s="187"/>
      <c r="I527" s="188">
        <v>0</v>
      </c>
      <c r="J527" s="189">
        <v>-20</v>
      </c>
      <c r="K527" s="189">
        <v>20</v>
      </c>
      <c r="L527" s="189" t="s">
        <v>558</v>
      </c>
      <c r="M527" s="189" t="s">
        <v>261</v>
      </c>
      <c r="N527" s="247" t="str">
        <f>IF(A527="k_CalRelNum_Cnt_u8[12]","CalRelNum",IF(F527="Y","TunSetCalSeg",IF(F527="N", "FlashCalSeg", "")))</f>
        <v>FlashCalSeg</v>
      </c>
    </row>
    <row r="528" spans="1:14" ht="30.6" x14ac:dyDescent="0.25">
      <c r="A528" s="190" t="s">
        <v>1425</v>
      </c>
      <c r="B528" s="184" t="s">
        <v>4190</v>
      </c>
      <c r="C528" s="185" t="s">
        <v>1399</v>
      </c>
      <c r="D528" s="185" t="s">
        <v>198</v>
      </c>
      <c r="E528" s="185"/>
      <c r="F528" s="186" t="s">
        <v>82</v>
      </c>
      <c r="G528" s="187" t="s">
        <v>82</v>
      </c>
      <c r="H528" s="187"/>
      <c r="I528" s="188">
        <v>0</v>
      </c>
      <c r="J528" s="189">
        <v>-20</v>
      </c>
      <c r="K528" s="189">
        <v>20</v>
      </c>
      <c r="L528" s="189" t="s">
        <v>558</v>
      </c>
      <c r="M528" s="189" t="s">
        <v>261</v>
      </c>
      <c r="N528" s="247" t="str">
        <f>IF(A528="k_CalRelNum_Cnt_u8[12]","CalRelNum",IF(F528="Y","TunSetCalSeg",IF(F528="N", "FlashCalSeg", "")))</f>
        <v>FlashCalSeg</v>
      </c>
    </row>
    <row r="529" spans="1:14" ht="30.6" x14ac:dyDescent="0.25">
      <c r="A529" s="190" t="s">
        <v>1424</v>
      </c>
      <c r="B529" s="184" t="s">
        <v>4189</v>
      </c>
      <c r="C529" s="185" t="s">
        <v>1399</v>
      </c>
      <c r="D529" s="185" t="s">
        <v>198</v>
      </c>
      <c r="E529" s="185"/>
      <c r="F529" s="186" t="s">
        <v>82</v>
      </c>
      <c r="G529" s="187" t="s">
        <v>82</v>
      </c>
      <c r="H529" s="187"/>
      <c r="I529" s="188">
        <v>0</v>
      </c>
      <c r="J529" s="189">
        <v>-20</v>
      </c>
      <c r="K529" s="189">
        <v>20</v>
      </c>
      <c r="L529" s="189" t="s">
        <v>558</v>
      </c>
      <c r="M529" s="189" t="s">
        <v>261</v>
      </c>
      <c r="N529" s="247" t="str">
        <f>IF(A529="k_CalRelNum_Cnt_u8[12]","CalRelNum",IF(F529="Y","TunSetCalSeg",IF(F529="N", "FlashCalSeg", "")))</f>
        <v>FlashCalSeg</v>
      </c>
    </row>
    <row r="530" spans="1:14" ht="30.6" x14ac:dyDescent="0.25">
      <c r="A530" s="190" t="s">
        <v>1435</v>
      </c>
      <c r="B530" s="184" t="s">
        <v>1436</v>
      </c>
      <c r="C530" s="185" t="s">
        <v>1399</v>
      </c>
      <c r="D530" s="185" t="s">
        <v>198</v>
      </c>
      <c r="E530" s="185"/>
      <c r="F530" s="186" t="s">
        <v>82</v>
      </c>
      <c r="G530" s="187" t="s">
        <v>82</v>
      </c>
      <c r="H530" s="187"/>
      <c r="I530" s="188" t="b">
        <v>0</v>
      </c>
      <c r="J530" s="189" t="b">
        <v>1</v>
      </c>
      <c r="K530" s="189" t="b">
        <v>0</v>
      </c>
      <c r="L530" s="189" t="s">
        <v>271</v>
      </c>
      <c r="M530" s="189" t="s">
        <v>929</v>
      </c>
      <c r="N530" s="247" t="str">
        <f>IF(A530="k_CalRelNum_Cnt_u8[12]","CalRelNum",IF(F530="Y","TunSetCalSeg",IF(F530="N", "FlashCalSeg", "")))</f>
        <v>FlashCalSeg</v>
      </c>
    </row>
    <row r="531" spans="1:14" ht="71.400000000000006" x14ac:dyDescent="0.25">
      <c r="A531" s="190" t="s">
        <v>1441</v>
      </c>
      <c r="B531" s="184" t="s">
        <v>3739</v>
      </c>
      <c r="C531" s="185" t="s">
        <v>3740</v>
      </c>
      <c r="D531" s="241" t="s">
        <v>3741</v>
      </c>
      <c r="E531" s="185" t="s">
        <v>259</v>
      </c>
      <c r="F531" s="186" t="s">
        <v>82</v>
      </c>
      <c r="G531" s="187" t="s">
        <v>82</v>
      </c>
      <c r="H531" s="187"/>
      <c r="I531" s="214">
        <v>4.54545454545454E-2</v>
      </c>
      <c r="J531" s="215">
        <v>2.8571428571428501E-2</v>
      </c>
      <c r="K531" s="215">
        <v>6.6666666666666596E-2</v>
      </c>
      <c r="L531" s="189" t="s">
        <v>260</v>
      </c>
      <c r="M531" s="189" t="s">
        <v>261</v>
      </c>
      <c r="N531" s="247" t="str">
        <f>IF(A531="k_CalRelNum_Cnt_u8[12]","CalRelNum",IF(F531="Y","TunSetCalSeg",IF(F531="N", "FlashCalSeg", "")))</f>
        <v>FlashCalSeg</v>
      </c>
    </row>
    <row r="532" spans="1:14" x14ac:dyDescent="0.25">
      <c r="A532" s="190" t="s">
        <v>1450</v>
      </c>
      <c r="B532" s="184"/>
      <c r="C532" s="185" t="s">
        <v>3552</v>
      </c>
      <c r="D532" s="241" t="s">
        <v>3554</v>
      </c>
      <c r="E532" s="185"/>
      <c r="F532" s="186" t="s">
        <v>82</v>
      </c>
      <c r="G532" s="187" t="s">
        <v>82</v>
      </c>
      <c r="H532" s="187"/>
      <c r="I532" s="188" t="s">
        <v>1443</v>
      </c>
      <c r="J532" s="189">
        <v>0</v>
      </c>
      <c r="K532" s="189">
        <v>255</v>
      </c>
      <c r="L532" s="189" t="s">
        <v>271</v>
      </c>
      <c r="M532" s="189" t="s">
        <v>604</v>
      </c>
      <c r="N532" s="247" t="str">
        <f>IF(A532="k_CalRelNum_Cnt_u8[12]","CalRelNum",IF(F532="Y","TunSetCalSeg",IF(F532="N", "FlashCalSeg", "")))</f>
        <v>FlashCalSeg</v>
      </c>
    </row>
    <row r="533" spans="1:14" ht="40.799999999999997" x14ac:dyDescent="0.25">
      <c r="A533" s="190" t="s">
        <v>1455</v>
      </c>
      <c r="B533" s="184" t="s">
        <v>1456</v>
      </c>
      <c r="C533" s="185" t="s">
        <v>3552</v>
      </c>
      <c r="D533" s="249" t="s">
        <v>3553</v>
      </c>
      <c r="E533" s="185"/>
      <c r="F533" s="186" t="s">
        <v>82</v>
      </c>
      <c r="G533" s="187" t="s">
        <v>82</v>
      </c>
      <c r="H533" s="187"/>
      <c r="I533" s="188">
        <v>1</v>
      </c>
      <c r="J533" s="189">
        <v>0</v>
      </c>
      <c r="K533" s="189">
        <v>20</v>
      </c>
      <c r="L533" s="189" t="s">
        <v>271</v>
      </c>
      <c r="M533" s="189" t="s">
        <v>267</v>
      </c>
      <c r="N533" s="247" t="str">
        <f>IF(A533="k_CalRelNum_Cnt_u8[12]","CalRelNum",IF(F533="Y","TunSetCalSeg",IF(F533="N", "FlashCalSeg", "")))</f>
        <v>FlashCalSeg</v>
      </c>
    </row>
    <row r="534" spans="1:14" ht="40.799999999999997" x14ac:dyDescent="0.25">
      <c r="A534" s="190" t="s">
        <v>1453</v>
      </c>
      <c r="B534" s="184" t="s">
        <v>1454</v>
      </c>
      <c r="C534" s="185" t="s">
        <v>3552</v>
      </c>
      <c r="D534" s="249" t="s">
        <v>3553</v>
      </c>
      <c r="E534" s="185"/>
      <c r="F534" s="186" t="s">
        <v>82</v>
      </c>
      <c r="G534" s="187" t="s">
        <v>82</v>
      </c>
      <c r="H534" s="187"/>
      <c r="I534" s="188">
        <v>3</v>
      </c>
      <c r="J534" s="189">
        <v>0</v>
      </c>
      <c r="K534" s="189">
        <v>255</v>
      </c>
      <c r="L534" s="189" t="s">
        <v>271</v>
      </c>
      <c r="M534" s="189" t="s">
        <v>267</v>
      </c>
      <c r="N534" s="247" t="str">
        <f>IF(A534="k_CalRelNum_Cnt_u8[12]","CalRelNum",IF(F534="Y","TunSetCalSeg",IF(F534="N", "FlashCalSeg", "")))</f>
        <v>FlashCalSeg</v>
      </c>
    </row>
    <row r="535" spans="1:14" ht="40.799999999999997" x14ac:dyDescent="0.25">
      <c r="A535" s="190" t="s">
        <v>1451</v>
      </c>
      <c r="B535" s="184" t="s">
        <v>1452</v>
      </c>
      <c r="C535" s="185" t="s">
        <v>3552</v>
      </c>
      <c r="D535" s="249" t="s">
        <v>3553</v>
      </c>
      <c r="E535" s="185"/>
      <c r="F535" s="186" t="s">
        <v>82</v>
      </c>
      <c r="G535" s="187" t="s">
        <v>82</v>
      </c>
      <c r="H535" s="187"/>
      <c r="I535" s="188">
        <v>12</v>
      </c>
      <c r="J535" s="189">
        <v>0</v>
      </c>
      <c r="K535" s="189">
        <v>255</v>
      </c>
      <c r="L535" s="189" t="s">
        <v>271</v>
      </c>
      <c r="M535" s="189" t="s">
        <v>267</v>
      </c>
      <c r="N535" s="247" t="str">
        <f>IF(A535="k_CalRelNum_Cnt_u8[12]","CalRelNum",IF(F535="Y","TunSetCalSeg",IF(F535="N", "FlashCalSeg", "")))</f>
        <v>FlashCalSeg</v>
      </c>
    </row>
    <row r="536" spans="1:14" ht="40.799999999999997" x14ac:dyDescent="0.25">
      <c r="A536" s="190" t="s">
        <v>1459</v>
      </c>
      <c r="B536" s="184" t="s">
        <v>1460</v>
      </c>
      <c r="C536" s="185" t="s">
        <v>3552</v>
      </c>
      <c r="D536" s="249" t="s">
        <v>3553</v>
      </c>
      <c r="E536" s="185"/>
      <c r="F536" s="186" t="s">
        <v>82</v>
      </c>
      <c r="G536" s="187" t="s">
        <v>82</v>
      </c>
      <c r="H536" s="187"/>
      <c r="I536" s="188">
        <v>6.4</v>
      </c>
      <c r="J536" s="189">
        <v>-32</v>
      </c>
      <c r="K536" s="189">
        <v>32</v>
      </c>
      <c r="L536" s="189" t="s">
        <v>1461</v>
      </c>
      <c r="M536" s="189" t="s">
        <v>261</v>
      </c>
      <c r="N536" s="247" t="str">
        <f>IF(A536="k_CalRelNum_Cnt_u8[12]","CalRelNum",IF(F536="Y","TunSetCalSeg",IF(F536="N", "FlashCalSeg", "")))</f>
        <v>FlashCalSeg</v>
      </c>
    </row>
    <row r="537" spans="1:14" x14ac:dyDescent="0.25">
      <c r="A537" s="190" t="s">
        <v>1442</v>
      </c>
      <c r="B537" s="184"/>
      <c r="C537" s="185" t="s">
        <v>3552</v>
      </c>
      <c r="D537" s="185" t="s">
        <v>3554</v>
      </c>
      <c r="E537" s="185"/>
      <c r="F537" s="186" t="s">
        <v>82</v>
      </c>
      <c r="G537" s="187" t="s">
        <v>82</v>
      </c>
      <c r="H537" s="187"/>
      <c r="I537" s="188" t="s">
        <v>1443</v>
      </c>
      <c r="J537" s="189">
        <v>0</v>
      </c>
      <c r="K537" s="189">
        <v>255</v>
      </c>
      <c r="L537" s="189" t="s">
        <v>271</v>
      </c>
      <c r="M537" s="189" t="s">
        <v>604</v>
      </c>
      <c r="N537" s="247" t="str">
        <f>IF(A537="k_CalRelNum_Cnt_u8[12]","CalRelNum",IF(F537="Y","TunSetCalSeg",IF(F537="N", "FlashCalSeg", "")))</f>
        <v>FlashCalSeg</v>
      </c>
    </row>
    <row r="538" spans="1:14" ht="40.799999999999997" x14ac:dyDescent="0.25">
      <c r="A538" s="190" t="s">
        <v>1448</v>
      </c>
      <c r="B538" s="184" t="s">
        <v>1449</v>
      </c>
      <c r="C538" s="185" t="s">
        <v>3552</v>
      </c>
      <c r="D538" s="185" t="s">
        <v>3553</v>
      </c>
      <c r="E538" s="185"/>
      <c r="F538" s="186" t="s">
        <v>82</v>
      </c>
      <c r="G538" s="187" t="s">
        <v>82</v>
      </c>
      <c r="H538" s="187"/>
      <c r="I538" s="188">
        <v>1</v>
      </c>
      <c r="J538" s="189">
        <v>0</v>
      </c>
      <c r="K538" s="189">
        <v>20</v>
      </c>
      <c r="L538" s="189" t="s">
        <v>271</v>
      </c>
      <c r="M538" s="189" t="s">
        <v>267</v>
      </c>
      <c r="N538" s="247" t="str">
        <f>IF(A538="k_CalRelNum_Cnt_u8[12]","CalRelNum",IF(F538="Y","TunSetCalSeg",IF(F538="N", "FlashCalSeg", "")))</f>
        <v>FlashCalSeg</v>
      </c>
    </row>
    <row r="539" spans="1:14" ht="40.799999999999997" x14ac:dyDescent="0.25">
      <c r="A539" s="190" t="s">
        <v>1446</v>
      </c>
      <c r="B539" s="184" t="s">
        <v>1447</v>
      </c>
      <c r="C539" s="185" t="s">
        <v>3552</v>
      </c>
      <c r="D539" s="185" t="s">
        <v>3553</v>
      </c>
      <c r="E539" s="185"/>
      <c r="F539" s="186" t="s">
        <v>82</v>
      </c>
      <c r="G539" s="187" t="s">
        <v>82</v>
      </c>
      <c r="H539" s="187"/>
      <c r="I539" s="188">
        <v>3</v>
      </c>
      <c r="J539" s="189">
        <v>0</v>
      </c>
      <c r="K539" s="189">
        <v>255</v>
      </c>
      <c r="L539" s="189" t="s">
        <v>271</v>
      </c>
      <c r="M539" s="189" t="s">
        <v>267</v>
      </c>
      <c r="N539" s="247" t="str">
        <f>IF(A539="k_CalRelNum_Cnt_u8[12]","CalRelNum",IF(F539="Y","TunSetCalSeg",IF(F539="N", "FlashCalSeg", "")))</f>
        <v>FlashCalSeg</v>
      </c>
    </row>
    <row r="540" spans="1:14" ht="40.799999999999997" x14ac:dyDescent="0.25">
      <c r="A540" s="190" t="s">
        <v>1444</v>
      </c>
      <c r="B540" s="184" t="s">
        <v>1445</v>
      </c>
      <c r="C540" s="185" t="s">
        <v>3552</v>
      </c>
      <c r="D540" s="185" t="s">
        <v>3553</v>
      </c>
      <c r="E540" s="185"/>
      <c r="F540" s="186" t="s">
        <v>82</v>
      </c>
      <c r="G540" s="187" t="s">
        <v>82</v>
      </c>
      <c r="H540" s="187"/>
      <c r="I540" s="188">
        <v>12</v>
      </c>
      <c r="J540" s="189">
        <v>0</v>
      </c>
      <c r="K540" s="189">
        <v>255</v>
      </c>
      <c r="L540" s="189" t="s">
        <v>271</v>
      </c>
      <c r="M540" s="189" t="s">
        <v>267</v>
      </c>
      <c r="N540" s="247" t="str">
        <f>IF(A540="k_CalRelNum_Cnt_u8[12]","CalRelNum",IF(F540="Y","TunSetCalSeg",IF(F540="N", "FlashCalSeg", "")))</f>
        <v>FlashCalSeg</v>
      </c>
    </row>
    <row r="541" spans="1:14" ht="40.799999999999997" x14ac:dyDescent="0.25">
      <c r="A541" s="254" t="s">
        <v>1457</v>
      </c>
      <c r="B541" s="248" t="s">
        <v>1458</v>
      </c>
      <c r="C541" s="249" t="s">
        <v>3552</v>
      </c>
      <c r="D541" s="249" t="s">
        <v>3553</v>
      </c>
      <c r="E541" s="249"/>
      <c r="F541" s="250" t="s">
        <v>82</v>
      </c>
      <c r="G541" s="251" t="s">
        <v>82</v>
      </c>
      <c r="H541" s="251"/>
      <c r="I541" s="252">
        <v>225</v>
      </c>
      <c r="J541" s="253">
        <v>-1118</v>
      </c>
      <c r="K541" s="253">
        <v>1118</v>
      </c>
      <c r="L541" s="253" t="s">
        <v>263</v>
      </c>
      <c r="M541" s="253" t="s">
        <v>261</v>
      </c>
      <c r="N541" s="247" t="str">
        <f>IF(A541="k_CalRelNum_Cnt_u8[12]","CalRelNum",IF(F541="Y","TunSetCalSeg",IF(F541="N", "FlashCalSeg", "")))</f>
        <v>FlashCalSeg</v>
      </c>
    </row>
    <row r="542" spans="1:14" ht="40.799999999999997" x14ac:dyDescent="0.25">
      <c r="A542" s="190" t="s">
        <v>1437</v>
      </c>
      <c r="B542" s="184" t="s">
        <v>1438</v>
      </c>
      <c r="C542" s="185" t="s">
        <v>3552</v>
      </c>
      <c r="D542" s="185" t="s">
        <v>3553</v>
      </c>
      <c r="E542" s="185" t="s">
        <v>1439</v>
      </c>
      <c r="F542" s="186" t="s">
        <v>82</v>
      </c>
      <c r="G542" s="187" t="s">
        <v>82</v>
      </c>
      <c r="H542" s="187"/>
      <c r="I542" s="188" t="s">
        <v>1440</v>
      </c>
      <c r="J542" s="189">
        <v>0</v>
      </c>
      <c r="K542" s="189">
        <v>1</v>
      </c>
      <c r="L542" s="189" t="s">
        <v>263</v>
      </c>
      <c r="M542" s="189" t="s">
        <v>711</v>
      </c>
      <c r="N542" s="247" t="str">
        <f>IF(A542="k_CalRelNum_Cnt_u8[12]","CalRelNum",IF(F542="Y","TunSetCalSeg",IF(F542="N", "FlashCalSeg", "")))</f>
        <v>FlashCalSeg</v>
      </c>
    </row>
    <row r="543" spans="1:14" ht="20.399999999999999" x14ac:dyDescent="0.25">
      <c r="A543" s="190" t="s">
        <v>1462</v>
      </c>
      <c r="B543" s="184"/>
      <c r="C543" s="185" t="s">
        <v>1463</v>
      </c>
      <c r="D543" s="185" t="s">
        <v>233</v>
      </c>
      <c r="E543" s="185"/>
      <c r="F543" s="186" t="s">
        <v>82</v>
      </c>
      <c r="G543" s="187"/>
      <c r="H543" s="187"/>
      <c r="I543" s="188" t="s">
        <v>1464</v>
      </c>
      <c r="J543" s="189">
        <v>0</v>
      </c>
      <c r="K543" s="189">
        <v>512</v>
      </c>
      <c r="L543" s="189" t="s">
        <v>271</v>
      </c>
      <c r="M543" s="189" t="s">
        <v>604</v>
      </c>
      <c r="N543" s="247" t="str">
        <f>IF(A543="k_CalRelNum_Cnt_u8[12]","CalRelNum",IF(F543="Y","TunSetCalSeg",IF(F543="N", "FlashCalSeg", "")))</f>
        <v>FlashCalSeg</v>
      </c>
    </row>
    <row r="544" spans="1:14" ht="20.399999999999999" x14ac:dyDescent="0.25">
      <c r="A544" s="190" t="s">
        <v>1469</v>
      </c>
      <c r="B544" s="184" t="s">
        <v>1470</v>
      </c>
      <c r="C544" s="185" t="s">
        <v>1463</v>
      </c>
      <c r="D544" s="185" t="s">
        <v>233</v>
      </c>
      <c r="E544" s="185"/>
      <c r="F544" s="186"/>
      <c r="G544" s="187"/>
      <c r="H544" s="187"/>
      <c r="I544" s="188">
        <v>1</v>
      </c>
      <c r="J544" s="189">
        <v>0</v>
      </c>
      <c r="K544" s="189">
        <v>512</v>
      </c>
      <c r="L544" s="189" t="s">
        <v>271</v>
      </c>
      <c r="M544" s="189" t="s">
        <v>267</v>
      </c>
      <c r="N544" s="247" t="str">
        <f>IF(A544="k_CalRelNum_Cnt_u8[12]","CalRelNum",IF(F544="Y","TunSetCalSeg",IF(F544="N", "FlashCalSeg", "")))</f>
        <v/>
      </c>
    </row>
    <row r="545" spans="1:14" ht="20.399999999999999" x14ac:dyDescent="0.25">
      <c r="A545" s="190" t="s">
        <v>1467</v>
      </c>
      <c r="B545" s="184" t="s">
        <v>1468</v>
      </c>
      <c r="C545" s="185" t="s">
        <v>1463</v>
      </c>
      <c r="D545" s="185" t="s">
        <v>233</v>
      </c>
      <c r="E545" s="185"/>
      <c r="F545" s="186"/>
      <c r="G545" s="187"/>
      <c r="H545" s="187"/>
      <c r="I545" s="188">
        <v>10</v>
      </c>
      <c r="J545" s="189">
        <v>0</v>
      </c>
      <c r="K545" s="189">
        <v>512</v>
      </c>
      <c r="L545" s="189" t="s">
        <v>271</v>
      </c>
      <c r="M545" s="189" t="s">
        <v>267</v>
      </c>
      <c r="N545" s="247" t="str">
        <f>IF(A545="k_CalRelNum_Cnt_u8[12]","CalRelNum",IF(F545="Y","TunSetCalSeg",IF(F545="N", "FlashCalSeg", "")))</f>
        <v/>
      </c>
    </row>
    <row r="546" spans="1:14" ht="20.399999999999999" x14ac:dyDescent="0.25">
      <c r="A546" s="190" t="s">
        <v>1465</v>
      </c>
      <c r="B546" s="184" t="s">
        <v>1466</v>
      </c>
      <c r="C546" s="185" t="s">
        <v>1463</v>
      </c>
      <c r="D546" s="185" t="s">
        <v>233</v>
      </c>
      <c r="E546" s="185"/>
      <c r="F546" s="186"/>
      <c r="G546" s="187"/>
      <c r="H546" s="187"/>
      <c r="I546" s="188">
        <v>10</v>
      </c>
      <c r="J546" s="189">
        <v>0</v>
      </c>
      <c r="K546" s="189">
        <v>512</v>
      </c>
      <c r="L546" s="189" t="s">
        <v>271</v>
      </c>
      <c r="M546" s="189" t="s">
        <v>267</v>
      </c>
      <c r="N546" s="247" t="str">
        <f>IF(A546="k_CalRelNum_Cnt_u8[12]","CalRelNum",IF(F546="Y","TunSetCalSeg",IF(F546="N", "FlashCalSeg", "")))</f>
        <v/>
      </c>
    </row>
    <row r="547" spans="1:14" ht="30.6" x14ac:dyDescent="0.25">
      <c r="A547" s="190" t="s">
        <v>1501</v>
      </c>
      <c r="B547" s="184" t="s">
        <v>1502</v>
      </c>
      <c r="C547" s="185" t="s">
        <v>1473</v>
      </c>
      <c r="D547" s="185" t="s">
        <v>1474</v>
      </c>
      <c r="E547" s="185" t="s">
        <v>1503</v>
      </c>
      <c r="F547" s="186" t="s">
        <v>82</v>
      </c>
      <c r="G547" s="187" t="s">
        <v>82</v>
      </c>
      <c r="H547" s="187"/>
      <c r="I547" s="188">
        <v>0.36499999999999999</v>
      </c>
      <c r="J547" s="189">
        <v>0.1</v>
      </c>
      <c r="K547" s="189">
        <v>1</v>
      </c>
      <c r="L547" s="189" t="s">
        <v>262</v>
      </c>
      <c r="M547" s="189" t="s">
        <v>261</v>
      </c>
      <c r="N547" s="247" t="str">
        <f>IF(A547="k_CalRelNum_Cnt_u8[12]","CalRelNum",IF(F547="Y","TunSetCalSeg",IF(F547="N", "FlashCalSeg", "")))</f>
        <v>FlashCalSeg</v>
      </c>
    </row>
    <row r="548" spans="1:14" ht="20.399999999999999" x14ac:dyDescent="0.25">
      <c r="A548" s="190" t="s">
        <v>4422</v>
      </c>
      <c r="B548" s="184" t="s">
        <v>1507</v>
      </c>
      <c r="C548" s="185" t="s">
        <v>1473</v>
      </c>
      <c r="D548" s="185" t="s">
        <v>1474</v>
      </c>
      <c r="E548" s="185" t="s">
        <v>1508</v>
      </c>
      <c r="F548" s="186" t="s">
        <v>82</v>
      </c>
      <c r="G548" s="187" t="s">
        <v>82</v>
      </c>
      <c r="H548" s="187"/>
      <c r="I548" s="188">
        <v>0.6</v>
      </c>
      <c r="J548" s="189">
        <v>0</v>
      </c>
      <c r="K548" s="189">
        <v>1</v>
      </c>
      <c r="L548" s="189" t="s">
        <v>300</v>
      </c>
      <c r="M548" s="189" t="s">
        <v>261</v>
      </c>
      <c r="N548" s="247" t="str">
        <f>IF(A548="k_CalRelNum_Cnt_u8[12]","CalRelNum",IF(F548="Y","TunSetCalSeg",IF(F548="N", "FlashCalSeg", "")))</f>
        <v>FlashCalSeg</v>
      </c>
    </row>
    <row r="549" spans="1:14" ht="20.399999999999999" x14ac:dyDescent="0.25">
      <c r="A549" s="190" t="s">
        <v>4418</v>
      </c>
      <c r="B549" s="184" t="s">
        <v>1484</v>
      </c>
      <c r="C549" s="185" t="s">
        <v>1473</v>
      </c>
      <c r="D549" s="185" t="s">
        <v>1474</v>
      </c>
      <c r="E549" s="185" t="s">
        <v>1485</v>
      </c>
      <c r="F549" s="186" t="s">
        <v>82</v>
      </c>
      <c r="G549" s="187" t="s">
        <v>82</v>
      </c>
      <c r="H549" s="187"/>
      <c r="I549" s="188">
        <v>3.3599853999999998E-2</v>
      </c>
      <c r="J549" s="189">
        <v>2.5000000000000001E-2</v>
      </c>
      <c r="K549" s="189">
        <v>7.4999999999999997E-2</v>
      </c>
      <c r="L549" s="189" t="s">
        <v>1486</v>
      </c>
      <c r="M549" s="189" t="s">
        <v>261</v>
      </c>
      <c r="N549" s="247" t="str">
        <f>IF(A549="k_CalRelNum_Cnt_u8[12]","CalRelNum",IF(F549="Y","TunSetCalSeg",IF(F549="N", "FlashCalSeg", "")))</f>
        <v>FlashCalSeg</v>
      </c>
    </row>
    <row r="550" spans="1:14" ht="30.6" x14ac:dyDescent="0.25">
      <c r="A550" s="190" t="s">
        <v>1512</v>
      </c>
      <c r="B550" s="184" t="s">
        <v>1513</v>
      </c>
      <c r="C550" s="185" t="s">
        <v>1473</v>
      </c>
      <c r="D550" s="185" t="s">
        <v>1474</v>
      </c>
      <c r="E550" s="185" t="s">
        <v>1514</v>
      </c>
      <c r="F550" s="186" t="s">
        <v>82</v>
      </c>
      <c r="G550" s="187" t="s">
        <v>82</v>
      </c>
      <c r="H550" s="187"/>
      <c r="I550" s="188">
        <v>13.5</v>
      </c>
      <c r="J550" s="189">
        <v>0</v>
      </c>
      <c r="K550" s="189">
        <v>18</v>
      </c>
      <c r="L550" s="189" t="s">
        <v>599</v>
      </c>
      <c r="M550" s="189" t="s">
        <v>261</v>
      </c>
      <c r="N550" s="247" t="str">
        <f>IF(A550="k_CalRelNum_Cnt_u8[12]","CalRelNum",IF(F550="Y","TunSetCalSeg",IF(F550="N", "FlashCalSeg", "")))</f>
        <v>FlashCalSeg</v>
      </c>
    </row>
    <row r="551" spans="1:14" ht="40.799999999999997" x14ac:dyDescent="0.25">
      <c r="A551" s="190" t="s">
        <v>1509</v>
      </c>
      <c r="B551" s="184" t="s">
        <v>1510</v>
      </c>
      <c r="C551" s="185" t="s">
        <v>1473</v>
      </c>
      <c r="D551" s="185" t="s">
        <v>1474</v>
      </c>
      <c r="E551" s="185" t="s">
        <v>1511</v>
      </c>
      <c r="F551" s="186" t="s">
        <v>82</v>
      </c>
      <c r="G551" s="187" t="s">
        <v>82</v>
      </c>
      <c r="H551" s="187"/>
      <c r="I551" s="188">
        <v>2000</v>
      </c>
      <c r="J551" s="189">
        <v>0</v>
      </c>
      <c r="K551" s="189">
        <v>65535</v>
      </c>
      <c r="L551" s="189" t="s">
        <v>273</v>
      </c>
      <c r="M551" s="189" t="s">
        <v>267</v>
      </c>
      <c r="N551" s="247" t="str">
        <f>IF(A551="k_CalRelNum_Cnt_u8[12]","CalRelNum",IF(F551="Y","TunSetCalSeg",IF(F551="N", "FlashCalSeg", "")))</f>
        <v>FlashCalSeg</v>
      </c>
    </row>
    <row r="552" spans="1:14" ht="30.6" x14ac:dyDescent="0.25">
      <c r="A552" s="190" t="s">
        <v>1504</v>
      </c>
      <c r="B552" s="184" t="s">
        <v>1505</v>
      </c>
      <c r="C552" s="185" t="s">
        <v>1473</v>
      </c>
      <c r="D552" s="185" t="s">
        <v>1474</v>
      </c>
      <c r="E552" s="185" t="s">
        <v>1506</v>
      </c>
      <c r="F552" s="186" t="s">
        <v>82</v>
      </c>
      <c r="G552" s="187" t="s">
        <v>82</v>
      </c>
      <c r="H552" s="187"/>
      <c r="I552" s="188">
        <v>100</v>
      </c>
      <c r="J552" s="189">
        <v>0</v>
      </c>
      <c r="K552" s="189">
        <v>250</v>
      </c>
      <c r="L552" s="189" t="s">
        <v>262</v>
      </c>
      <c r="M552" s="189" t="s">
        <v>261</v>
      </c>
      <c r="N552" s="247" t="str">
        <f>IF(A552="k_CalRelNum_Cnt_u8[12]","CalRelNum",IF(F552="Y","TunSetCalSeg",IF(F552="N", "FlashCalSeg", "")))</f>
        <v>FlashCalSeg</v>
      </c>
    </row>
    <row r="553" spans="1:14" ht="40.799999999999997" x14ac:dyDescent="0.25">
      <c r="A553" s="190" t="s">
        <v>4426</v>
      </c>
      <c r="B553" s="184" t="s">
        <v>4427</v>
      </c>
      <c r="C553" s="185" t="s">
        <v>1473</v>
      </c>
      <c r="D553" s="185" t="s">
        <v>1474</v>
      </c>
      <c r="E553" s="185" t="s">
        <v>4428</v>
      </c>
      <c r="F553" s="186" t="s">
        <v>82</v>
      </c>
      <c r="G553" s="187" t="s">
        <v>82</v>
      </c>
      <c r="H553" s="187"/>
      <c r="I553" s="188">
        <v>1E-3</v>
      </c>
      <c r="J553" s="189">
        <v>4.8828125E-4</v>
      </c>
      <c r="K553" s="189">
        <v>0.01</v>
      </c>
      <c r="L553" s="189" t="s">
        <v>4429</v>
      </c>
      <c r="M553" s="189" t="s">
        <v>261</v>
      </c>
      <c r="N553" s="247" t="str">
        <f>IF(A553="k_CalRelNum_Cnt_u8[12]","CalRelNum",IF(F553="Y","TunSetCalSeg",IF(F553="N", "FlashCalSeg", "")))</f>
        <v>FlashCalSeg</v>
      </c>
    </row>
    <row r="554" spans="1:14" ht="40.799999999999997" x14ac:dyDescent="0.25">
      <c r="A554" s="190" t="s">
        <v>4423</v>
      </c>
      <c r="B554" s="184" t="s">
        <v>4424</v>
      </c>
      <c r="C554" s="185" t="s">
        <v>1473</v>
      </c>
      <c r="D554" s="185" t="s">
        <v>1474</v>
      </c>
      <c r="E554" s="185" t="s">
        <v>4425</v>
      </c>
      <c r="F554" s="186" t="s">
        <v>82</v>
      </c>
      <c r="G554" s="187" t="s">
        <v>82</v>
      </c>
      <c r="H554" s="187"/>
      <c r="I554" s="188">
        <v>1</v>
      </c>
      <c r="J554" s="189">
        <v>0</v>
      </c>
      <c r="K554" s="189">
        <v>3</v>
      </c>
      <c r="L554" s="189" t="s">
        <v>599</v>
      </c>
      <c r="M554" s="189" t="s">
        <v>261</v>
      </c>
      <c r="N554" s="247" t="str">
        <f>IF(A554="k_CalRelNum_Cnt_u8[12]","CalRelNum",IF(F554="Y","TunSetCalSeg",IF(F554="N", "FlashCalSeg", "")))</f>
        <v>FlashCalSeg</v>
      </c>
    </row>
    <row r="555" spans="1:14" ht="30.6" x14ac:dyDescent="0.25">
      <c r="A555" s="190" t="s">
        <v>1496</v>
      </c>
      <c r="B555" s="184" t="s">
        <v>1497</v>
      </c>
      <c r="C555" s="185" t="s">
        <v>1473</v>
      </c>
      <c r="D555" s="185" t="s">
        <v>1474</v>
      </c>
      <c r="E555" s="185" t="s">
        <v>1495</v>
      </c>
      <c r="F555" s="186" t="s">
        <v>82</v>
      </c>
      <c r="G555" s="187" t="s">
        <v>82</v>
      </c>
      <c r="H555" s="187"/>
      <c r="I555" s="188">
        <v>6.25E-2</v>
      </c>
      <c r="J555" s="189">
        <v>1E-3</v>
      </c>
      <c r="K555" s="189">
        <v>10</v>
      </c>
      <c r="L555" s="189" t="s">
        <v>263</v>
      </c>
      <c r="M555" s="189" t="s">
        <v>261</v>
      </c>
      <c r="N555" s="247" t="str">
        <f>IF(A555="k_CalRelNum_Cnt_u8[12]","CalRelNum",IF(F555="Y","TunSetCalSeg",IF(F555="N", "FlashCalSeg", "")))</f>
        <v>FlashCalSeg</v>
      </c>
    </row>
    <row r="556" spans="1:14" ht="20.399999999999999" x14ac:dyDescent="0.25">
      <c r="A556" s="190" t="s">
        <v>1498</v>
      </c>
      <c r="B556" s="184" t="s">
        <v>1499</v>
      </c>
      <c r="C556" s="185" t="s">
        <v>1473</v>
      </c>
      <c r="D556" s="185" t="s">
        <v>1474</v>
      </c>
      <c r="E556" s="185" t="s">
        <v>1500</v>
      </c>
      <c r="F556" s="186" t="s">
        <v>82</v>
      </c>
      <c r="G556" s="187" t="s">
        <v>82</v>
      </c>
      <c r="H556" s="187"/>
      <c r="I556" s="188" t="b">
        <v>1</v>
      </c>
      <c r="J556" s="189" t="b">
        <v>0</v>
      </c>
      <c r="K556" s="189" t="b">
        <v>1</v>
      </c>
      <c r="L556" s="189" t="s">
        <v>424</v>
      </c>
      <c r="M556" s="189" t="s">
        <v>501</v>
      </c>
      <c r="N556" s="247" t="str">
        <f>IF(A556="k_CalRelNum_Cnt_u8[12]","CalRelNum",IF(F556="Y","TunSetCalSeg",IF(F556="N", "FlashCalSeg", "")))</f>
        <v>FlashCalSeg</v>
      </c>
    </row>
    <row r="557" spans="1:14" ht="30.6" x14ac:dyDescent="0.25">
      <c r="A557" s="190" t="s">
        <v>1493</v>
      </c>
      <c r="B557" s="184" t="s">
        <v>1494</v>
      </c>
      <c r="C557" s="185" t="s">
        <v>1473</v>
      </c>
      <c r="D557" s="185" t="s">
        <v>1474</v>
      </c>
      <c r="E557" s="185" t="s">
        <v>1495</v>
      </c>
      <c r="F557" s="186" t="s">
        <v>82</v>
      </c>
      <c r="G557" s="187" t="s">
        <v>82</v>
      </c>
      <c r="H557" s="187"/>
      <c r="I557" s="188">
        <v>6.25</v>
      </c>
      <c r="J557" s="189">
        <v>1E-3</v>
      </c>
      <c r="K557" s="189">
        <v>10</v>
      </c>
      <c r="L557" s="189" t="s">
        <v>263</v>
      </c>
      <c r="M557" s="189" t="s">
        <v>261</v>
      </c>
      <c r="N557" s="247" t="str">
        <f>IF(A557="k_CalRelNum_Cnt_u8[12]","CalRelNum",IF(F557="Y","TunSetCalSeg",IF(F557="N", "FlashCalSeg", "")))</f>
        <v>FlashCalSeg</v>
      </c>
    </row>
    <row r="558" spans="1:14" ht="30.6" x14ac:dyDescent="0.25">
      <c r="A558" s="190" t="s">
        <v>4410</v>
      </c>
      <c r="B558" s="184" t="s">
        <v>4411</v>
      </c>
      <c r="C558" s="185" t="s">
        <v>1473</v>
      </c>
      <c r="D558" s="185" t="s">
        <v>1474</v>
      </c>
      <c r="E558" s="185" t="s">
        <v>1472</v>
      </c>
      <c r="F558" s="186" t="s">
        <v>82</v>
      </c>
      <c r="G558" s="187" t="s">
        <v>82</v>
      </c>
      <c r="H558" s="187" t="s">
        <v>1475</v>
      </c>
      <c r="I558" s="188" t="s">
        <v>4412</v>
      </c>
      <c r="J558" s="189">
        <v>5</v>
      </c>
      <c r="K558" s="189">
        <v>31</v>
      </c>
      <c r="L558" s="189" t="s">
        <v>599</v>
      </c>
      <c r="M558" s="189" t="s">
        <v>414</v>
      </c>
      <c r="N558" s="247" t="str">
        <f>IF(A558="k_CalRelNum_Cnt_u8[12]","CalRelNum",IF(F558="Y","TunSetCalSeg",IF(F558="N", "FlashCalSeg", "")))</f>
        <v>FlashCalSeg</v>
      </c>
    </row>
    <row r="559" spans="1:14" ht="30.6" x14ac:dyDescent="0.25">
      <c r="A559" s="190" t="s">
        <v>4413</v>
      </c>
      <c r="B559" s="184" t="s">
        <v>1476</v>
      </c>
      <c r="C559" s="185" t="s">
        <v>1473</v>
      </c>
      <c r="D559" s="185" t="s">
        <v>1474</v>
      </c>
      <c r="E559" s="185" t="s">
        <v>1472</v>
      </c>
      <c r="F559" s="186" t="s">
        <v>82</v>
      </c>
      <c r="G559" s="187" t="s">
        <v>82</v>
      </c>
      <c r="H559" s="187" t="s">
        <v>1477</v>
      </c>
      <c r="I559" s="188" t="s">
        <v>4414</v>
      </c>
      <c r="J559" s="189">
        <v>0</v>
      </c>
      <c r="K559" s="189">
        <v>571.35</v>
      </c>
      <c r="L559" s="189" t="s">
        <v>263</v>
      </c>
      <c r="M559" s="189" t="s">
        <v>510</v>
      </c>
      <c r="N559" s="247" t="str">
        <f>IF(A559="k_CalRelNum_Cnt_u8[12]","CalRelNum",IF(F559="Y","TunSetCalSeg",IF(F559="N", "FlashCalSeg", "")))</f>
        <v>FlashCalSeg</v>
      </c>
    </row>
    <row r="560" spans="1:14" ht="30.6" x14ac:dyDescent="0.25">
      <c r="A560" s="190" t="s">
        <v>4415</v>
      </c>
      <c r="B560" s="184" t="s">
        <v>1471</v>
      </c>
      <c r="C560" s="185" t="s">
        <v>1473</v>
      </c>
      <c r="D560" s="185" t="s">
        <v>1474</v>
      </c>
      <c r="E560" s="185" t="s">
        <v>4416</v>
      </c>
      <c r="F560" s="186" t="s">
        <v>82</v>
      </c>
      <c r="G560" s="187" t="s">
        <v>82</v>
      </c>
      <c r="H560" s="187" t="s">
        <v>1478</v>
      </c>
      <c r="I560" s="188" t="s">
        <v>1479</v>
      </c>
      <c r="J560" s="189">
        <v>-1143</v>
      </c>
      <c r="K560" s="189">
        <v>1143</v>
      </c>
      <c r="L560" s="189" t="s">
        <v>263</v>
      </c>
      <c r="M560" s="189" t="s">
        <v>1480</v>
      </c>
      <c r="N560" s="247" t="str">
        <f>IF(A560="k_CalRelNum_Cnt_u8[12]","CalRelNum",IF(F560="Y","TunSetCalSeg",IF(F560="N", "FlashCalSeg", "")))</f>
        <v>FlashCalSeg</v>
      </c>
    </row>
    <row r="561" spans="1:14" ht="30.6" x14ac:dyDescent="0.25">
      <c r="A561" s="190" t="s">
        <v>4417</v>
      </c>
      <c r="B561" s="184" t="s">
        <v>1481</v>
      </c>
      <c r="C561" s="185" t="s">
        <v>1473</v>
      </c>
      <c r="D561" s="185" t="s">
        <v>1474</v>
      </c>
      <c r="E561" s="185" t="s">
        <v>4416</v>
      </c>
      <c r="F561" s="186" t="s">
        <v>82</v>
      </c>
      <c r="G561" s="187" t="s">
        <v>82</v>
      </c>
      <c r="H561" s="187" t="s">
        <v>1482</v>
      </c>
      <c r="I561" s="188" t="s">
        <v>1483</v>
      </c>
      <c r="J561" s="189">
        <v>0</v>
      </c>
      <c r="K561" s="189">
        <v>8.8000000000000007</v>
      </c>
      <c r="L561" s="189" t="s">
        <v>256</v>
      </c>
      <c r="M561" s="189" t="s">
        <v>414</v>
      </c>
      <c r="N561" s="247" t="str">
        <f>IF(A561="k_CalRelNum_Cnt_u8[12]","CalRelNum",IF(F561="Y","TunSetCalSeg",IF(F561="N", "FlashCalSeg", "")))</f>
        <v>FlashCalSeg</v>
      </c>
    </row>
    <row r="562" spans="1:14" ht="40.799999999999997" x14ac:dyDescent="0.25">
      <c r="A562" s="190" t="s">
        <v>4419</v>
      </c>
      <c r="B562" s="184" t="s">
        <v>1487</v>
      </c>
      <c r="C562" s="185" t="s">
        <v>1473</v>
      </c>
      <c r="D562" s="185" t="s">
        <v>1474</v>
      </c>
      <c r="E562" s="185" t="s">
        <v>4420</v>
      </c>
      <c r="F562" s="186" t="s">
        <v>82</v>
      </c>
      <c r="G562" s="187" t="s">
        <v>82</v>
      </c>
      <c r="H562" s="187" t="s">
        <v>1488</v>
      </c>
      <c r="I562" s="188" t="s">
        <v>1489</v>
      </c>
      <c r="J562" s="189">
        <v>0</v>
      </c>
      <c r="K562" s="189">
        <v>1143</v>
      </c>
      <c r="L562" s="189" t="s">
        <v>263</v>
      </c>
      <c r="M562" s="189" t="s">
        <v>510</v>
      </c>
      <c r="N562" s="247" t="str">
        <f>IF(A562="k_CalRelNum_Cnt_u8[12]","CalRelNum",IF(F562="Y","TunSetCalSeg",IF(F562="N", "FlashCalSeg", "")))</f>
        <v>FlashCalSeg</v>
      </c>
    </row>
    <row r="563" spans="1:14" ht="40.799999999999997" x14ac:dyDescent="0.25">
      <c r="A563" s="190" t="s">
        <v>4421</v>
      </c>
      <c r="B563" s="184" t="s">
        <v>1490</v>
      </c>
      <c r="C563" s="185" t="s">
        <v>1473</v>
      </c>
      <c r="D563" s="185" t="s">
        <v>1474</v>
      </c>
      <c r="E563" s="185" t="s">
        <v>4420</v>
      </c>
      <c r="F563" s="186" t="s">
        <v>82</v>
      </c>
      <c r="G563" s="187" t="s">
        <v>82</v>
      </c>
      <c r="H563" s="187" t="s">
        <v>1491</v>
      </c>
      <c r="I563" s="188" t="s">
        <v>1492</v>
      </c>
      <c r="J563" s="189">
        <v>0</v>
      </c>
      <c r="K563" s="189">
        <v>8.8000000000000007</v>
      </c>
      <c r="L563" s="189" t="s">
        <v>256</v>
      </c>
      <c r="M563" s="189" t="s">
        <v>733</v>
      </c>
      <c r="N563" s="247" t="str">
        <f>IF(A563="k_CalRelNum_Cnt_u8[12]","CalRelNum",IF(F563="Y","TunSetCalSeg",IF(F563="N", "FlashCalSeg", "")))</f>
        <v>FlashCalSeg</v>
      </c>
    </row>
    <row r="564" spans="1:14" x14ac:dyDescent="0.25">
      <c r="A564" s="190" t="s">
        <v>1567</v>
      </c>
      <c r="B564" s="184" t="s">
        <v>1568</v>
      </c>
      <c r="C564" s="185" t="s">
        <v>1518</v>
      </c>
      <c r="D564" s="185" t="s">
        <v>191</v>
      </c>
      <c r="E564" s="185" t="s">
        <v>1546</v>
      </c>
      <c r="F564" s="186" t="s">
        <v>82</v>
      </c>
      <c r="G564" s="187"/>
      <c r="H564" s="187"/>
      <c r="I564" s="188">
        <v>0.5</v>
      </c>
      <c r="J564" s="189">
        <v>0.1</v>
      </c>
      <c r="K564" s="189">
        <v>10</v>
      </c>
      <c r="L564" s="189" t="s">
        <v>867</v>
      </c>
      <c r="M564" s="189" t="s">
        <v>261</v>
      </c>
      <c r="N564" s="247" t="str">
        <f>IF(A564="k_CalRelNum_Cnt_u8[12]","CalRelNum",IF(F564="Y","TunSetCalSeg",IF(F564="N", "FlashCalSeg", "")))</f>
        <v>FlashCalSeg</v>
      </c>
    </row>
    <row r="565" spans="1:14" ht="30.6" x14ac:dyDescent="0.25">
      <c r="A565" s="190" t="s">
        <v>1569</v>
      </c>
      <c r="B565" s="184" t="s">
        <v>1570</v>
      </c>
      <c r="C565" s="185" t="s">
        <v>1518</v>
      </c>
      <c r="D565" s="185" t="s">
        <v>191</v>
      </c>
      <c r="E565" s="185" t="s">
        <v>1571</v>
      </c>
      <c r="F565" s="186" t="s">
        <v>82</v>
      </c>
      <c r="G565" s="187"/>
      <c r="H565" s="187"/>
      <c r="I565" s="188">
        <v>0.1</v>
      </c>
      <c r="J565" s="189">
        <v>-10</v>
      </c>
      <c r="K565" s="189">
        <v>10</v>
      </c>
      <c r="L565" s="189" t="s">
        <v>256</v>
      </c>
      <c r="M565" s="189" t="s">
        <v>261</v>
      </c>
      <c r="N565" s="247" t="str">
        <f>IF(A565="k_CalRelNum_Cnt_u8[12]","CalRelNum",IF(F565="Y","TunSetCalSeg",IF(F565="N", "FlashCalSeg", "")))</f>
        <v>FlashCalSeg</v>
      </c>
    </row>
    <row r="566" spans="1:14" x14ac:dyDescent="0.25">
      <c r="A566" s="190" t="s">
        <v>1547</v>
      </c>
      <c r="B566" s="184" t="s">
        <v>1548</v>
      </c>
      <c r="C566" s="185" t="s">
        <v>1518</v>
      </c>
      <c r="D566" s="185" t="s">
        <v>191</v>
      </c>
      <c r="E566" s="185" t="s">
        <v>1549</v>
      </c>
      <c r="F566" s="186" t="s">
        <v>82</v>
      </c>
      <c r="G566" s="187"/>
      <c r="H566" s="187"/>
      <c r="I566" s="188">
        <v>17</v>
      </c>
      <c r="J566" s="189">
        <v>0</v>
      </c>
      <c r="K566" s="189">
        <v>20</v>
      </c>
      <c r="L566" s="189" t="s">
        <v>1550</v>
      </c>
      <c r="M566" s="189" t="s">
        <v>261</v>
      </c>
      <c r="N566" s="247" t="str">
        <f>IF(A566="k_CalRelNum_Cnt_u8[12]","CalRelNum",IF(F566="Y","TunSetCalSeg",IF(F566="N", "FlashCalSeg", "")))</f>
        <v>FlashCalSeg</v>
      </c>
    </row>
    <row r="567" spans="1:14" x14ac:dyDescent="0.25">
      <c r="A567" s="190" t="s">
        <v>1544</v>
      </c>
      <c r="B567" s="184" t="s">
        <v>1545</v>
      </c>
      <c r="C567" s="185" t="s">
        <v>1518</v>
      </c>
      <c r="D567" s="185" t="s">
        <v>191</v>
      </c>
      <c r="E567" s="185" t="s">
        <v>1546</v>
      </c>
      <c r="F567" s="186" t="s">
        <v>82</v>
      </c>
      <c r="G567" s="187"/>
      <c r="H567" s="187"/>
      <c r="I567" s="188">
        <v>0.04</v>
      </c>
      <c r="J567" s="189">
        <v>0</v>
      </c>
      <c r="K567" s="189">
        <v>0.5</v>
      </c>
      <c r="L567" s="189" t="s">
        <v>535</v>
      </c>
      <c r="M567" s="189" t="s">
        <v>261</v>
      </c>
      <c r="N567" s="247" t="str">
        <f>IF(A567="k_CalRelNum_Cnt_u8[12]","CalRelNum",IF(F567="Y","TunSetCalSeg",IF(F567="N", "FlashCalSeg", "")))</f>
        <v>FlashCalSeg</v>
      </c>
    </row>
    <row r="568" spans="1:14" ht="20.399999999999999" x14ac:dyDescent="0.25">
      <c r="A568" s="190" t="s">
        <v>1559</v>
      </c>
      <c r="B568" s="184" t="s">
        <v>1560</v>
      </c>
      <c r="C568" s="185" t="s">
        <v>1518</v>
      </c>
      <c r="D568" s="185" t="s">
        <v>191</v>
      </c>
      <c r="E568" s="185" t="s">
        <v>1561</v>
      </c>
      <c r="F568" s="186" t="s">
        <v>82</v>
      </c>
      <c r="G568" s="187"/>
      <c r="H568" s="187"/>
      <c r="I568" s="188" t="s">
        <v>1562</v>
      </c>
      <c r="J568" s="189">
        <v>0</v>
      </c>
      <c r="K568" s="189">
        <v>1</v>
      </c>
      <c r="L568" s="189" t="s">
        <v>260</v>
      </c>
      <c r="M568" s="189" t="s">
        <v>257</v>
      </c>
      <c r="N568" s="247" t="str">
        <f>IF(A568="k_CalRelNum_Cnt_u8[12]","CalRelNum",IF(F568="Y","TunSetCalSeg",IF(F568="N", "FlashCalSeg", "")))</f>
        <v>FlashCalSeg</v>
      </c>
    </row>
    <row r="569" spans="1:14" ht="20.399999999999999" x14ac:dyDescent="0.25">
      <c r="A569" s="190" t="s">
        <v>1563</v>
      </c>
      <c r="B569" s="184" t="s">
        <v>1564</v>
      </c>
      <c r="C569" s="185" t="s">
        <v>1518</v>
      </c>
      <c r="D569" s="185" t="s">
        <v>191</v>
      </c>
      <c r="E569" s="185" t="s">
        <v>1565</v>
      </c>
      <c r="F569" s="186" t="s">
        <v>82</v>
      </c>
      <c r="G569" s="187"/>
      <c r="H569" s="187"/>
      <c r="I569" s="188" t="s">
        <v>1566</v>
      </c>
      <c r="J569" s="189">
        <v>0</v>
      </c>
      <c r="K569" s="189">
        <v>1</v>
      </c>
      <c r="L569" s="189" t="s">
        <v>260</v>
      </c>
      <c r="M569" s="189" t="s">
        <v>370</v>
      </c>
      <c r="N569" s="247" t="str">
        <f>IF(A569="k_CalRelNum_Cnt_u8[12]","CalRelNum",IF(F569="Y","TunSetCalSeg",IF(F569="N", "FlashCalSeg", "")))</f>
        <v>FlashCalSeg</v>
      </c>
    </row>
    <row r="570" spans="1:14" x14ac:dyDescent="0.25">
      <c r="A570" s="190" t="s">
        <v>1555</v>
      </c>
      <c r="B570" s="184" t="s">
        <v>1556</v>
      </c>
      <c r="C570" s="185" t="s">
        <v>1518</v>
      </c>
      <c r="D570" s="185" t="s">
        <v>191</v>
      </c>
      <c r="E570" s="185" t="s">
        <v>1557</v>
      </c>
      <c r="F570" s="186" t="s">
        <v>81</v>
      </c>
      <c r="G570" s="187"/>
      <c r="H570" s="187"/>
      <c r="I570" s="188" t="s">
        <v>1558</v>
      </c>
      <c r="J570" s="189">
        <v>0</v>
      </c>
      <c r="K570" s="189">
        <v>10</v>
      </c>
      <c r="L570" s="189" t="s">
        <v>260</v>
      </c>
      <c r="M570" s="189" t="s">
        <v>257</v>
      </c>
      <c r="N570" s="247" t="str">
        <f>IF(A570="k_CalRelNum_Cnt_u8[12]","CalRelNum",IF(F570="Y","TunSetCalSeg",IF(F570="N", "FlashCalSeg", "")))</f>
        <v>TunSetCalSeg</v>
      </c>
    </row>
    <row r="571" spans="1:14" ht="20.399999999999999" x14ac:dyDescent="0.25">
      <c r="A571" s="190" t="s">
        <v>1551</v>
      </c>
      <c r="B571" s="184" t="s">
        <v>1552</v>
      </c>
      <c r="C571" s="185" t="s">
        <v>1518</v>
      </c>
      <c r="D571" s="185" t="s">
        <v>191</v>
      </c>
      <c r="E571" s="185" t="s">
        <v>1553</v>
      </c>
      <c r="F571" s="186" t="s">
        <v>81</v>
      </c>
      <c r="G571" s="187"/>
      <c r="H571" s="187"/>
      <c r="I571" s="188" t="s">
        <v>1554</v>
      </c>
      <c r="J571" s="189">
        <v>-40</v>
      </c>
      <c r="K571" s="189">
        <v>150</v>
      </c>
      <c r="L571" s="189" t="s">
        <v>558</v>
      </c>
      <c r="M571" s="189" t="s">
        <v>1480</v>
      </c>
      <c r="N571" s="247" t="str">
        <f>IF(A571="k_CalRelNum_Cnt_u8[12]","CalRelNum",IF(F571="Y","TunSetCalSeg",IF(F571="N", "FlashCalSeg", "")))</f>
        <v>TunSetCalSeg</v>
      </c>
    </row>
    <row r="572" spans="1:14" ht="30.6" x14ac:dyDescent="0.25">
      <c r="A572" s="190" t="s">
        <v>1515</v>
      </c>
      <c r="B572" s="184" t="s">
        <v>1516</v>
      </c>
      <c r="C572" s="185" t="s">
        <v>1518</v>
      </c>
      <c r="D572" s="185" t="s">
        <v>191</v>
      </c>
      <c r="E572" s="185" t="s">
        <v>1517</v>
      </c>
      <c r="F572" s="186" t="s">
        <v>81</v>
      </c>
      <c r="G572" s="187"/>
      <c r="H572" s="187"/>
      <c r="I572" s="188" t="s">
        <v>1519</v>
      </c>
      <c r="J572" s="189">
        <v>0</v>
      </c>
      <c r="K572" s="189">
        <v>512</v>
      </c>
      <c r="L572" s="189" t="s">
        <v>264</v>
      </c>
      <c r="M572" s="189" t="s">
        <v>370</v>
      </c>
      <c r="N572" s="247" t="str">
        <f>IF(A572="k_CalRelNum_Cnt_u8[12]","CalRelNum",IF(F572="Y","TunSetCalSeg",IF(F572="N", "FlashCalSeg", "")))</f>
        <v>TunSetCalSeg</v>
      </c>
    </row>
    <row r="573" spans="1:14" ht="112.2" x14ac:dyDescent="0.25">
      <c r="A573" s="190" t="s">
        <v>1520</v>
      </c>
      <c r="B573" s="184" t="s">
        <v>1521</v>
      </c>
      <c r="C573" s="185" t="s">
        <v>1518</v>
      </c>
      <c r="D573" s="185" t="s">
        <v>191</v>
      </c>
      <c r="E573" s="185" t="s">
        <v>1522</v>
      </c>
      <c r="F573" s="186" t="s">
        <v>81</v>
      </c>
      <c r="G573" s="187"/>
      <c r="H573" s="187"/>
      <c r="I573" s="188" t="s">
        <v>1523</v>
      </c>
      <c r="J573" s="189">
        <v>0</v>
      </c>
      <c r="K573" s="189">
        <v>1620</v>
      </c>
      <c r="L573" s="189" t="s">
        <v>268</v>
      </c>
      <c r="M573" s="189" t="s">
        <v>711</v>
      </c>
      <c r="N573" s="247" t="str">
        <f>IF(A573="k_CalRelNum_Cnt_u8[12]","CalRelNum",IF(F573="Y","TunSetCalSeg",IF(F573="N", "FlashCalSeg", "")))</f>
        <v>TunSetCalSeg</v>
      </c>
    </row>
    <row r="574" spans="1:14" ht="71.400000000000006" x14ac:dyDescent="0.25">
      <c r="A574" s="190" t="s">
        <v>1524</v>
      </c>
      <c r="B574" s="184" t="s">
        <v>1525</v>
      </c>
      <c r="C574" s="185" t="s">
        <v>1518</v>
      </c>
      <c r="D574" s="185" t="s">
        <v>191</v>
      </c>
      <c r="E574" s="185" t="s">
        <v>1526</v>
      </c>
      <c r="F574" s="186" t="s">
        <v>81</v>
      </c>
      <c r="G574" s="187"/>
      <c r="H574" s="187"/>
      <c r="I574" s="188" t="s">
        <v>1527</v>
      </c>
      <c r="J574" s="189">
        <v>0</v>
      </c>
      <c r="K574" s="189">
        <v>0.5</v>
      </c>
      <c r="L574" s="189" t="s">
        <v>256</v>
      </c>
      <c r="M574" s="189" t="s">
        <v>414</v>
      </c>
      <c r="N574" s="247" t="str">
        <f>IF(A574="k_CalRelNum_Cnt_u8[12]","CalRelNum",IF(F574="Y","TunSetCalSeg",IF(F574="N", "FlashCalSeg", "")))</f>
        <v>TunSetCalSeg</v>
      </c>
    </row>
    <row r="575" spans="1:14" ht="40.799999999999997" x14ac:dyDescent="0.25">
      <c r="A575" s="190" t="s">
        <v>1528</v>
      </c>
      <c r="B575" s="184" t="s">
        <v>1529</v>
      </c>
      <c r="C575" s="185" t="s">
        <v>1518</v>
      </c>
      <c r="D575" s="185" t="s">
        <v>191</v>
      </c>
      <c r="E575" s="185" t="s">
        <v>1530</v>
      </c>
      <c r="F575" s="186" t="s">
        <v>81</v>
      </c>
      <c r="G575" s="187"/>
      <c r="H575" s="187"/>
      <c r="I575" s="188" t="s">
        <v>1531</v>
      </c>
      <c r="J575" s="189">
        <v>0</v>
      </c>
      <c r="K575" s="189">
        <v>10</v>
      </c>
      <c r="L575" s="189" t="s">
        <v>268</v>
      </c>
      <c r="M575" s="189" t="s">
        <v>257</v>
      </c>
      <c r="N575" s="247" t="str">
        <f>IF(A575="k_CalRelNum_Cnt_u8[12]","CalRelNum",IF(F575="Y","TunSetCalSeg",IF(F575="N", "FlashCalSeg", "")))</f>
        <v>TunSetCalSeg</v>
      </c>
    </row>
    <row r="576" spans="1:14" ht="40.799999999999997" x14ac:dyDescent="0.25">
      <c r="A576" s="190" t="s">
        <v>1532</v>
      </c>
      <c r="B576" s="184" t="s">
        <v>1533</v>
      </c>
      <c r="C576" s="185" t="s">
        <v>1518</v>
      </c>
      <c r="D576" s="185" t="s">
        <v>191</v>
      </c>
      <c r="E576" s="185" t="s">
        <v>1534</v>
      </c>
      <c r="F576" s="186" t="s">
        <v>81</v>
      </c>
      <c r="G576" s="187"/>
      <c r="H576" s="187"/>
      <c r="I576" s="188" t="s">
        <v>1535</v>
      </c>
      <c r="J576" s="189">
        <v>0</v>
      </c>
      <c r="K576" s="189">
        <v>1</v>
      </c>
      <c r="L576" s="189" t="s">
        <v>260</v>
      </c>
      <c r="M576" s="189" t="s">
        <v>257</v>
      </c>
      <c r="N576" s="247" t="str">
        <f>IF(A576="k_CalRelNum_Cnt_u8[12]","CalRelNum",IF(F576="Y","TunSetCalSeg",IF(F576="N", "FlashCalSeg", "")))</f>
        <v>TunSetCalSeg</v>
      </c>
    </row>
    <row r="577" spans="1:14" ht="30.6" x14ac:dyDescent="0.25">
      <c r="A577" s="190" t="s">
        <v>1536</v>
      </c>
      <c r="B577" s="184" t="s">
        <v>1537</v>
      </c>
      <c r="C577" s="185" t="s">
        <v>1518</v>
      </c>
      <c r="D577" s="185" t="s">
        <v>191</v>
      </c>
      <c r="E577" s="185" t="s">
        <v>1538</v>
      </c>
      <c r="F577" s="186" t="s">
        <v>81</v>
      </c>
      <c r="G577" s="187"/>
      <c r="H577" s="187"/>
      <c r="I577" s="188" t="s">
        <v>1539</v>
      </c>
      <c r="J577" s="189">
        <v>0</v>
      </c>
      <c r="K577" s="189">
        <v>50</v>
      </c>
      <c r="L577" s="189" t="s">
        <v>1461</v>
      </c>
      <c r="M577" s="189" t="s">
        <v>1014</v>
      </c>
      <c r="N577" s="247" t="str">
        <f>IF(A577="k_CalRelNum_Cnt_u8[12]","CalRelNum",IF(F577="Y","TunSetCalSeg",IF(F577="N", "FlashCalSeg", "")))</f>
        <v>TunSetCalSeg</v>
      </c>
    </row>
    <row r="578" spans="1:14" ht="40.799999999999997" x14ac:dyDescent="0.25">
      <c r="A578" s="190" t="s">
        <v>1540</v>
      </c>
      <c r="B578" s="184" t="s">
        <v>1541</v>
      </c>
      <c r="C578" s="185" t="s">
        <v>1518</v>
      </c>
      <c r="D578" s="185" t="s">
        <v>191</v>
      </c>
      <c r="E578" s="185" t="s">
        <v>1542</v>
      </c>
      <c r="F578" s="186" t="s">
        <v>81</v>
      </c>
      <c r="G578" s="187"/>
      <c r="H578" s="187"/>
      <c r="I578" s="188" t="s">
        <v>1543</v>
      </c>
      <c r="J578" s="189">
        <v>0</v>
      </c>
      <c r="K578" s="189">
        <v>2.5</v>
      </c>
      <c r="L578" s="189" t="s">
        <v>260</v>
      </c>
      <c r="M578" s="189" t="s">
        <v>257</v>
      </c>
      <c r="N578" s="247" t="str">
        <f>IF(A578="k_CalRelNum_Cnt_u8[12]","CalRelNum",IF(F578="Y","TunSetCalSeg",IF(F578="N", "FlashCalSeg", "")))</f>
        <v>TunSetCalSeg</v>
      </c>
    </row>
    <row r="579" spans="1:14" ht="40.799999999999997" x14ac:dyDescent="0.25">
      <c r="A579" s="190" t="s">
        <v>1577</v>
      </c>
      <c r="B579" s="184" t="s">
        <v>1578</v>
      </c>
      <c r="C579" s="185" t="s">
        <v>1574</v>
      </c>
      <c r="D579" s="185" t="s">
        <v>249</v>
      </c>
      <c r="E579" s="185" t="s">
        <v>454</v>
      </c>
      <c r="F579" s="186" t="s">
        <v>81</v>
      </c>
      <c r="G579" s="187" t="s">
        <v>82</v>
      </c>
      <c r="H579" s="187" t="s">
        <v>1579</v>
      </c>
      <c r="I579" s="188" t="s">
        <v>1580</v>
      </c>
      <c r="J579" s="189">
        <v>-1080</v>
      </c>
      <c r="K579" s="189">
        <v>1080</v>
      </c>
      <c r="L579" s="189" t="s">
        <v>268</v>
      </c>
      <c r="M579" s="189" t="s">
        <v>1480</v>
      </c>
      <c r="N579" s="247" t="str">
        <f>IF(A579="k_CalRelNum_Cnt_u8[12]","CalRelNum",IF(F579="Y","TunSetCalSeg",IF(F579="N", "FlashCalSeg", "")))</f>
        <v>TunSetCalSeg</v>
      </c>
    </row>
    <row r="580" spans="1:14" ht="40.799999999999997" x14ac:dyDescent="0.25">
      <c r="A580" s="190" t="s">
        <v>1572</v>
      </c>
      <c r="B580" s="184" t="s">
        <v>1573</v>
      </c>
      <c r="C580" s="185" t="s">
        <v>1574</v>
      </c>
      <c r="D580" s="185" t="s">
        <v>249</v>
      </c>
      <c r="E580" s="185" t="s">
        <v>405</v>
      </c>
      <c r="F580" s="186" t="s">
        <v>81</v>
      </c>
      <c r="G580" s="187" t="s">
        <v>82</v>
      </c>
      <c r="H580" s="187" t="s">
        <v>1575</v>
      </c>
      <c r="I580" s="188" t="s">
        <v>1576</v>
      </c>
      <c r="J580" s="189">
        <v>0</v>
      </c>
      <c r="K580" s="189">
        <v>511</v>
      </c>
      <c r="L580" s="189" t="s">
        <v>311</v>
      </c>
      <c r="M580" s="189" t="s">
        <v>370</v>
      </c>
      <c r="N580" s="247" t="str">
        <f>IF(A580="k_CalRelNum_Cnt_u8[12]","CalRelNum",IF(F580="Y","TunSetCalSeg",IF(F580="N", "FlashCalSeg", "")))</f>
        <v>TunSetCalSeg</v>
      </c>
    </row>
    <row r="581" spans="1:14" ht="409.6" x14ac:dyDescent="0.25">
      <c r="A581" s="190" t="s">
        <v>1581</v>
      </c>
      <c r="B581" s="184" t="s">
        <v>1582</v>
      </c>
      <c r="C581" s="185" t="s">
        <v>1574</v>
      </c>
      <c r="D581" s="185" t="s">
        <v>249</v>
      </c>
      <c r="E581" s="185" t="s">
        <v>459</v>
      </c>
      <c r="F581" s="186" t="s">
        <v>81</v>
      </c>
      <c r="G581" s="187" t="s">
        <v>82</v>
      </c>
      <c r="H581" s="187" t="s">
        <v>1583</v>
      </c>
      <c r="I581" s="188" t="s">
        <v>1584</v>
      </c>
      <c r="J581" s="189">
        <v>-16</v>
      </c>
      <c r="K581" s="189">
        <v>15.99951171875</v>
      </c>
      <c r="L581" s="189" t="s">
        <v>256</v>
      </c>
      <c r="M581" s="189" t="s">
        <v>398</v>
      </c>
      <c r="N581" s="247" t="str">
        <f>IF(A581="k_CalRelNum_Cnt_u8[12]","CalRelNum",IF(F581="Y","TunSetCalSeg",IF(F581="N", "FlashCalSeg", "")))</f>
        <v>TunSetCalSeg</v>
      </c>
    </row>
    <row r="582" spans="1:14" x14ac:dyDescent="0.25">
      <c r="A582" s="190" t="s">
        <v>1590</v>
      </c>
      <c r="B582" s="184" t="s">
        <v>1591</v>
      </c>
      <c r="C582" s="185" t="s">
        <v>1588</v>
      </c>
      <c r="D582" s="185" t="s">
        <v>989</v>
      </c>
      <c r="E582" s="185"/>
      <c r="F582" s="186" t="s">
        <v>82</v>
      </c>
      <c r="G582" s="187"/>
      <c r="H582" s="187"/>
      <c r="I582" s="188">
        <v>150</v>
      </c>
      <c r="J582" s="189">
        <v>0</v>
      </c>
      <c r="K582" s="189">
        <v>999</v>
      </c>
      <c r="L582" s="189" t="s">
        <v>1592</v>
      </c>
      <c r="M582" s="189" t="s">
        <v>261</v>
      </c>
      <c r="N582" s="247" t="str">
        <f>IF(A582="k_CalRelNum_Cnt_u8[12]","CalRelNum",IF(F582="Y","TunSetCalSeg",IF(F582="N", "FlashCalSeg", "")))</f>
        <v>FlashCalSeg</v>
      </c>
    </row>
    <row r="583" spans="1:14" ht="20.399999999999999" x14ac:dyDescent="0.25">
      <c r="A583" s="190" t="s">
        <v>1585</v>
      </c>
      <c r="B583" s="184" t="s">
        <v>1586</v>
      </c>
      <c r="C583" s="185" t="s">
        <v>1588</v>
      </c>
      <c r="D583" s="185" t="s">
        <v>989</v>
      </c>
      <c r="E583" s="185" t="s">
        <v>1587</v>
      </c>
      <c r="F583" s="186" t="s">
        <v>82</v>
      </c>
      <c r="G583" s="187"/>
      <c r="H583" s="187"/>
      <c r="I583" s="188">
        <v>35</v>
      </c>
      <c r="J583" s="189">
        <v>1</v>
      </c>
      <c r="K583" s="189">
        <v>255</v>
      </c>
      <c r="L583" s="189" t="s">
        <v>1589</v>
      </c>
      <c r="M583" s="189" t="s">
        <v>261</v>
      </c>
      <c r="N583" s="247" t="str">
        <f>IF(A583="k_CalRelNum_Cnt_u8[12]","CalRelNum",IF(F583="Y","TunSetCalSeg",IF(F583="N", "FlashCalSeg", "")))</f>
        <v>FlashCalSeg</v>
      </c>
    </row>
    <row r="584" spans="1:14" x14ac:dyDescent="0.25">
      <c r="A584" s="190" t="s">
        <v>3714</v>
      </c>
      <c r="B584" s="184"/>
      <c r="C584" s="185" t="s">
        <v>3708</v>
      </c>
      <c r="D584" s="185" t="s">
        <v>223</v>
      </c>
      <c r="E584" s="185" t="s">
        <v>3710</v>
      </c>
      <c r="F584" s="186" t="s">
        <v>82</v>
      </c>
      <c r="G584" s="187" t="s">
        <v>82</v>
      </c>
      <c r="H584" s="187"/>
      <c r="I584" s="188" t="s">
        <v>3711</v>
      </c>
      <c r="J584" s="189"/>
      <c r="K584" s="189"/>
      <c r="L584" s="189"/>
      <c r="M584" s="189" t="s">
        <v>604</v>
      </c>
      <c r="N584" s="247" t="str">
        <f>IF(A584="k_CalRelNum_Cnt_u8[12]","CalRelNum",IF(F584="Y","TunSetCalSeg",IF(F584="N", "FlashCalSeg", "")))</f>
        <v>FlashCalSeg</v>
      </c>
    </row>
    <row r="585" spans="1:14" x14ac:dyDescent="0.25">
      <c r="A585" s="190" t="s">
        <v>3718</v>
      </c>
      <c r="B585" s="184"/>
      <c r="C585" s="185" t="s">
        <v>3708</v>
      </c>
      <c r="D585" s="185" t="s">
        <v>223</v>
      </c>
      <c r="E585" s="185" t="s">
        <v>3717</v>
      </c>
      <c r="F585" s="186" t="s">
        <v>82</v>
      </c>
      <c r="G585" s="187" t="s">
        <v>82</v>
      </c>
      <c r="H585" s="187"/>
      <c r="I585" s="188">
        <v>25</v>
      </c>
      <c r="J585" s="189">
        <v>0</v>
      </c>
      <c r="K585" s="189">
        <v>65535</v>
      </c>
      <c r="L585" s="189" t="s">
        <v>273</v>
      </c>
      <c r="M585" s="189" t="s">
        <v>267</v>
      </c>
      <c r="N585" s="247" t="str">
        <f>IF(A585="k_CalRelNum_Cnt_u8[12]","CalRelNum",IF(F585="Y","TunSetCalSeg",IF(F585="N", "FlashCalSeg", "")))</f>
        <v>FlashCalSeg</v>
      </c>
    </row>
    <row r="586" spans="1:14" x14ac:dyDescent="0.25">
      <c r="A586" s="190" t="s">
        <v>3715</v>
      </c>
      <c r="B586" s="184"/>
      <c r="C586" s="185" t="s">
        <v>3708</v>
      </c>
      <c r="D586" s="185" t="s">
        <v>223</v>
      </c>
      <c r="E586" s="185" t="s">
        <v>3710</v>
      </c>
      <c r="F586" s="186" t="s">
        <v>82</v>
      </c>
      <c r="G586" s="187" t="s">
        <v>82</v>
      </c>
      <c r="H586" s="187"/>
      <c r="I586" s="188" t="s">
        <v>3711</v>
      </c>
      <c r="J586" s="189"/>
      <c r="K586" s="189"/>
      <c r="L586" s="189"/>
      <c r="M586" s="189" t="s">
        <v>604</v>
      </c>
      <c r="N586" s="247" t="str">
        <f>IF(A586="k_CalRelNum_Cnt_u8[12]","CalRelNum",IF(F586="Y","TunSetCalSeg",IF(F586="N", "FlashCalSeg", "")))</f>
        <v>FlashCalSeg</v>
      </c>
    </row>
    <row r="587" spans="1:14" x14ac:dyDescent="0.25">
      <c r="A587" s="190" t="s">
        <v>3719</v>
      </c>
      <c r="B587" s="184"/>
      <c r="C587" s="185" t="s">
        <v>3708</v>
      </c>
      <c r="D587" s="185" t="s">
        <v>223</v>
      </c>
      <c r="E587" s="185" t="s">
        <v>3717</v>
      </c>
      <c r="F587" s="186" t="s">
        <v>82</v>
      </c>
      <c r="G587" s="187" t="s">
        <v>82</v>
      </c>
      <c r="H587" s="187"/>
      <c r="I587" s="188">
        <v>500</v>
      </c>
      <c r="J587" s="189">
        <v>0</v>
      </c>
      <c r="K587" s="189">
        <v>65535</v>
      </c>
      <c r="L587" s="189" t="s">
        <v>273</v>
      </c>
      <c r="M587" s="189" t="s">
        <v>267</v>
      </c>
      <c r="N587" s="247" t="str">
        <f>IF(A587="k_CalRelNum_Cnt_u8[12]","CalRelNum",IF(F587="Y","TunSetCalSeg",IF(F587="N", "FlashCalSeg", "")))</f>
        <v>FlashCalSeg</v>
      </c>
    </row>
    <row r="588" spans="1:14" x14ac:dyDescent="0.25">
      <c r="A588" s="190" t="s">
        <v>3706</v>
      </c>
      <c r="B588" s="184"/>
      <c r="C588" s="185" t="s">
        <v>3708</v>
      </c>
      <c r="D588" s="185" t="s">
        <v>223</v>
      </c>
      <c r="E588" s="185" t="s">
        <v>3707</v>
      </c>
      <c r="F588" s="186" t="s">
        <v>82</v>
      </c>
      <c r="G588" s="187" t="s">
        <v>82</v>
      </c>
      <c r="H588" s="187"/>
      <c r="I588" s="188">
        <v>100</v>
      </c>
      <c r="J588" s="189">
        <v>0</v>
      </c>
      <c r="K588" s="189">
        <v>255</v>
      </c>
      <c r="L588" s="189" t="s">
        <v>311</v>
      </c>
      <c r="M588" s="189" t="s">
        <v>261</v>
      </c>
      <c r="N588" s="247" t="str">
        <f>IF(A588="k_CalRelNum_Cnt_u8[12]","CalRelNum",IF(F588="Y","TunSetCalSeg",IF(F588="N", "FlashCalSeg", "")))</f>
        <v>FlashCalSeg</v>
      </c>
    </row>
    <row r="589" spans="1:14" x14ac:dyDescent="0.25">
      <c r="A589" s="190" t="s">
        <v>3713</v>
      </c>
      <c r="B589" s="184"/>
      <c r="C589" s="185" t="s">
        <v>3708</v>
      </c>
      <c r="D589" s="185" t="s">
        <v>223</v>
      </c>
      <c r="E589" s="185" t="s">
        <v>3710</v>
      </c>
      <c r="F589" s="186" t="s">
        <v>82</v>
      </c>
      <c r="G589" s="187" t="s">
        <v>82</v>
      </c>
      <c r="H589" s="187"/>
      <c r="I589" s="188" t="s">
        <v>3711</v>
      </c>
      <c r="J589" s="189"/>
      <c r="K589" s="189"/>
      <c r="L589" s="189"/>
      <c r="M589" s="189" t="s">
        <v>604</v>
      </c>
      <c r="N589" s="247" t="str">
        <f>IF(A589="k_CalRelNum_Cnt_u8[12]","CalRelNum",IF(F589="Y","TunSetCalSeg",IF(F589="N", "FlashCalSeg", "")))</f>
        <v>FlashCalSeg</v>
      </c>
    </row>
    <row r="590" spans="1:14" x14ac:dyDescent="0.25">
      <c r="A590" s="190" t="s">
        <v>3716</v>
      </c>
      <c r="B590" s="184"/>
      <c r="C590" s="185" t="s">
        <v>3708</v>
      </c>
      <c r="D590" s="185" t="s">
        <v>223</v>
      </c>
      <c r="E590" s="185" t="s">
        <v>3717</v>
      </c>
      <c r="F590" s="186" t="s">
        <v>82</v>
      </c>
      <c r="G590" s="187" t="s">
        <v>82</v>
      </c>
      <c r="H590" s="187"/>
      <c r="I590" s="188">
        <v>25</v>
      </c>
      <c r="J590" s="189">
        <v>0</v>
      </c>
      <c r="K590" s="189">
        <v>65535</v>
      </c>
      <c r="L590" s="189" t="s">
        <v>273</v>
      </c>
      <c r="M590" s="189" t="s">
        <v>267</v>
      </c>
      <c r="N590" s="247" t="str">
        <f>IF(A590="k_CalRelNum_Cnt_u8[12]","CalRelNum",IF(F590="Y","TunSetCalSeg",IF(F590="N", "FlashCalSeg", "")))</f>
        <v>FlashCalSeg</v>
      </c>
    </row>
    <row r="591" spans="1:14" x14ac:dyDescent="0.25">
      <c r="A591" s="190" t="s">
        <v>3709</v>
      </c>
      <c r="B591" s="184"/>
      <c r="C591" s="185" t="s">
        <v>3708</v>
      </c>
      <c r="D591" s="185" t="s">
        <v>223</v>
      </c>
      <c r="E591" s="185" t="s">
        <v>3710</v>
      </c>
      <c r="F591" s="186" t="s">
        <v>82</v>
      </c>
      <c r="G591" s="187" t="s">
        <v>82</v>
      </c>
      <c r="H591" s="187"/>
      <c r="I591" s="188" t="s">
        <v>3711</v>
      </c>
      <c r="J591" s="189"/>
      <c r="K591" s="189"/>
      <c r="L591" s="189"/>
      <c r="M591" s="189" t="s">
        <v>604</v>
      </c>
      <c r="N591" s="247" t="str">
        <f>IF(A591="k_CalRelNum_Cnt_u8[12]","CalRelNum",IF(F591="Y","TunSetCalSeg",IF(F591="N", "FlashCalSeg", "")))</f>
        <v>FlashCalSeg</v>
      </c>
    </row>
    <row r="592" spans="1:14" x14ac:dyDescent="0.25">
      <c r="A592" s="190" t="s">
        <v>4584</v>
      </c>
      <c r="B592" s="184"/>
      <c r="C592" s="185" t="s">
        <v>3708</v>
      </c>
      <c r="D592" s="185" t="s">
        <v>223</v>
      </c>
      <c r="E592" s="185" t="s">
        <v>4585</v>
      </c>
      <c r="F592" s="186" t="s">
        <v>82</v>
      </c>
      <c r="G592" s="187" t="s">
        <v>82</v>
      </c>
      <c r="H592" s="187"/>
      <c r="I592" s="188">
        <v>1000</v>
      </c>
      <c r="J592" s="189">
        <v>0</v>
      </c>
      <c r="K592" s="189">
        <v>65535</v>
      </c>
      <c r="L592" s="189" t="s">
        <v>273</v>
      </c>
      <c r="M592" s="189" t="s">
        <v>267</v>
      </c>
      <c r="N592" s="247" t="str">
        <f>IF(A592="k_CalRelNum_Cnt_u8[12]","CalRelNum",IF(F592="Y","TunSetCalSeg",IF(F592="N", "FlashCalSeg", "")))</f>
        <v>FlashCalSeg</v>
      </c>
    </row>
    <row r="593" spans="1:14" x14ac:dyDescent="0.25">
      <c r="A593" s="190" t="s">
        <v>3712</v>
      </c>
      <c r="B593" s="184"/>
      <c r="C593" s="185" t="s">
        <v>3708</v>
      </c>
      <c r="D593" s="185" t="s">
        <v>223</v>
      </c>
      <c r="E593" s="185" t="s">
        <v>3710</v>
      </c>
      <c r="F593" s="186" t="s">
        <v>82</v>
      </c>
      <c r="G593" s="187" t="s">
        <v>82</v>
      </c>
      <c r="H593" s="187"/>
      <c r="I593" s="188" t="s">
        <v>3711</v>
      </c>
      <c r="J593" s="189"/>
      <c r="K593" s="189"/>
      <c r="L593" s="189"/>
      <c r="M593" s="189" t="s">
        <v>604</v>
      </c>
      <c r="N593" s="247" t="str">
        <f>IF(A593="k_CalRelNum_Cnt_u8[12]","CalRelNum",IF(F593="Y","TunSetCalSeg",IF(F593="N", "FlashCalSeg", "")))</f>
        <v>FlashCalSeg</v>
      </c>
    </row>
    <row r="594" spans="1:14" ht="20.399999999999999" x14ac:dyDescent="0.25">
      <c r="A594" s="190" t="s">
        <v>5167</v>
      </c>
      <c r="B594" s="184"/>
      <c r="C594" s="185" t="s">
        <v>3722</v>
      </c>
      <c r="D594" s="185" t="s">
        <v>223</v>
      </c>
      <c r="E594" s="185" t="s">
        <v>5164</v>
      </c>
      <c r="F594" s="186" t="s">
        <v>82</v>
      </c>
      <c r="G594" s="187" t="s">
        <v>82</v>
      </c>
      <c r="H594" s="187"/>
      <c r="I594" s="188" t="b">
        <v>0</v>
      </c>
      <c r="J594" s="189" t="b">
        <v>0</v>
      </c>
      <c r="K594" s="189" t="b">
        <v>1</v>
      </c>
      <c r="L594" s="189" t="s">
        <v>300</v>
      </c>
      <c r="M594" s="189" t="s">
        <v>501</v>
      </c>
      <c r="N594" s="247" t="str">
        <f>IF(A594="k_CalRelNum_Cnt_u8[12]","CalRelNum",IF(F594="Y","TunSetCalSeg",IF(F594="N", "FlashCalSeg", "")))</f>
        <v>FlashCalSeg</v>
      </c>
    </row>
    <row r="595" spans="1:14" x14ac:dyDescent="0.25">
      <c r="A595" s="190" t="s">
        <v>3720</v>
      </c>
      <c r="B595" s="184"/>
      <c r="C595" s="185" t="s">
        <v>3722</v>
      </c>
      <c r="D595" s="185" t="s">
        <v>223</v>
      </c>
      <c r="E595" s="185" t="s">
        <v>3721</v>
      </c>
      <c r="F595" s="186" t="s">
        <v>82</v>
      </c>
      <c r="G595" s="187" t="s">
        <v>82</v>
      </c>
      <c r="H595" s="187"/>
      <c r="I595" s="188">
        <v>1</v>
      </c>
      <c r="J595" s="189">
        <v>0</v>
      </c>
      <c r="K595" s="189">
        <v>1</v>
      </c>
      <c r="L595" s="189" t="s">
        <v>300</v>
      </c>
      <c r="M595" s="189" t="s">
        <v>261</v>
      </c>
      <c r="N595" s="247" t="str">
        <f>IF(A595="k_CalRelNum_Cnt_u8[12]","CalRelNum",IF(F595="Y","TunSetCalSeg",IF(F595="N", "FlashCalSeg", "")))</f>
        <v>FlashCalSeg</v>
      </c>
    </row>
    <row r="596" spans="1:14" ht="20.399999999999999" x14ac:dyDescent="0.25">
      <c r="A596" s="190" t="s">
        <v>5065</v>
      </c>
      <c r="B596" s="184" t="s">
        <v>5066</v>
      </c>
      <c r="C596" s="185" t="s">
        <v>3722</v>
      </c>
      <c r="D596" s="185" t="s">
        <v>223</v>
      </c>
      <c r="E596" s="185"/>
      <c r="F596" s="186" t="s">
        <v>82</v>
      </c>
      <c r="G596" s="187" t="s">
        <v>82</v>
      </c>
      <c r="H596" s="187"/>
      <c r="I596" s="188">
        <v>2000</v>
      </c>
      <c r="J596" s="189">
        <v>0</v>
      </c>
      <c r="K596" s="189">
        <v>65535</v>
      </c>
      <c r="L596" s="189" t="s">
        <v>273</v>
      </c>
      <c r="M596" s="189" t="s">
        <v>267</v>
      </c>
      <c r="N596" s="247" t="str">
        <f>IF(A596="k_CalRelNum_Cnt_u8[12]","CalRelNum",IF(F596="Y","TunSetCalSeg",IF(F596="N", "FlashCalSeg", "")))</f>
        <v>FlashCalSeg</v>
      </c>
    </row>
    <row r="597" spans="1:14" ht="51" x14ac:dyDescent="0.25">
      <c r="A597" s="190" t="s">
        <v>1662</v>
      </c>
      <c r="B597" s="184" t="s">
        <v>1663</v>
      </c>
      <c r="C597" s="185" t="s">
        <v>1596</v>
      </c>
      <c r="D597" s="185" t="s">
        <v>217</v>
      </c>
      <c r="E597" s="185" t="s">
        <v>1664</v>
      </c>
      <c r="F597" s="186" t="s">
        <v>81</v>
      </c>
      <c r="G597" s="187" t="s">
        <v>82</v>
      </c>
      <c r="H597" s="187"/>
      <c r="I597" s="188" t="b">
        <v>1</v>
      </c>
      <c r="J597" s="189" t="b">
        <v>0</v>
      </c>
      <c r="K597" s="189" t="b">
        <v>1</v>
      </c>
      <c r="L597" s="189" t="s">
        <v>260</v>
      </c>
      <c r="M597" s="189" t="s">
        <v>501</v>
      </c>
      <c r="N597" s="247" t="str">
        <f>IF(A597="k_CalRelNum_Cnt_u8[12]","CalRelNum",IF(F597="Y","TunSetCalSeg",IF(F597="N", "FlashCalSeg", "")))</f>
        <v>TunSetCalSeg</v>
      </c>
    </row>
    <row r="598" spans="1:14" ht="20.399999999999999" x14ac:dyDescent="0.25">
      <c r="A598" s="190" t="s">
        <v>1657</v>
      </c>
      <c r="B598" s="184" t="s">
        <v>1658</v>
      </c>
      <c r="C598" s="185" t="s">
        <v>1596</v>
      </c>
      <c r="D598" s="185" t="s">
        <v>217</v>
      </c>
      <c r="E598" s="185" t="s">
        <v>1659</v>
      </c>
      <c r="F598" s="186" t="s">
        <v>81</v>
      </c>
      <c r="G598" s="187" t="s">
        <v>82</v>
      </c>
      <c r="H598" s="187"/>
      <c r="I598" s="188">
        <v>30</v>
      </c>
      <c r="J598" s="189">
        <v>0.01</v>
      </c>
      <c r="K598" s="189">
        <v>50</v>
      </c>
      <c r="L598" s="189" t="s">
        <v>262</v>
      </c>
      <c r="M598" s="189" t="s">
        <v>261</v>
      </c>
      <c r="N598" s="247" t="str">
        <f>IF(A598="k_CalRelNum_Cnt_u8[12]","CalRelNum",IF(F598="Y","TunSetCalSeg",IF(F598="N", "FlashCalSeg", "")))</f>
        <v>TunSetCalSeg</v>
      </c>
    </row>
    <row r="599" spans="1:14" ht="20.399999999999999" x14ac:dyDescent="0.25">
      <c r="A599" s="190" t="s">
        <v>1669</v>
      </c>
      <c r="B599" s="184" t="s">
        <v>1670</v>
      </c>
      <c r="C599" s="185" t="s">
        <v>1596</v>
      </c>
      <c r="D599" s="185" t="s">
        <v>217</v>
      </c>
      <c r="E599" s="185" t="s">
        <v>1667</v>
      </c>
      <c r="F599" s="186" t="s">
        <v>82</v>
      </c>
      <c r="G599" s="187" t="s">
        <v>82</v>
      </c>
      <c r="H599" s="187"/>
      <c r="I599" s="188">
        <v>0</v>
      </c>
      <c r="J599" s="189">
        <v>0</v>
      </c>
      <c r="K599" s="189">
        <v>5000</v>
      </c>
      <c r="L599" s="189" t="s">
        <v>1668</v>
      </c>
      <c r="M599" s="189" t="s">
        <v>267</v>
      </c>
      <c r="N599" s="247" t="str">
        <f>IF(A599="k_CalRelNum_Cnt_u8[12]","CalRelNum",IF(F599="Y","TunSetCalSeg",IF(F599="N", "FlashCalSeg", "")))</f>
        <v>FlashCalSeg</v>
      </c>
    </row>
    <row r="600" spans="1:14" ht="20.399999999999999" x14ac:dyDescent="0.25">
      <c r="A600" s="190" t="s">
        <v>1671</v>
      </c>
      <c r="B600" s="184" t="s">
        <v>1672</v>
      </c>
      <c r="C600" s="185" t="s">
        <v>1596</v>
      </c>
      <c r="D600" s="185" t="s">
        <v>217</v>
      </c>
      <c r="E600" s="185" t="s">
        <v>1667</v>
      </c>
      <c r="F600" s="186" t="s">
        <v>82</v>
      </c>
      <c r="G600" s="187" t="s">
        <v>82</v>
      </c>
      <c r="H600" s="187"/>
      <c r="I600" s="188">
        <v>5000</v>
      </c>
      <c r="J600" s="189">
        <v>0</v>
      </c>
      <c r="K600" s="189">
        <v>5000</v>
      </c>
      <c r="L600" s="189" t="s">
        <v>1668</v>
      </c>
      <c r="M600" s="189" t="s">
        <v>267</v>
      </c>
      <c r="N600" s="247" t="str">
        <f>IF(A600="k_CalRelNum_Cnt_u8[12]","CalRelNum",IF(F600="Y","TunSetCalSeg",IF(F600="N", "FlashCalSeg", "")))</f>
        <v>FlashCalSeg</v>
      </c>
    </row>
    <row r="601" spans="1:14" ht="20.399999999999999" x14ac:dyDescent="0.25">
      <c r="A601" s="190" t="s">
        <v>1665</v>
      </c>
      <c r="B601" s="184" t="s">
        <v>1666</v>
      </c>
      <c r="C601" s="185" t="s">
        <v>1596</v>
      </c>
      <c r="D601" s="185" t="s">
        <v>217</v>
      </c>
      <c r="E601" s="185" t="s">
        <v>1667</v>
      </c>
      <c r="F601" s="186" t="s">
        <v>82</v>
      </c>
      <c r="G601" s="187" t="s">
        <v>82</v>
      </c>
      <c r="H601" s="187"/>
      <c r="I601" s="188">
        <v>0</v>
      </c>
      <c r="J601" s="189">
        <v>0</v>
      </c>
      <c r="K601" s="189">
        <v>5000</v>
      </c>
      <c r="L601" s="189" t="s">
        <v>1668</v>
      </c>
      <c r="M601" s="189" t="s">
        <v>267</v>
      </c>
      <c r="N601" s="247" t="str">
        <f>IF(A601="k_CalRelNum_Cnt_u8[12]","CalRelNum",IF(F601="Y","TunSetCalSeg",IF(F601="N", "FlashCalSeg", "")))</f>
        <v>FlashCalSeg</v>
      </c>
    </row>
    <row r="602" spans="1:14" ht="30.6" x14ac:dyDescent="0.25">
      <c r="A602" s="190" t="s">
        <v>1660</v>
      </c>
      <c r="B602" s="184" t="s">
        <v>1661</v>
      </c>
      <c r="C602" s="185" t="s">
        <v>1596</v>
      </c>
      <c r="D602" s="185" t="s">
        <v>217</v>
      </c>
      <c r="E602" s="185"/>
      <c r="F602" s="186" t="s">
        <v>81</v>
      </c>
      <c r="G602" s="187" t="s">
        <v>82</v>
      </c>
      <c r="H602" s="187"/>
      <c r="I602" s="188">
        <v>0.15</v>
      </c>
      <c r="J602" s="189">
        <v>0</v>
      </c>
      <c r="K602" s="189">
        <v>8.8000000000000007</v>
      </c>
      <c r="L602" s="189" t="s">
        <v>256</v>
      </c>
      <c r="M602" s="189" t="s">
        <v>261</v>
      </c>
      <c r="N602" s="247" t="str">
        <f>IF(A602="k_CalRelNum_Cnt_u8[12]","CalRelNum",IF(F602="Y","TunSetCalSeg",IF(F602="N", "FlashCalSeg", "")))</f>
        <v>TunSetCalSeg</v>
      </c>
    </row>
    <row r="603" spans="1:14" ht="30.6" x14ac:dyDescent="0.25">
      <c r="A603" s="190" t="s">
        <v>1593</v>
      </c>
      <c r="B603" s="184" t="s">
        <v>1594</v>
      </c>
      <c r="C603" s="185" t="s">
        <v>1596</v>
      </c>
      <c r="D603" s="185" t="s">
        <v>217</v>
      </c>
      <c r="E603" s="185" t="s">
        <v>1595</v>
      </c>
      <c r="F603" s="186" t="s">
        <v>81</v>
      </c>
      <c r="G603" s="187" t="s">
        <v>82</v>
      </c>
      <c r="H603" s="187" t="s">
        <v>1597</v>
      </c>
      <c r="I603" s="188" t="s">
        <v>1598</v>
      </c>
      <c r="J603" s="189">
        <v>0</v>
      </c>
      <c r="K603" s="189">
        <v>2</v>
      </c>
      <c r="L603" s="189" t="s">
        <v>260</v>
      </c>
      <c r="M603" s="189" t="s">
        <v>374</v>
      </c>
      <c r="N603" s="247" t="str">
        <f>IF(A603="k_CalRelNum_Cnt_u8[12]","CalRelNum",IF(F603="Y","TunSetCalSeg",IF(F603="N", "FlashCalSeg", "")))</f>
        <v>TunSetCalSeg</v>
      </c>
    </row>
    <row r="604" spans="1:14" ht="40.799999999999997" x14ac:dyDescent="0.25">
      <c r="A604" s="190" t="s">
        <v>1599</v>
      </c>
      <c r="B604" s="184" t="s">
        <v>1600</v>
      </c>
      <c r="C604" s="185" t="s">
        <v>1596</v>
      </c>
      <c r="D604" s="185" t="s">
        <v>217</v>
      </c>
      <c r="E604" s="185" t="s">
        <v>1601</v>
      </c>
      <c r="F604" s="186" t="s">
        <v>81</v>
      </c>
      <c r="G604" s="187" t="s">
        <v>82</v>
      </c>
      <c r="H604" s="187" t="s">
        <v>1602</v>
      </c>
      <c r="I604" s="188" t="s">
        <v>1603</v>
      </c>
      <c r="J604" s="189">
        <v>0</v>
      </c>
      <c r="K604" s="189">
        <v>1</v>
      </c>
      <c r="L604" s="189" t="s">
        <v>260</v>
      </c>
      <c r="M604" s="189" t="s">
        <v>374</v>
      </c>
      <c r="N604" s="247" t="str">
        <f>IF(A604="k_CalRelNum_Cnt_u8[12]","CalRelNum",IF(F604="Y","TunSetCalSeg",IF(F604="N", "FlashCalSeg", "")))</f>
        <v>TunSetCalSeg</v>
      </c>
    </row>
    <row r="605" spans="1:14" ht="40.799999999999997" x14ac:dyDescent="0.25">
      <c r="A605" s="190" t="s">
        <v>1609</v>
      </c>
      <c r="B605" s="184" t="s">
        <v>1610</v>
      </c>
      <c r="C605" s="185" t="s">
        <v>1596</v>
      </c>
      <c r="D605" s="185" t="s">
        <v>217</v>
      </c>
      <c r="E605" s="185" t="s">
        <v>1611</v>
      </c>
      <c r="F605" s="186" t="s">
        <v>81</v>
      </c>
      <c r="G605" s="187" t="s">
        <v>82</v>
      </c>
      <c r="H605" s="187" t="s">
        <v>1612</v>
      </c>
      <c r="I605" s="188" t="s">
        <v>1613</v>
      </c>
      <c r="J605" s="189">
        <v>0</v>
      </c>
      <c r="K605" s="189">
        <v>10</v>
      </c>
      <c r="L605" s="189" t="s">
        <v>265</v>
      </c>
      <c r="M605" s="189" t="s">
        <v>257</v>
      </c>
      <c r="N605" s="247" t="str">
        <f>IF(A605="k_CalRelNum_Cnt_u8[12]","CalRelNum",IF(F605="Y","TunSetCalSeg",IF(F605="N", "FlashCalSeg", "")))</f>
        <v>TunSetCalSeg</v>
      </c>
    </row>
    <row r="606" spans="1:14" ht="40.799999999999997" x14ac:dyDescent="0.25">
      <c r="A606" s="190" t="s">
        <v>1623</v>
      </c>
      <c r="B606" s="184" t="s">
        <v>1624</v>
      </c>
      <c r="C606" s="185" t="s">
        <v>1596</v>
      </c>
      <c r="D606" s="185" t="s">
        <v>217</v>
      </c>
      <c r="E606" s="185" t="s">
        <v>1611</v>
      </c>
      <c r="F606" s="186" t="s">
        <v>81</v>
      </c>
      <c r="G606" s="187" t="s">
        <v>82</v>
      </c>
      <c r="H606" s="187" t="s">
        <v>1625</v>
      </c>
      <c r="I606" s="188" t="s">
        <v>1613</v>
      </c>
      <c r="J606" s="189">
        <v>0</v>
      </c>
      <c r="K606" s="189">
        <v>10</v>
      </c>
      <c r="L606" s="189" t="s">
        <v>265</v>
      </c>
      <c r="M606" s="189" t="s">
        <v>257</v>
      </c>
      <c r="N606" s="247" t="str">
        <f>IF(A606="k_CalRelNum_Cnt_u8[12]","CalRelNum",IF(F606="Y","TunSetCalSeg",IF(F606="N", "FlashCalSeg", "")))</f>
        <v>TunSetCalSeg</v>
      </c>
    </row>
    <row r="607" spans="1:14" ht="81.599999999999994" x14ac:dyDescent="0.25">
      <c r="A607" s="190" t="s">
        <v>1604</v>
      </c>
      <c r="B607" s="184" t="s">
        <v>1605</v>
      </c>
      <c r="C607" s="185" t="s">
        <v>1596</v>
      </c>
      <c r="D607" s="185" t="s">
        <v>217</v>
      </c>
      <c r="E607" s="185" t="s">
        <v>1606</v>
      </c>
      <c r="F607" s="186" t="s">
        <v>81</v>
      </c>
      <c r="G607" s="187" t="s">
        <v>82</v>
      </c>
      <c r="H607" s="187" t="s">
        <v>1607</v>
      </c>
      <c r="I607" s="188" t="s">
        <v>1608</v>
      </c>
      <c r="J607" s="189">
        <v>0</v>
      </c>
      <c r="K607" s="189">
        <v>255</v>
      </c>
      <c r="L607" s="189" t="s">
        <v>311</v>
      </c>
      <c r="M607" s="189" t="s">
        <v>370</v>
      </c>
      <c r="N607" s="247" t="str">
        <f>IF(A607="k_CalRelNum_Cnt_u8[12]","CalRelNum",IF(F607="Y","TunSetCalSeg",IF(F607="N", "FlashCalSeg", "")))</f>
        <v>TunSetCalSeg</v>
      </c>
    </row>
    <row r="608" spans="1:14" ht="30.6" x14ac:dyDescent="0.25">
      <c r="A608" s="190" t="s">
        <v>1632</v>
      </c>
      <c r="B608" s="184" t="s">
        <v>1633</v>
      </c>
      <c r="C608" s="235" t="s">
        <v>1596</v>
      </c>
      <c r="D608" s="235" t="s">
        <v>217</v>
      </c>
      <c r="E608" s="235" t="s">
        <v>1634</v>
      </c>
      <c r="F608" s="236" t="s">
        <v>81</v>
      </c>
      <c r="G608" s="237" t="s">
        <v>82</v>
      </c>
      <c r="H608" s="237"/>
      <c r="I608" s="238" t="s">
        <v>1635</v>
      </c>
      <c r="J608" s="239"/>
      <c r="K608" s="239"/>
      <c r="L608" s="239"/>
      <c r="M608" s="239" t="s">
        <v>1636</v>
      </c>
      <c r="N608" s="247" t="str">
        <f>IF(A608="k_CalRelNum_Cnt_u8[12]","CalRelNum",IF(F608="Y","TunSetCalSeg",IF(F608="N", "FlashCalSeg", "")))</f>
        <v>TunSetCalSeg</v>
      </c>
    </row>
    <row r="609" spans="1:14" ht="30.6" x14ac:dyDescent="0.25">
      <c r="A609" s="190" t="s">
        <v>1637</v>
      </c>
      <c r="B609" s="184" t="s">
        <v>1638</v>
      </c>
      <c r="C609" s="235" t="s">
        <v>1596</v>
      </c>
      <c r="D609" s="235" t="s">
        <v>217</v>
      </c>
      <c r="E609" s="235" t="s">
        <v>1639</v>
      </c>
      <c r="F609" s="236" t="s">
        <v>81</v>
      </c>
      <c r="G609" s="237" t="s">
        <v>82</v>
      </c>
      <c r="H609" s="237"/>
      <c r="I609" s="238" t="s">
        <v>1640</v>
      </c>
      <c r="J609" s="239">
        <v>-2</v>
      </c>
      <c r="K609" s="239">
        <v>0</v>
      </c>
      <c r="L609" s="239" t="s">
        <v>260</v>
      </c>
      <c r="M609" s="239" t="s">
        <v>261</v>
      </c>
      <c r="N609" s="247" t="str">
        <f>IF(A609="k_CalRelNum_Cnt_u8[12]","CalRelNum",IF(F609="Y","TunSetCalSeg",IF(F609="N", "FlashCalSeg", "")))</f>
        <v>TunSetCalSeg</v>
      </c>
    </row>
    <row r="610" spans="1:14" ht="30.6" x14ac:dyDescent="0.25">
      <c r="A610" s="254" t="s">
        <v>1641</v>
      </c>
      <c r="B610" s="248" t="s">
        <v>1642</v>
      </c>
      <c r="C610" s="249" t="s">
        <v>1596</v>
      </c>
      <c r="D610" s="249" t="s">
        <v>217</v>
      </c>
      <c r="E610" s="249" t="s">
        <v>1643</v>
      </c>
      <c r="F610" s="250" t="s">
        <v>81</v>
      </c>
      <c r="G610" s="251" t="s">
        <v>82</v>
      </c>
      <c r="H610" s="251"/>
      <c r="I610" s="252" t="s">
        <v>1644</v>
      </c>
      <c r="J610" s="253">
        <v>-1</v>
      </c>
      <c r="K610" s="253">
        <v>1</v>
      </c>
      <c r="L610" s="253" t="s">
        <v>260</v>
      </c>
      <c r="M610" s="253" t="s">
        <v>261</v>
      </c>
      <c r="N610" s="247" t="str">
        <f>IF(A610="k_CalRelNum_Cnt_u8[12]","CalRelNum",IF(F610="Y","TunSetCalSeg",IF(F610="N", "FlashCalSeg", "")))</f>
        <v>TunSetCalSeg</v>
      </c>
    </row>
    <row r="611" spans="1:14" ht="30.6" x14ac:dyDescent="0.25">
      <c r="A611" s="254" t="s">
        <v>1645</v>
      </c>
      <c r="B611" s="248" t="s">
        <v>1646</v>
      </c>
      <c r="C611" s="249" t="s">
        <v>1596</v>
      </c>
      <c r="D611" s="249" t="s">
        <v>217</v>
      </c>
      <c r="E611" s="249" t="s">
        <v>1647</v>
      </c>
      <c r="F611" s="250" t="s">
        <v>81</v>
      </c>
      <c r="G611" s="251" t="s">
        <v>82</v>
      </c>
      <c r="H611" s="251"/>
      <c r="I611" s="252" t="s">
        <v>1648</v>
      </c>
      <c r="J611" s="253">
        <v>0</v>
      </c>
      <c r="K611" s="253">
        <v>2300</v>
      </c>
      <c r="L611" s="253" t="s">
        <v>260</v>
      </c>
      <c r="M611" s="253" t="s">
        <v>261</v>
      </c>
      <c r="N611" s="247" t="str">
        <f>IF(A611="k_CalRelNum_Cnt_u8[12]","CalRelNum",IF(F611="Y","TunSetCalSeg",IF(F611="N", "FlashCalSeg", "")))</f>
        <v>TunSetCalSeg</v>
      </c>
    </row>
    <row r="612" spans="1:14" ht="30.6" x14ac:dyDescent="0.25">
      <c r="A612" s="254" t="s">
        <v>1649</v>
      </c>
      <c r="B612" s="248" t="s">
        <v>1650</v>
      </c>
      <c r="C612" s="249" t="s">
        <v>1596</v>
      </c>
      <c r="D612" s="249" t="s">
        <v>217</v>
      </c>
      <c r="E612" s="249" t="s">
        <v>1651</v>
      </c>
      <c r="F612" s="250" t="s">
        <v>81</v>
      </c>
      <c r="G612" s="251" t="s">
        <v>82</v>
      </c>
      <c r="H612" s="251"/>
      <c r="I612" s="252" t="s">
        <v>1652</v>
      </c>
      <c r="J612" s="253">
        <v>-4500</v>
      </c>
      <c r="K612" s="253">
        <v>0</v>
      </c>
      <c r="L612" s="253" t="s">
        <v>260</v>
      </c>
      <c r="M612" s="253" t="s">
        <v>261</v>
      </c>
      <c r="N612" s="247" t="str">
        <f>IF(A612="k_CalRelNum_Cnt_u8[12]","CalRelNum",IF(F612="Y","TunSetCalSeg",IF(F612="N", "FlashCalSeg", "")))</f>
        <v>TunSetCalSeg</v>
      </c>
    </row>
    <row r="613" spans="1:14" ht="40.799999999999997" x14ac:dyDescent="0.25">
      <c r="A613" s="254" t="s">
        <v>1653</v>
      </c>
      <c r="B613" s="248" t="s">
        <v>1654</v>
      </c>
      <c r="C613" s="249" t="s">
        <v>1596</v>
      </c>
      <c r="D613" s="249" t="s">
        <v>217</v>
      </c>
      <c r="E613" s="249" t="s">
        <v>1655</v>
      </c>
      <c r="F613" s="250" t="s">
        <v>81</v>
      </c>
      <c r="G613" s="251" t="s">
        <v>82</v>
      </c>
      <c r="H613" s="251"/>
      <c r="I613" s="252" t="s">
        <v>1656</v>
      </c>
      <c r="J613" s="253">
        <v>-4</v>
      </c>
      <c r="K613" s="253">
        <v>2300</v>
      </c>
      <c r="L613" s="253" t="s">
        <v>260</v>
      </c>
      <c r="M613" s="253" t="s">
        <v>261</v>
      </c>
      <c r="N613" s="247" t="str">
        <f>IF(A613="k_CalRelNum_Cnt_u8[12]","CalRelNum",IF(F613="Y","TunSetCalSeg",IF(F613="N", "FlashCalSeg", "")))</f>
        <v>TunSetCalSeg</v>
      </c>
    </row>
    <row r="614" spans="1:14" ht="40.799999999999997" x14ac:dyDescent="0.25">
      <c r="A614" s="254" t="s">
        <v>1619</v>
      </c>
      <c r="B614" s="248" t="s">
        <v>1620</v>
      </c>
      <c r="C614" s="249" t="s">
        <v>1596</v>
      </c>
      <c r="D614" s="249" t="s">
        <v>217</v>
      </c>
      <c r="E614" s="249" t="s">
        <v>1616</v>
      </c>
      <c r="F614" s="250" t="s">
        <v>81</v>
      </c>
      <c r="G614" s="251" t="s">
        <v>82</v>
      </c>
      <c r="H614" s="251" t="s">
        <v>1621</v>
      </c>
      <c r="I614" s="252" t="s">
        <v>1622</v>
      </c>
      <c r="J614" s="253">
        <v>0</v>
      </c>
      <c r="K614" s="253">
        <v>1</v>
      </c>
      <c r="L614" s="253" t="s">
        <v>260</v>
      </c>
      <c r="M614" s="253" t="s">
        <v>374</v>
      </c>
      <c r="N614" s="247" t="str">
        <f>IF(A614="k_CalRelNum_Cnt_u8[12]","CalRelNum",IF(F614="Y","TunSetCalSeg",IF(F614="N", "FlashCalSeg", "")))</f>
        <v>TunSetCalSeg</v>
      </c>
    </row>
    <row r="615" spans="1:14" ht="40.799999999999997" x14ac:dyDescent="0.25">
      <c r="A615" s="254" t="s">
        <v>1629</v>
      </c>
      <c r="B615" s="248" t="s">
        <v>1630</v>
      </c>
      <c r="C615" s="249" t="s">
        <v>1596</v>
      </c>
      <c r="D615" s="249" t="s">
        <v>217</v>
      </c>
      <c r="E615" s="249" t="s">
        <v>1616</v>
      </c>
      <c r="F615" s="250" t="s">
        <v>81</v>
      </c>
      <c r="G615" s="251" t="s">
        <v>82</v>
      </c>
      <c r="H615" s="251" t="s">
        <v>1631</v>
      </c>
      <c r="I615" s="252" t="s">
        <v>1622</v>
      </c>
      <c r="J615" s="253">
        <v>0</v>
      </c>
      <c r="K615" s="253">
        <v>1</v>
      </c>
      <c r="L615" s="253" t="s">
        <v>260</v>
      </c>
      <c r="M615" s="253" t="s">
        <v>374</v>
      </c>
      <c r="N615" s="247" t="str">
        <f>IF(A615="k_CalRelNum_Cnt_u8[12]","CalRelNum",IF(F615="Y","TunSetCalSeg",IF(F615="N", "FlashCalSeg", "")))</f>
        <v>TunSetCalSeg</v>
      </c>
    </row>
    <row r="616" spans="1:14" ht="40.799999999999997" x14ac:dyDescent="0.25">
      <c r="A616" s="254" t="s">
        <v>1614</v>
      </c>
      <c r="B616" s="248" t="s">
        <v>1615</v>
      </c>
      <c r="C616" s="249" t="s">
        <v>1596</v>
      </c>
      <c r="D616" s="249" t="s">
        <v>217</v>
      </c>
      <c r="E616" s="249" t="s">
        <v>1616</v>
      </c>
      <c r="F616" s="250" t="s">
        <v>81</v>
      </c>
      <c r="G616" s="251" t="s">
        <v>82</v>
      </c>
      <c r="H616" s="251" t="s">
        <v>1617</v>
      </c>
      <c r="I616" s="252" t="s">
        <v>1618</v>
      </c>
      <c r="J616" s="253">
        <v>0</v>
      </c>
      <c r="K616" s="253">
        <v>1</v>
      </c>
      <c r="L616" s="253" t="s">
        <v>260</v>
      </c>
      <c r="M616" s="253" t="s">
        <v>374</v>
      </c>
      <c r="N616" s="247" t="str">
        <f>IF(A616="k_CalRelNum_Cnt_u8[12]","CalRelNum",IF(F616="Y","TunSetCalSeg",IF(F616="N", "FlashCalSeg", "")))</f>
        <v>TunSetCalSeg</v>
      </c>
    </row>
    <row r="617" spans="1:14" ht="20.399999999999999" x14ac:dyDescent="0.25">
      <c r="A617" s="254" t="s">
        <v>1626</v>
      </c>
      <c r="B617" s="248" t="s">
        <v>1627</v>
      </c>
      <c r="C617" s="249" t="s">
        <v>1596</v>
      </c>
      <c r="D617" s="249" t="s">
        <v>217</v>
      </c>
      <c r="E617" s="249" t="s">
        <v>1616</v>
      </c>
      <c r="F617" s="250" t="s">
        <v>81</v>
      </c>
      <c r="G617" s="251" t="s">
        <v>82</v>
      </c>
      <c r="H617" s="251" t="s">
        <v>1628</v>
      </c>
      <c r="I617" s="252" t="s">
        <v>1618</v>
      </c>
      <c r="J617" s="253">
        <v>0</v>
      </c>
      <c r="K617" s="253">
        <v>1</v>
      </c>
      <c r="L617" s="253" t="s">
        <v>260</v>
      </c>
      <c r="M617" s="253" t="s">
        <v>374</v>
      </c>
      <c r="N617" s="247" t="str">
        <f>IF(A617="k_CalRelNum_Cnt_u8[12]","CalRelNum",IF(F617="Y","TunSetCalSeg",IF(F617="N", "FlashCalSeg", "")))</f>
        <v>TunSetCalSeg</v>
      </c>
    </row>
    <row r="618" spans="1:14" ht="20.399999999999999" x14ac:dyDescent="0.25">
      <c r="A618" s="254" t="s">
        <v>3528</v>
      </c>
      <c r="B618" s="248"/>
      <c r="C618" s="249" t="s">
        <v>3205</v>
      </c>
      <c r="D618" s="249" t="s">
        <v>177</v>
      </c>
      <c r="E618" s="249"/>
      <c r="F618" s="250" t="s">
        <v>82</v>
      </c>
      <c r="G618" s="251" t="s">
        <v>82</v>
      </c>
      <c r="H618" s="251"/>
      <c r="I618" s="252" t="s">
        <v>3529</v>
      </c>
      <c r="J618" s="253"/>
      <c r="K618" s="253"/>
      <c r="L618" s="253"/>
      <c r="M618" s="253" t="s">
        <v>604</v>
      </c>
      <c r="N618" s="247" t="str">
        <f>IF(A618="k_CalRelNum_Cnt_u8[12]","CalRelNum",IF(F618="Y","TunSetCalSeg",IF(F618="N", "FlashCalSeg", "")))</f>
        <v>FlashCalSeg</v>
      </c>
    </row>
    <row r="619" spans="1:14" ht="20.399999999999999" x14ac:dyDescent="0.25">
      <c r="A619" s="254" t="s">
        <v>3534</v>
      </c>
      <c r="B619" s="248" t="s">
        <v>3535</v>
      </c>
      <c r="C619" s="249" t="s">
        <v>3205</v>
      </c>
      <c r="D619" s="249" t="s">
        <v>177</v>
      </c>
      <c r="E619" s="249"/>
      <c r="F619" s="250" t="s">
        <v>82</v>
      </c>
      <c r="G619" s="251" t="s">
        <v>82</v>
      </c>
      <c r="H619" s="251"/>
      <c r="I619" s="252">
        <v>1</v>
      </c>
      <c r="J619" s="253">
        <v>0</v>
      </c>
      <c r="K619" s="253">
        <v>255</v>
      </c>
      <c r="L619" s="253" t="s">
        <v>271</v>
      </c>
      <c r="M619" s="253" t="s">
        <v>267</v>
      </c>
      <c r="N619" s="247" t="str">
        <f>IF(A619="k_CalRelNum_Cnt_u8[12]","CalRelNum",IF(F619="Y","TunSetCalSeg",IF(F619="N", "FlashCalSeg", "")))</f>
        <v>FlashCalSeg</v>
      </c>
    </row>
    <row r="620" spans="1:14" ht="20.399999999999999" x14ac:dyDescent="0.25">
      <c r="A620" s="254" t="s">
        <v>3532</v>
      </c>
      <c r="B620" s="248" t="s">
        <v>3533</v>
      </c>
      <c r="C620" s="249" t="s">
        <v>3205</v>
      </c>
      <c r="D620" s="249" t="s">
        <v>177</v>
      </c>
      <c r="E620" s="249"/>
      <c r="F620" s="250" t="s">
        <v>82</v>
      </c>
      <c r="G620" s="251" t="s">
        <v>82</v>
      </c>
      <c r="H620" s="251"/>
      <c r="I620" s="252">
        <v>10</v>
      </c>
      <c r="J620" s="253">
        <v>0</v>
      </c>
      <c r="K620" s="253">
        <v>255</v>
      </c>
      <c r="L620" s="253" t="s">
        <v>271</v>
      </c>
      <c r="M620" s="253" t="s">
        <v>267</v>
      </c>
      <c r="N620" s="247" t="str">
        <f>IF(A620="k_CalRelNum_Cnt_u8[12]","CalRelNum",IF(F620="Y","TunSetCalSeg",IF(F620="N", "FlashCalSeg", "")))</f>
        <v>FlashCalSeg</v>
      </c>
    </row>
    <row r="621" spans="1:14" ht="409.6" x14ac:dyDescent="0.25">
      <c r="A621" s="254" t="s">
        <v>3530</v>
      </c>
      <c r="B621" s="248" t="s">
        <v>3531</v>
      </c>
      <c r="C621" s="249" t="s">
        <v>3205</v>
      </c>
      <c r="D621" s="249" t="s">
        <v>177</v>
      </c>
      <c r="E621" s="249"/>
      <c r="F621" s="250" t="s">
        <v>82</v>
      </c>
      <c r="G621" s="251" t="s">
        <v>82</v>
      </c>
      <c r="H621" s="251"/>
      <c r="I621" s="252">
        <v>21</v>
      </c>
      <c r="J621" s="253">
        <v>0</v>
      </c>
      <c r="K621" s="253">
        <v>255</v>
      </c>
      <c r="L621" s="253" t="s">
        <v>271</v>
      </c>
      <c r="M621" s="253" t="s">
        <v>267</v>
      </c>
      <c r="N621" s="247" t="str">
        <f>IF(A621="k_CalRelNum_Cnt_u8[12]","CalRelNum",IF(F621="Y","TunSetCalSeg",IF(F621="N", "FlashCalSeg", "")))</f>
        <v>FlashCalSeg</v>
      </c>
    </row>
    <row r="622" spans="1:14" ht="409.6" x14ac:dyDescent="0.25">
      <c r="A622" s="254" t="s">
        <v>1680</v>
      </c>
      <c r="B622" s="248" t="s">
        <v>1681</v>
      </c>
      <c r="C622" s="249" t="s">
        <v>1674</v>
      </c>
      <c r="D622" s="249" t="s">
        <v>5169</v>
      </c>
      <c r="E622" s="249" t="s">
        <v>1682</v>
      </c>
      <c r="F622" s="250" t="s">
        <v>82</v>
      </c>
      <c r="G622" s="251" t="s">
        <v>82</v>
      </c>
      <c r="H622" s="251"/>
      <c r="I622" s="252">
        <v>1462</v>
      </c>
      <c r="J622" s="253">
        <v>0</v>
      </c>
      <c r="K622" s="253">
        <v>65535</v>
      </c>
      <c r="L622" s="253" t="s">
        <v>424</v>
      </c>
      <c r="M622" s="253" t="s">
        <v>267</v>
      </c>
      <c r="N622" s="247" t="str">
        <f>IF(A622="k_CalRelNum_Cnt_u8[12]","CalRelNum",IF(F622="Y","TunSetCalSeg",IF(F622="N", "FlashCalSeg", "")))</f>
        <v>FlashCalSeg</v>
      </c>
    </row>
    <row r="623" spans="1:14" ht="30.6" x14ac:dyDescent="0.25">
      <c r="A623" s="254" t="s">
        <v>1683</v>
      </c>
      <c r="B623" s="248" t="s">
        <v>1684</v>
      </c>
      <c r="C623" s="249" t="s">
        <v>1674</v>
      </c>
      <c r="D623" s="249" t="s">
        <v>5169</v>
      </c>
      <c r="E623" s="249" t="s">
        <v>1685</v>
      </c>
      <c r="F623" s="250" t="s">
        <v>82</v>
      </c>
      <c r="G623" s="251" t="s">
        <v>82</v>
      </c>
      <c r="H623" s="251"/>
      <c r="I623" s="252">
        <v>14400</v>
      </c>
      <c r="J623" s="253">
        <v>0</v>
      </c>
      <c r="K623" s="253">
        <v>200000</v>
      </c>
      <c r="L623" s="253" t="s">
        <v>424</v>
      </c>
      <c r="M623" s="253" t="s">
        <v>321</v>
      </c>
      <c r="N623" s="247" t="str">
        <f>IF(A623="k_CalRelNum_Cnt_u8[12]","CalRelNum",IF(F623="Y","TunSetCalSeg",IF(F623="N", "FlashCalSeg", "")))</f>
        <v>FlashCalSeg</v>
      </c>
    </row>
    <row r="624" spans="1:14" ht="30.6" x14ac:dyDescent="0.25">
      <c r="A624" s="254" t="s">
        <v>1676</v>
      </c>
      <c r="B624" s="248"/>
      <c r="C624" s="249" t="s">
        <v>1674</v>
      </c>
      <c r="D624" s="249" t="s">
        <v>239</v>
      </c>
      <c r="E624" s="249"/>
      <c r="F624" s="250" t="s">
        <v>82</v>
      </c>
      <c r="G624" s="251" t="s">
        <v>82</v>
      </c>
      <c r="H624" s="251"/>
      <c r="I624" s="252" t="s">
        <v>1675</v>
      </c>
      <c r="J624" s="253"/>
      <c r="K624" s="253"/>
      <c r="L624" s="253"/>
      <c r="M624" s="253" t="s">
        <v>604</v>
      </c>
      <c r="N624" s="247" t="str">
        <f>IF(A624="k_CalRelNum_Cnt_u8[12]","CalRelNum",IF(F624="Y","TunSetCalSeg",IF(F624="N", "FlashCalSeg", "")))</f>
        <v>FlashCalSeg</v>
      </c>
    </row>
    <row r="625" spans="1:14" ht="30.6" x14ac:dyDescent="0.25">
      <c r="A625" s="254" t="s">
        <v>1689</v>
      </c>
      <c r="B625" s="248"/>
      <c r="C625" s="249" t="s">
        <v>1674</v>
      </c>
      <c r="D625" s="249" t="s">
        <v>239</v>
      </c>
      <c r="E625" s="249" t="s">
        <v>1690</v>
      </c>
      <c r="F625" s="250" t="s">
        <v>82</v>
      </c>
      <c r="G625" s="251" t="s">
        <v>82</v>
      </c>
      <c r="H625" s="251"/>
      <c r="I625" s="252" t="s">
        <v>1691</v>
      </c>
      <c r="J625" s="253"/>
      <c r="K625" s="253"/>
      <c r="L625" s="253"/>
      <c r="M625" s="253" t="s">
        <v>604</v>
      </c>
      <c r="N625" s="247" t="str">
        <f>IF(A625="k_CalRelNum_Cnt_u8[12]","CalRelNum",IF(F625="Y","TunSetCalSeg",IF(F625="N", "FlashCalSeg", "")))</f>
        <v>FlashCalSeg</v>
      </c>
    </row>
    <row r="626" spans="1:14" ht="30.6" x14ac:dyDescent="0.25">
      <c r="A626" s="254" t="s">
        <v>1692</v>
      </c>
      <c r="B626" s="248" t="s">
        <v>1693</v>
      </c>
      <c r="C626" s="249" t="s">
        <v>1674</v>
      </c>
      <c r="D626" s="249" t="s">
        <v>239</v>
      </c>
      <c r="E626" s="249" t="s">
        <v>1694</v>
      </c>
      <c r="F626" s="250" t="s">
        <v>82</v>
      </c>
      <c r="G626" s="251" t="s">
        <v>82</v>
      </c>
      <c r="H626" s="251"/>
      <c r="I626" s="252">
        <v>1.2</v>
      </c>
      <c r="J626" s="253">
        <v>0</v>
      </c>
      <c r="K626" s="253">
        <v>2</v>
      </c>
      <c r="L626" s="253" t="s">
        <v>260</v>
      </c>
      <c r="M626" s="253" t="s">
        <v>261</v>
      </c>
      <c r="N626" s="247" t="str">
        <f>IF(A626="k_CalRelNum_Cnt_u8[12]","CalRelNum",IF(F626="Y","TunSetCalSeg",IF(F626="N", "FlashCalSeg", "")))</f>
        <v>FlashCalSeg</v>
      </c>
    </row>
    <row r="627" spans="1:14" ht="30.6" x14ac:dyDescent="0.25">
      <c r="A627" s="254" t="s">
        <v>1695</v>
      </c>
      <c r="B627" s="248" t="s">
        <v>1696</v>
      </c>
      <c r="C627" s="249" t="s">
        <v>1674</v>
      </c>
      <c r="D627" s="249" t="s">
        <v>239</v>
      </c>
      <c r="E627" s="249" t="s">
        <v>1697</v>
      </c>
      <c r="F627" s="250" t="s">
        <v>82</v>
      </c>
      <c r="G627" s="251" t="s">
        <v>82</v>
      </c>
      <c r="H627" s="251"/>
      <c r="I627" s="252">
        <v>0.4</v>
      </c>
      <c r="J627" s="253">
        <v>0</v>
      </c>
      <c r="K627" s="253">
        <v>2</v>
      </c>
      <c r="L627" s="253" t="s">
        <v>260</v>
      </c>
      <c r="M627" s="253" t="s">
        <v>261</v>
      </c>
      <c r="N627" s="247" t="str">
        <f>IF(A627="k_CalRelNum_Cnt_u8[12]","CalRelNum",IF(F627="Y","TunSetCalSeg",IF(F627="N", "FlashCalSeg", "")))</f>
        <v>FlashCalSeg</v>
      </c>
    </row>
    <row r="628" spans="1:14" ht="30.6" x14ac:dyDescent="0.25">
      <c r="A628" s="254" t="s">
        <v>4046</v>
      </c>
      <c r="B628" s="248" t="s">
        <v>4047</v>
      </c>
      <c r="C628" s="249" t="s">
        <v>1674</v>
      </c>
      <c r="D628" s="249" t="s">
        <v>239</v>
      </c>
      <c r="E628" s="249"/>
      <c r="F628" s="250" t="s">
        <v>82</v>
      </c>
      <c r="G628" s="251" t="s">
        <v>82</v>
      </c>
      <c r="H628" s="251"/>
      <c r="I628" s="252">
        <v>1.05</v>
      </c>
      <c r="J628" s="253">
        <v>0.8</v>
      </c>
      <c r="K628" s="253">
        <v>1.2</v>
      </c>
      <c r="L628" s="253" t="s">
        <v>260</v>
      </c>
      <c r="M628" s="253" t="s">
        <v>261</v>
      </c>
      <c r="N628" s="247" t="str">
        <f>IF(A628="k_CalRelNum_Cnt_u8[12]","CalRelNum",IF(F628="Y","TunSetCalSeg",IF(F628="N", "FlashCalSeg", "")))</f>
        <v>FlashCalSeg</v>
      </c>
    </row>
    <row r="629" spans="1:14" ht="30.6" x14ac:dyDescent="0.25">
      <c r="A629" s="254" t="s">
        <v>1698</v>
      </c>
      <c r="B629" s="248" t="s">
        <v>1699</v>
      </c>
      <c r="C629" s="249" t="s">
        <v>1674</v>
      </c>
      <c r="D629" s="249" t="s">
        <v>239</v>
      </c>
      <c r="E629" s="249" t="s">
        <v>1700</v>
      </c>
      <c r="F629" s="250" t="s">
        <v>82</v>
      </c>
      <c r="G629" s="251" t="s">
        <v>82</v>
      </c>
      <c r="H629" s="251"/>
      <c r="I629" s="252">
        <v>300</v>
      </c>
      <c r="J629" s="253">
        <v>0</v>
      </c>
      <c r="K629" s="253">
        <v>1000</v>
      </c>
      <c r="L629" s="253" t="s">
        <v>263</v>
      </c>
      <c r="M629" s="253" t="s">
        <v>261</v>
      </c>
      <c r="N629" s="247" t="str">
        <f>IF(A629="k_CalRelNum_Cnt_u8[12]","CalRelNum",IF(F629="Y","TunSetCalSeg",IF(F629="N", "FlashCalSeg", "")))</f>
        <v>FlashCalSeg</v>
      </c>
    </row>
    <row r="630" spans="1:14" ht="409.6" x14ac:dyDescent="0.25">
      <c r="A630" s="254" t="s">
        <v>1673</v>
      </c>
      <c r="B630" s="248"/>
      <c r="C630" s="249" t="s">
        <v>1674</v>
      </c>
      <c r="D630" s="249" t="s">
        <v>239</v>
      </c>
      <c r="E630" s="249"/>
      <c r="F630" s="250" t="s">
        <v>82</v>
      </c>
      <c r="G630" s="251" t="s">
        <v>82</v>
      </c>
      <c r="H630" s="251"/>
      <c r="I630" s="252" t="s">
        <v>1675</v>
      </c>
      <c r="J630" s="253"/>
      <c r="K630" s="253"/>
      <c r="L630" s="253"/>
      <c r="M630" s="253" t="s">
        <v>604</v>
      </c>
      <c r="N630" s="247" t="str">
        <f>IF(A630="k_CalRelNum_Cnt_u8[12]","CalRelNum",IF(F630="Y","TunSetCalSeg",IF(F630="N", "FlashCalSeg", "")))</f>
        <v>FlashCalSeg</v>
      </c>
    </row>
    <row r="631" spans="1:14" ht="409.6" x14ac:dyDescent="0.25">
      <c r="A631" s="254" t="s">
        <v>1686</v>
      </c>
      <c r="B631" s="248" t="s">
        <v>1687</v>
      </c>
      <c r="C631" s="249" t="s">
        <v>1674</v>
      </c>
      <c r="D631" s="249" t="s">
        <v>5169</v>
      </c>
      <c r="E631" s="249" t="s">
        <v>1688</v>
      </c>
      <c r="F631" s="250" t="s">
        <v>82</v>
      </c>
      <c r="G631" s="251" t="s">
        <v>82</v>
      </c>
      <c r="H631" s="251"/>
      <c r="I631" s="252">
        <v>5760</v>
      </c>
      <c r="J631" s="253">
        <v>0</v>
      </c>
      <c r="K631" s="253">
        <v>200000</v>
      </c>
      <c r="L631" s="253" t="s">
        <v>424</v>
      </c>
      <c r="M631" s="253" t="s">
        <v>321</v>
      </c>
      <c r="N631" s="247" t="str">
        <f>IF(A631="k_CalRelNum_Cnt_u8[12]","CalRelNum",IF(F631="Y","TunSetCalSeg",IF(F631="N", "FlashCalSeg", "")))</f>
        <v>FlashCalSeg</v>
      </c>
    </row>
    <row r="632" spans="1:14" ht="30.6" x14ac:dyDescent="0.25">
      <c r="A632" s="254" t="s">
        <v>1677</v>
      </c>
      <c r="B632" s="248" t="s">
        <v>1678</v>
      </c>
      <c r="C632" s="249" t="s">
        <v>1674</v>
      </c>
      <c r="D632" s="249" t="s">
        <v>5169</v>
      </c>
      <c r="E632" s="249" t="s">
        <v>1679</v>
      </c>
      <c r="F632" s="250" t="s">
        <v>82</v>
      </c>
      <c r="G632" s="251" t="s">
        <v>82</v>
      </c>
      <c r="H632" s="251"/>
      <c r="I632" s="252">
        <v>0</v>
      </c>
      <c r="J632" s="253">
        <v>-10000</v>
      </c>
      <c r="K632" s="253">
        <v>10000</v>
      </c>
      <c r="L632" s="253" t="s">
        <v>424</v>
      </c>
      <c r="M632" s="253" t="s">
        <v>994</v>
      </c>
      <c r="N632" s="247" t="str">
        <f>IF(A632="k_CalRelNum_Cnt_u8[12]","CalRelNum",IF(F632="Y","TunSetCalSeg",IF(F632="N", "FlashCalSeg", "")))</f>
        <v>FlashCalSeg</v>
      </c>
    </row>
    <row r="633" spans="1:14" ht="30.6" x14ac:dyDescent="0.25">
      <c r="A633" s="254" t="s">
        <v>1701</v>
      </c>
      <c r="B633" s="248" t="s">
        <v>1701</v>
      </c>
      <c r="C633" s="249" t="s">
        <v>1703</v>
      </c>
      <c r="D633" s="249" t="s">
        <v>179</v>
      </c>
      <c r="E633" s="249" t="s">
        <v>1702</v>
      </c>
      <c r="F633" s="250" t="s">
        <v>82</v>
      </c>
      <c r="G633" s="251" t="s">
        <v>82</v>
      </c>
      <c r="H633" s="251"/>
      <c r="I633" s="252">
        <v>20</v>
      </c>
      <c r="J633" s="253">
        <v>0</v>
      </c>
      <c r="K633" s="253">
        <v>65535</v>
      </c>
      <c r="L633" s="253" t="s">
        <v>271</v>
      </c>
      <c r="M633" s="253" t="s">
        <v>267</v>
      </c>
      <c r="N633" s="247" t="str">
        <f>IF(A633="k_CalRelNum_Cnt_u8[12]","CalRelNum",IF(F633="Y","TunSetCalSeg",IF(F633="N", "FlashCalSeg", "")))</f>
        <v>FlashCalSeg</v>
      </c>
    </row>
    <row r="634" spans="1:14" ht="30.6" x14ac:dyDescent="0.25">
      <c r="A634" s="254" t="s">
        <v>4232</v>
      </c>
      <c r="B634" s="248" t="s">
        <v>4233</v>
      </c>
      <c r="C634" s="249" t="s">
        <v>1703</v>
      </c>
      <c r="D634" s="249" t="s">
        <v>179</v>
      </c>
      <c r="E634" s="249" t="s">
        <v>4234</v>
      </c>
      <c r="F634" s="250" t="s">
        <v>82</v>
      </c>
      <c r="G634" s="251" t="s">
        <v>82</v>
      </c>
      <c r="H634" s="251"/>
      <c r="I634" s="252">
        <v>16000</v>
      </c>
      <c r="J634" s="253">
        <v>14000</v>
      </c>
      <c r="K634" s="253">
        <v>22000</v>
      </c>
      <c r="L634" s="253" t="s">
        <v>262</v>
      </c>
      <c r="M634" s="253" t="s">
        <v>267</v>
      </c>
      <c r="N634" s="247" t="str">
        <f>IF(A634="k_CalRelNum_Cnt_u8[12]","CalRelNum",IF(F634="Y","TunSetCalSeg",IF(F634="N", "FlashCalSeg", "")))</f>
        <v>FlashCalSeg</v>
      </c>
    </row>
    <row r="635" spans="1:14" ht="30.6" x14ac:dyDescent="0.25">
      <c r="A635" s="254" t="s">
        <v>1794</v>
      </c>
      <c r="B635" s="248"/>
      <c r="C635" s="249" t="s">
        <v>1707</v>
      </c>
      <c r="D635" s="249" t="s">
        <v>1708</v>
      </c>
      <c r="E635" s="249"/>
      <c r="F635" s="250" t="s">
        <v>82</v>
      </c>
      <c r="G635" s="251" t="s">
        <v>82</v>
      </c>
      <c r="H635" s="251"/>
      <c r="I635" s="252" t="s">
        <v>4152</v>
      </c>
      <c r="J635" s="253"/>
      <c r="K635" s="253"/>
      <c r="L635" s="253"/>
      <c r="M635" s="253" t="s">
        <v>604</v>
      </c>
      <c r="N635" s="247" t="str">
        <f>IF(A635="k_CalRelNum_Cnt_u8[12]","CalRelNum",IF(F635="Y","TunSetCalSeg",IF(F635="N", "FlashCalSeg", "")))</f>
        <v>FlashCalSeg</v>
      </c>
    </row>
    <row r="636" spans="1:14" ht="30.6" x14ac:dyDescent="0.25">
      <c r="A636" s="254" t="s">
        <v>1801</v>
      </c>
      <c r="B636" s="248" t="s">
        <v>1802</v>
      </c>
      <c r="C636" s="249" t="s">
        <v>1707</v>
      </c>
      <c r="D636" s="249" t="s">
        <v>1708</v>
      </c>
      <c r="E636" s="249" t="s">
        <v>1803</v>
      </c>
      <c r="F636" s="250" t="s">
        <v>82</v>
      </c>
      <c r="G636" s="251" t="s">
        <v>82</v>
      </c>
      <c r="H636" s="251"/>
      <c r="I636" s="252">
        <v>1</v>
      </c>
      <c r="J636" s="253">
        <v>0</v>
      </c>
      <c r="K636" s="253">
        <v>15</v>
      </c>
      <c r="L636" s="253" t="s">
        <v>424</v>
      </c>
      <c r="M636" s="253" t="s">
        <v>267</v>
      </c>
      <c r="N636" s="247" t="str">
        <f>IF(A636="k_CalRelNum_Cnt_u8[12]","CalRelNum",IF(F636="Y","TunSetCalSeg",IF(F636="N", "FlashCalSeg", "")))</f>
        <v>FlashCalSeg</v>
      </c>
    </row>
    <row r="637" spans="1:14" ht="30.6" x14ac:dyDescent="0.25">
      <c r="A637" s="254" t="s">
        <v>1798</v>
      </c>
      <c r="B637" s="248" t="s">
        <v>1799</v>
      </c>
      <c r="C637" s="249" t="s">
        <v>1707</v>
      </c>
      <c r="D637" s="249" t="s">
        <v>1708</v>
      </c>
      <c r="E637" s="249" t="s">
        <v>1800</v>
      </c>
      <c r="F637" s="250" t="s">
        <v>82</v>
      </c>
      <c r="G637" s="251" t="s">
        <v>82</v>
      </c>
      <c r="H637" s="251"/>
      <c r="I637" s="252">
        <v>2</v>
      </c>
      <c r="J637" s="253">
        <v>0</v>
      </c>
      <c r="K637" s="253">
        <v>15</v>
      </c>
      <c r="L637" s="253" t="s">
        <v>424</v>
      </c>
      <c r="M637" s="253" t="s">
        <v>267</v>
      </c>
      <c r="N637" s="247" t="str">
        <f>IF(A637="k_CalRelNum_Cnt_u8[12]","CalRelNum",IF(F637="Y","TunSetCalSeg",IF(F637="N", "FlashCalSeg", "")))</f>
        <v>FlashCalSeg</v>
      </c>
    </row>
    <row r="638" spans="1:14" ht="40.799999999999997" x14ac:dyDescent="0.25">
      <c r="A638" s="254" t="s">
        <v>1795</v>
      </c>
      <c r="B638" s="248" t="s">
        <v>1796</v>
      </c>
      <c r="C638" s="249" t="s">
        <v>1707</v>
      </c>
      <c r="D638" s="249" t="s">
        <v>1708</v>
      </c>
      <c r="E638" s="249" t="s">
        <v>1797</v>
      </c>
      <c r="F638" s="250" t="s">
        <v>82</v>
      </c>
      <c r="G638" s="251" t="s">
        <v>82</v>
      </c>
      <c r="H638" s="251"/>
      <c r="I638" s="252">
        <v>140</v>
      </c>
      <c r="J638" s="253">
        <v>0</v>
      </c>
      <c r="K638" s="253">
        <v>255</v>
      </c>
      <c r="L638" s="253" t="s">
        <v>424</v>
      </c>
      <c r="M638" s="253" t="s">
        <v>267</v>
      </c>
      <c r="N638" s="247" t="str">
        <f>IF(A638="k_CalRelNum_Cnt_u8[12]","CalRelNum",IF(F638="Y","TunSetCalSeg",IF(F638="N", "FlashCalSeg", "")))</f>
        <v>FlashCalSeg</v>
      </c>
    </row>
    <row r="639" spans="1:14" ht="30.6" x14ac:dyDescent="0.25">
      <c r="A639" s="254" t="s">
        <v>1789</v>
      </c>
      <c r="B639" s="248" t="s">
        <v>1790</v>
      </c>
      <c r="C639" s="249" t="s">
        <v>1707</v>
      </c>
      <c r="D639" s="249" t="s">
        <v>1708</v>
      </c>
      <c r="E639" s="249" t="s">
        <v>1791</v>
      </c>
      <c r="F639" s="250" t="s">
        <v>82</v>
      </c>
      <c r="G639" s="251" t="s">
        <v>82</v>
      </c>
      <c r="H639" s="251"/>
      <c r="I639" s="252">
        <v>2.3438000000000001E-2</v>
      </c>
      <c r="J639" s="253">
        <v>0</v>
      </c>
      <c r="K639" s="253">
        <v>8.8000000000000007</v>
      </c>
      <c r="L639" s="253" t="s">
        <v>256</v>
      </c>
      <c r="M639" s="253" t="s">
        <v>261</v>
      </c>
      <c r="N639" s="247" t="str">
        <f>IF(A639="k_CalRelNum_Cnt_u8[12]","CalRelNum",IF(F639="Y","TunSetCalSeg",IF(F639="N", "FlashCalSeg", "")))</f>
        <v>FlashCalSeg</v>
      </c>
    </row>
    <row r="640" spans="1:14" ht="30.6" x14ac:dyDescent="0.25">
      <c r="A640" s="254" t="s">
        <v>1709</v>
      </c>
      <c r="B640" s="248" t="s">
        <v>1710</v>
      </c>
      <c r="C640" s="249" t="s">
        <v>1707</v>
      </c>
      <c r="D640" s="249" t="s">
        <v>1708</v>
      </c>
      <c r="E640" s="249" t="s">
        <v>1711</v>
      </c>
      <c r="F640" s="250" t="s">
        <v>82</v>
      </c>
      <c r="G640" s="251" t="s">
        <v>82</v>
      </c>
      <c r="H640" s="251"/>
      <c r="I640" s="252" t="b">
        <v>1</v>
      </c>
      <c r="J640" s="253" t="b">
        <v>0</v>
      </c>
      <c r="K640" s="253" t="b">
        <v>1</v>
      </c>
      <c r="L640" s="253" t="s">
        <v>424</v>
      </c>
      <c r="M640" s="253" t="s">
        <v>501</v>
      </c>
      <c r="N640" s="247" t="str">
        <f>IF(A640="k_CalRelNum_Cnt_u8[12]","CalRelNum",IF(F640="Y","TunSetCalSeg",IF(F640="N", "FlashCalSeg", "")))</f>
        <v>FlashCalSeg</v>
      </c>
    </row>
    <row r="641" spans="1:14" ht="30.6" x14ac:dyDescent="0.25">
      <c r="A641" s="254" t="s">
        <v>1815</v>
      </c>
      <c r="B641" s="248" t="s">
        <v>4471</v>
      </c>
      <c r="C641" s="249" t="s">
        <v>1707</v>
      </c>
      <c r="D641" s="249" t="s">
        <v>1708</v>
      </c>
      <c r="E641" s="249"/>
      <c r="F641" s="250" t="s">
        <v>82</v>
      </c>
      <c r="G641" s="251" t="s">
        <v>82</v>
      </c>
      <c r="H641" s="251"/>
      <c r="I641" s="252">
        <v>5000</v>
      </c>
      <c r="J641" s="253">
        <v>0</v>
      </c>
      <c r="K641" s="253">
        <v>20000</v>
      </c>
      <c r="L641" s="253" t="s">
        <v>651</v>
      </c>
      <c r="M641" s="253" t="s">
        <v>261</v>
      </c>
      <c r="N641" s="247" t="str">
        <f>IF(A641="k_CalRelNum_Cnt_u8[12]","CalRelNum",IF(F641="Y","TunSetCalSeg",IF(F641="N", "FlashCalSeg", "")))</f>
        <v>FlashCalSeg</v>
      </c>
    </row>
    <row r="642" spans="1:14" ht="30.6" x14ac:dyDescent="0.25">
      <c r="A642" s="254" t="s">
        <v>1804</v>
      </c>
      <c r="B642" s="248" t="s">
        <v>1805</v>
      </c>
      <c r="C642" s="249" t="s">
        <v>1707</v>
      </c>
      <c r="D642" s="249" t="s">
        <v>1708</v>
      </c>
      <c r="E642" s="249" t="s">
        <v>1806</v>
      </c>
      <c r="F642" s="250" t="s">
        <v>82</v>
      </c>
      <c r="G642" s="251" t="s">
        <v>82</v>
      </c>
      <c r="H642" s="251"/>
      <c r="I642" s="252">
        <v>92</v>
      </c>
      <c r="J642" s="253">
        <v>0</v>
      </c>
      <c r="K642" s="253">
        <v>100</v>
      </c>
      <c r="L642" s="253" t="s">
        <v>300</v>
      </c>
      <c r="M642" s="253" t="s">
        <v>425</v>
      </c>
      <c r="N642" s="247" t="str">
        <f>IF(A642="k_CalRelNum_Cnt_u8[12]","CalRelNum",IF(F642="Y","TunSetCalSeg",IF(F642="N", "FlashCalSeg", "")))</f>
        <v>FlashCalSeg</v>
      </c>
    </row>
    <row r="643" spans="1:14" ht="30.6" x14ac:dyDescent="0.25">
      <c r="A643" s="254" t="s">
        <v>1704</v>
      </c>
      <c r="B643" s="248" t="s">
        <v>1705</v>
      </c>
      <c r="C643" s="249" t="s">
        <v>1707</v>
      </c>
      <c r="D643" s="249" t="s">
        <v>1708</v>
      </c>
      <c r="E643" s="249" t="s">
        <v>1706</v>
      </c>
      <c r="F643" s="250" t="s">
        <v>82</v>
      </c>
      <c r="G643" s="251" t="s">
        <v>82</v>
      </c>
      <c r="H643" s="251"/>
      <c r="I643" s="252">
        <v>70</v>
      </c>
      <c r="J643" s="253">
        <v>-40</v>
      </c>
      <c r="K643" s="253">
        <v>150</v>
      </c>
      <c r="L643" s="253" t="s">
        <v>558</v>
      </c>
      <c r="M643" s="253" t="s">
        <v>261</v>
      </c>
      <c r="N643" s="247" t="str">
        <f>IF(A643="k_CalRelNum_Cnt_u8[12]","CalRelNum",IF(F643="Y","TunSetCalSeg",IF(F643="N", "FlashCalSeg", "")))</f>
        <v>FlashCalSeg</v>
      </c>
    </row>
    <row r="644" spans="1:14" ht="30.6" x14ac:dyDescent="0.25">
      <c r="A644" s="254" t="s">
        <v>4472</v>
      </c>
      <c r="B644" s="248" t="s">
        <v>4473</v>
      </c>
      <c r="C644" s="249" t="s">
        <v>1707</v>
      </c>
      <c r="D644" s="249" t="s">
        <v>1708</v>
      </c>
      <c r="E644" s="249"/>
      <c r="F644" s="250" t="s">
        <v>82</v>
      </c>
      <c r="G644" s="251" t="s">
        <v>82</v>
      </c>
      <c r="H644" s="251"/>
      <c r="I644" s="252" t="b">
        <v>0</v>
      </c>
      <c r="J644" s="253" t="b">
        <v>0</v>
      </c>
      <c r="K644" s="253" t="b">
        <v>1</v>
      </c>
      <c r="L644" s="253" t="s">
        <v>424</v>
      </c>
      <c r="M644" s="253" t="s">
        <v>501</v>
      </c>
      <c r="N644" s="247" t="str">
        <f>IF(A644="k_CalRelNum_Cnt_u8[12]","CalRelNum",IF(F644="Y","TunSetCalSeg",IF(F644="N", "FlashCalSeg", "")))</f>
        <v>FlashCalSeg</v>
      </c>
    </row>
    <row r="645" spans="1:14" ht="30.6" x14ac:dyDescent="0.25">
      <c r="A645" s="254" t="s">
        <v>4474</v>
      </c>
      <c r="B645" s="248" t="s">
        <v>4475</v>
      </c>
      <c r="C645" s="249" t="s">
        <v>1707</v>
      </c>
      <c r="D645" s="249" t="s">
        <v>1708</v>
      </c>
      <c r="E645" s="249"/>
      <c r="F645" s="250" t="s">
        <v>82</v>
      </c>
      <c r="G645" s="251" t="s">
        <v>82</v>
      </c>
      <c r="H645" s="251"/>
      <c r="I645" s="252">
        <v>0.5</v>
      </c>
      <c r="J645" s="253">
        <v>0</v>
      </c>
      <c r="K645" s="253">
        <v>60</v>
      </c>
      <c r="L645" s="253" t="s">
        <v>651</v>
      </c>
      <c r="M645" s="253" t="s">
        <v>261</v>
      </c>
      <c r="N645" s="247" t="str">
        <f>IF(A645="k_CalRelNum_Cnt_u8[12]","CalRelNum",IF(F645="Y","TunSetCalSeg",IF(F645="N", "FlashCalSeg", "")))</f>
        <v>FlashCalSeg</v>
      </c>
    </row>
    <row r="646" spans="1:14" ht="30.6" x14ac:dyDescent="0.25">
      <c r="A646" s="254" t="s">
        <v>1712</v>
      </c>
      <c r="B646" s="248" t="s">
        <v>1713</v>
      </c>
      <c r="C646" s="249" t="s">
        <v>1707</v>
      </c>
      <c r="D646" s="249" t="s">
        <v>1708</v>
      </c>
      <c r="E646" s="249" t="s">
        <v>1714</v>
      </c>
      <c r="F646" s="250" t="s">
        <v>82</v>
      </c>
      <c r="G646" s="251" t="s">
        <v>82</v>
      </c>
      <c r="H646" s="251"/>
      <c r="I646" s="252" t="b">
        <v>1</v>
      </c>
      <c r="J646" s="253" t="b">
        <v>0</v>
      </c>
      <c r="K646" s="253" t="b">
        <v>1</v>
      </c>
      <c r="L646" s="253" t="s">
        <v>424</v>
      </c>
      <c r="M646" s="253" t="s">
        <v>501</v>
      </c>
      <c r="N646" s="247" t="str">
        <f>IF(A646="k_CalRelNum_Cnt_u8[12]","CalRelNum",IF(F646="Y","TunSetCalSeg",IF(F646="N", "FlashCalSeg", "")))</f>
        <v>FlashCalSeg</v>
      </c>
    </row>
    <row r="647" spans="1:14" ht="30.6" x14ac:dyDescent="0.25">
      <c r="A647" s="254" t="s">
        <v>1792</v>
      </c>
      <c r="B647" s="248" t="s">
        <v>1793</v>
      </c>
      <c r="C647" s="249" t="s">
        <v>1707</v>
      </c>
      <c r="D647" s="249" t="s">
        <v>1708</v>
      </c>
      <c r="E647" s="249" t="s">
        <v>1782</v>
      </c>
      <c r="F647" s="250" t="s">
        <v>82</v>
      </c>
      <c r="G647" s="251" t="s">
        <v>82</v>
      </c>
      <c r="H647" s="251"/>
      <c r="I647" s="252" t="b">
        <v>1</v>
      </c>
      <c r="J647" s="253" t="b">
        <v>0</v>
      </c>
      <c r="K647" s="253" t="b">
        <v>1</v>
      </c>
      <c r="L647" s="253" t="s">
        <v>424</v>
      </c>
      <c r="M647" s="253" t="s">
        <v>501</v>
      </c>
      <c r="N647" s="247" t="str">
        <f>IF(A647="k_CalRelNum_Cnt_u8[12]","CalRelNum",IF(F647="Y","TunSetCalSeg",IF(F647="N", "FlashCalSeg", "")))</f>
        <v>FlashCalSeg</v>
      </c>
    </row>
    <row r="648" spans="1:14" ht="30.6" x14ac:dyDescent="0.25">
      <c r="A648" s="254" t="s">
        <v>1780</v>
      </c>
      <c r="B648" s="248" t="s">
        <v>1781</v>
      </c>
      <c r="C648" s="249" t="s">
        <v>1707</v>
      </c>
      <c r="D648" s="249" t="s">
        <v>1708</v>
      </c>
      <c r="E648" s="249" t="s">
        <v>1782</v>
      </c>
      <c r="F648" s="250" t="s">
        <v>82</v>
      </c>
      <c r="G648" s="251" t="s">
        <v>82</v>
      </c>
      <c r="H648" s="251"/>
      <c r="I648" s="252" t="b">
        <v>0</v>
      </c>
      <c r="J648" s="253" t="b">
        <v>0</v>
      </c>
      <c r="K648" s="253" t="b">
        <v>1</v>
      </c>
      <c r="L648" s="253" t="s">
        <v>424</v>
      </c>
      <c r="M648" s="253" t="s">
        <v>501</v>
      </c>
      <c r="N648" s="247" t="str">
        <f>IF(A648="k_CalRelNum_Cnt_u8[12]","CalRelNum",IF(F648="Y","TunSetCalSeg",IF(F648="N", "FlashCalSeg", "")))</f>
        <v>FlashCalSeg</v>
      </c>
    </row>
    <row r="649" spans="1:14" ht="30.6" x14ac:dyDescent="0.25">
      <c r="A649" s="254" t="s">
        <v>1774</v>
      </c>
      <c r="B649" s="248" t="s">
        <v>1775</v>
      </c>
      <c r="C649" s="249" t="s">
        <v>1707</v>
      </c>
      <c r="D649" s="249" t="s">
        <v>1708</v>
      </c>
      <c r="E649" s="249" t="s">
        <v>1776</v>
      </c>
      <c r="F649" s="250" t="s">
        <v>82</v>
      </c>
      <c r="G649" s="251" t="s">
        <v>82</v>
      </c>
      <c r="H649" s="251"/>
      <c r="I649" s="252">
        <v>3.90625E-2</v>
      </c>
      <c r="J649" s="253">
        <v>0</v>
      </c>
      <c r="K649" s="253">
        <v>8.8000000000000007</v>
      </c>
      <c r="L649" s="253" t="s">
        <v>256</v>
      </c>
      <c r="M649" s="253" t="s">
        <v>370</v>
      </c>
      <c r="N649" s="247" t="str">
        <f>IF(A649="k_CalRelNum_Cnt_u8[12]","CalRelNum",IF(F649="Y","TunSetCalSeg",IF(F649="N", "FlashCalSeg", "")))</f>
        <v>FlashCalSeg</v>
      </c>
    </row>
    <row r="650" spans="1:14" ht="40.799999999999997" x14ac:dyDescent="0.25">
      <c r="A650" s="254" t="s">
        <v>1777</v>
      </c>
      <c r="B650" s="248" t="s">
        <v>1778</v>
      </c>
      <c r="C650" s="249" t="s">
        <v>1707</v>
      </c>
      <c r="D650" s="249" t="s">
        <v>1708</v>
      </c>
      <c r="E650" s="249" t="s">
        <v>1779</v>
      </c>
      <c r="F650" s="250" t="s">
        <v>82</v>
      </c>
      <c r="G650" s="251" t="s">
        <v>82</v>
      </c>
      <c r="H650" s="251"/>
      <c r="I650" s="252">
        <v>3.90625E-2</v>
      </c>
      <c r="J650" s="253">
        <v>0</v>
      </c>
      <c r="K650" s="253">
        <v>5.75</v>
      </c>
      <c r="L650" s="253" t="s">
        <v>256</v>
      </c>
      <c r="M650" s="253" t="s">
        <v>370</v>
      </c>
      <c r="N650" s="247" t="str">
        <f>IF(A650="k_CalRelNum_Cnt_u8[12]","CalRelNum",IF(F650="Y","TunSetCalSeg",IF(F650="N", "FlashCalSeg", "")))</f>
        <v>FlashCalSeg</v>
      </c>
    </row>
    <row r="651" spans="1:14" ht="40.799999999999997" x14ac:dyDescent="0.25">
      <c r="A651" s="254" t="s">
        <v>4048</v>
      </c>
      <c r="B651" s="248" t="s">
        <v>4049</v>
      </c>
      <c r="C651" s="249" t="s">
        <v>1707</v>
      </c>
      <c r="D651" s="249" t="s">
        <v>1708</v>
      </c>
      <c r="E651" s="249" t="s">
        <v>1783</v>
      </c>
      <c r="F651" s="250" t="s">
        <v>82</v>
      </c>
      <c r="G651" s="251" t="s">
        <v>82</v>
      </c>
      <c r="H651" s="251" t="s">
        <v>1784</v>
      </c>
      <c r="I651" s="252" t="s">
        <v>1785</v>
      </c>
      <c r="J651" s="253">
        <v>-40</v>
      </c>
      <c r="K651" s="253">
        <v>150</v>
      </c>
      <c r="L651" s="253" t="s">
        <v>558</v>
      </c>
      <c r="M651" s="253" t="s">
        <v>1720</v>
      </c>
      <c r="N651" s="247" t="str">
        <f>IF(A651="k_CalRelNum_Cnt_u8[12]","CalRelNum",IF(F651="Y","TunSetCalSeg",IF(F651="N", "FlashCalSeg", "")))</f>
        <v>FlashCalSeg</v>
      </c>
    </row>
    <row r="652" spans="1:14" ht="40.799999999999997" x14ac:dyDescent="0.25">
      <c r="A652" s="254" t="s">
        <v>4050</v>
      </c>
      <c r="B652" s="248" t="s">
        <v>4051</v>
      </c>
      <c r="C652" s="249" t="s">
        <v>1707</v>
      </c>
      <c r="D652" s="249" t="s">
        <v>1708</v>
      </c>
      <c r="E652" s="249" t="s">
        <v>1786</v>
      </c>
      <c r="F652" s="250" t="s">
        <v>82</v>
      </c>
      <c r="G652" s="251" t="s">
        <v>82</v>
      </c>
      <c r="H652" s="251" t="s">
        <v>1787</v>
      </c>
      <c r="I652" s="252" t="s">
        <v>1788</v>
      </c>
      <c r="J652" s="253">
        <v>0</v>
      </c>
      <c r="K652" s="253">
        <v>8.8000000000000007</v>
      </c>
      <c r="L652" s="253" t="s">
        <v>256</v>
      </c>
      <c r="M652" s="253" t="s">
        <v>370</v>
      </c>
      <c r="N652" s="247" t="str">
        <f>IF(A652="k_CalRelNum_Cnt_u8[12]","CalRelNum",IF(F652="Y","TunSetCalSeg",IF(F652="N", "FlashCalSeg", "")))</f>
        <v>FlashCalSeg</v>
      </c>
    </row>
    <row r="653" spans="1:14" ht="40.799999999999997" x14ac:dyDescent="0.25">
      <c r="A653" s="254" t="s">
        <v>4052</v>
      </c>
      <c r="B653" s="248" t="s">
        <v>4053</v>
      </c>
      <c r="C653" s="249" t="s">
        <v>1707</v>
      </c>
      <c r="D653" s="249" t="s">
        <v>1708</v>
      </c>
      <c r="E653" s="249" t="s">
        <v>1783</v>
      </c>
      <c r="F653" s="250" t="s">
        <v>82</v>
      </c>
      <c r="G653" s="251" t="s">
        <v>82</v>
      </c>
      <c r="H653" s="251" t="s">
        <v>1784</v>
      </c>
      <c r="I653" s="252" t="s">
        <v>1785</v>
      </c>
      <c r="J653" s="253">
        <v>-40</v>
      </c>
      <c r="K653" s="253">
        <v>300</v>
      </c>
      <c r="L653" s="253" t="s">
        <v>558</v>
      </c>
      <c r="M653" s="253" t="s">
        <v>1720</v>
      </c>
      <c r="N653" s="247" t="str">
        <f>IF(A653="k_CalRelNum_Cnt_u8[12]","CalRelNum",IF(F653="Y","TunSetCalSeg",IF(F653="N", "FlashCalSeg", "")))</f>
        <v>FlashCalSeg</v>
      </c>
    </row>
    <row r="654" spans="1:14" ht="30.6" x14ac:dyDescent="0.25">
      <c r="A654" s="254" t="s">
        <v>4054</v>
      </c>
      <c r="B654" s="248" t="s">
        <v>4055</v>
      </c>
      <c r="C654" s="249" t="s">
        <v>1707</v>
      </c>
      <c r="D654" s="249" t="s">
        <v>1708</v>
      </c>
      <c r="E654" s="249" t="s">
        <v>1786</v>
      </c>
      <c r="F654" s="250" t="s">
        <v>82</v>
      </c>
      <c r="G654" s="251" t="s">
        <v>82</v>
      </c>
      <c r="H654" s="251" t="s">
        <v>1787</v>
      </c>
      <c r="I654" s="252" t="s">
        <v>1788</v>
      </c>
      <c r="J654" s="253">
        <v>0</v>
      </c>
      <c r="K654" s="253">
        <v>8.8000000000000007</v>
      </c>
      <c r="L654" s="253" t="s">
        <v>256</v>
      </c>
      <c r="M654" s="253" t="s">
        <v>370</v>
      </c>
      <c r="N654" s="247" t="str">
        <f>IF(A654="k_CalRelNum_Cnt_u8[12]","CalRelNum",IF(F654="Y","TunSetCalSeg",IF(F654="N", "FlashCalSeg", "")))</f>
        <v>FlashCalSeg</v>
      </c>
    </row>
    <row r="655" spans="1:14" ht="30.6" x14ac:dyDescent="0.25">
      <c r="A655" s="254" t="s">
        <v>1766</v>
      </c>
      <c r="B655" s="248" t="s">
        <v>1767</v>
      </c>
      <c r="C655" s="249" t="s">
        <v>1707</v>
      </c>
      <c r="D655" s="249" t="s">
        <v>1708</v>
      </c>
      <c r="E655" s="249" t="s">
        <v>1723</v>
      </c>
      <c r="F655" s="250" t="s">
        <v>82</v>
      </c>
      <c r="G655" s="251" t="s">
        <v>82</v>
      </c>
      <c r="H655" s="251" t="s">
        <v>1768</v>
      </c>
      <c r="I655" s="252" t="s">
        <v>1769</v>
      </c>
      <c r="J655" s="253">
        <v>0</v>
      </c>
      <c r="K655" s="253">
        <v>8.8000000000000007</v>
      </c>
      <c r="L655" s="253" t="s">
        <v>256</v>
      </c>
      <c r="M655" s="253" t="s">
        <v>370</v>
      </c>
      <c r="N655" s="247" t="str">
        <f>IF(A655="k_CalRelNum_Cnt_u8[12]","CalRelNum",IF(F655="Y","TunSetCalSeg",IF(F655="N", "FlashCalSeg", "")))</f>
        <v>FlashCalSeg</v>
      </c>
    </row>
    <row r="656" spans="1:14" ht="30.6" x14ac:dyDescent="0.25">
      <c r="A656" s="254" t="s">
        <v>1770</v>
      </c>
      <c r="B656" s="248" t="s">
        <v>1771</v>
      </c>
      <c r="C656" s="249" t="s">
        <v>1707</v>
      </c>
      <c r="D656" s="249" t="s">
        <v>1708</v>
      </c>
      <c r="E656" s="249" t="s">
        <v>1723</v>
      </c>
      <c r="F656" s="250" t="s">
        <v>82</v>
      </c>
      <c r="G656" s="251" t="s">
        <v>82</v>
      </c>
      <c r="H656" s="251" t="s">
        <v>1772</v>
      </c>
      <c r="I656" s="252" t="s">
        <v>1773</v>
      </c>
      <c r="J656" s="253">
        <v>0</v>
      </c>
      <c r="K656" s="253">
        <v>8.8000000000000007</v>
      </c>
      <c r="L656" s="253" t="s">
        <v>256</v>
      </c>
      <c r="M656" s="253" t="s">
        <v>370</v>
      </c>
      <c r="N656" s="247" t="str">
        <f>IF(A656="k_CalRelNum_Cnt_u8[12]","CalRelNum",IF(F656="Y","TunSetCalSeg",IF(F656="N", "FlashCalSeg", "")))</f>
        <v>FlashCalSeg</v>
      </c>
    </row>
    <row r="657" spans="1:14" ht="30.6" x14ac:dyDescent="0.25">
      <c r="A657" s="254" t="s">
        <v>1721</v>
      </c>
      <c r="B657" s="248" t="s">
        <v>1722</v>
      </c>
      <c r="C657" s="249" t="s">
        <v>1707</v>
      </c>
      <c r="D657" s="249" t="s">
        <v>1708</v>
      </c>
      <c r="E657" s="249" t="s">
        <v>1723</v>
      </c>
      <c r="F657" s="250" t="s">
        <v>82</v>
      </c>
      <c r="G657" s="251" t="s">
        <v>82</v>
      </c>
      <c r="H657" s="251" t="s">
        <v>1724</v>
      </c>
      <c r="I657" s="252" t="s">
        <v>1725</v>
      </c>
      <c r="J657" s="253">
        <v>0</v>
      </c>
      <c r="K657" s="253">
        <v>0.5</v>
      </c>
      <c r="L657" s="253" t="s">
        <v>300</v>
      </c>
      <c r="M657" s="253" t="s">
        <v>1028</v>
      </c>
      <c r="N657" s="247" t="str">
        <f>IF(A657="k_CalRelNum_Cnt_u8[12]","CalRelNum",IF(F657="Y","TunSetCalSeg",IF(F657="N", "FlashCalSeg", "")))</f>
        <v>FlashCalSeg</v>
      </c>
    </row>
    <row r="658" spans="1:14" ht="30.6" x14ac:dyDescent="0.25">
      <c r="A658" s="254" t="s">
        <v>1745</v>
      </c>
      <c r="B658" s="248" t="s">
        <v>1746</v>
      </c>
      <c r="C658" s="249" t="s">
        <v>1707</v>
      </c>
      <c r="D658" s="249" t="s">
        <v>1708</v>
      </c>
      <c r="E658" s="249" t="s">
        <v>1723</v>
      </c>
      <c r="F658" s="250" t="s">
        <v>82</v>
      </c>
      <c r="G658" s="251" t="s">
        <v>82</v>
      </c>
      <c r="H658" s="251" t="s">
        <v>1747</v>
      </c>
      <c r="I658" s="252" t="s">
        <v>1748</v>
      </c>
      <c r="J658" s="253">
        <v>0</v>
      </c>
      <c r="K658" s="253">
        <v>0.5</v>
      </c>
      <c r="L658" s="253" t="s">
        <v>300</v>
      </c>
      <c r="M658" s="253" t="s">
        <v>1028</v>
      </c>
      <c r="N658" s="247" t="str">
        <f>IF(A658="k_CalRelNum_Cnt_u8[12]","CalRelNum",IF(F658="Y","TunSetCalSeg",IF(F658="N", "FlashCalSeg", "")))</f>
        <v>FlashCalSeg</v>
      </c>
    </row>
    <row r="659" spans="1:14" ht="30.6" x14ac:dyDescent="0.25">
      <c r="A659" s="254" t="s">
        <v>1726</v>
      </c>
      <c r="B659" s="248" t="s">
        <v>1727</v>
      </c>
      <c r="C659" s="249" t="s">
        <v>1707</v>
      </c>
      <c r="D659" s="249" t="s">
        <v>1708</v>
      </c>
      <c r="E659" s="249" t="s">
        <v>1723</v>
      </c>
      <c r="F659" s="250" t="s">
        <v>82</v>
      </c>
      <c r="G659" s="251" t="s">
        <v>82</v>
      </c>
      <c r="H659" s="251" t="s">
        <v>1728</v>
      </c>
      <c r="I659" s="252" t="s">
        <v>1729</v>
      </c>
      <c r="J659" s="253">
        <v>0</v>
      </c>
      <c r="K659" s="253">
        <v>0.5</v>
      </c>
      <c r="L659" s="253" t="s">
        <v>300</v>
      </c>
      <c r="M659" s="253" t="s">
        <v>1028</v>
      </c>
      <c r="N659" s="247" t="str">
        <f>IF(A659="k_CalRelNum_Cnt_u8[12]","CalRelNum",IF(F659="Y","TunSetCalSeg",IF(F659="N", "FlashCalSeg", "")))</f>
        <v>FlashCalSeg</v>
      </c>
    </row>
    <row r="660" spans="1:14" ht="30.6" x14ac:dyDescent="0.25">
      <c r="A660" s="254" t="s">
        <v>1749</v>
      </c>
      <c r="B660" s="248" t="s">
        <v>1750</v>
      </c>
      <c r="C660" s="249" t="s">
        <v>1707</v>
      </c>
      <c r="D660" s="249" t="s">
        <v>1708</v>
      </c>
      <c r="E660" s="249" t="s">
        <v>1723</v>
      </c>
      <c r="F660" s="250" t="s">
        <v>82</v>
      </c>
      <c r="G660" s="251" t="s">
        <v>82</v>
      </c>
      <c r="H660" s="251" t="s">
        <v>1751</v>
      </c>
      <c r="I660" s="252" t="s">
        <v>1752</v>
      </c>
      <c r="J660" s="253">
        <v>0</v>
      </c>
      <c r="K660" s="253">
        <v>0.5</v>
      </c>
      <c r="L660" s="253" t="s">
        <v>300</v>
      </c>
      <c r="M660" s="253" t="s">
        <v>1028</v>
      </c>
      <c r="N660" s="247" t="str">
        <f>IF(A660="k_CalRelNum_Cnt_u8[12]","CalRelNum",IF(F660="Y","TunSetCalSeg",IF(F660="N", "FlashCalSeg", "")))</f>
        <v>FlashCalSeg</v>
      </c>
    </row>
    <row r="661" spans="1:14" ht="30.6" x14ac:dyDescent="0.25">
      <c r="A661" s="254" t="s">
        <v>1730</v>
      </c>
      <c r="B661" s="248" t="s">
        <v>1731</v>
      </c>
      <c r="C661" s="249" t="s">
        <v>1707</v>
      </c>
      <c r="D661" s="249" t="s">
        <v>1708</v>
      </c>
      <c r="E661" s="249" t="s">
        <v>1723</v>
      </c>
      <c r="F661" s="250" t="s">
        <v>82</v>
      </c>
      <c r="G661" s="251" t="s">
        <v>82</v>
      </c>
      <c r="H661" s="251" t="s">
        <v>1732</v>
      </c>
      <c r="I661" s="252" t="s">
        <v>1733</v>
      </c>
      <c r="J661" s="253">
        <v>0</v>
      </c>
      <c r="K661" s="253">
        <v>0.5</v>
      </c>
      <c r="L661" s="253" t="s">
        <v>300</v>
      </c>
      <c r="M661" s="253" t="s">
        <v>1028</v>
      </c>
      <c r="N661" s="247" t="str">
        <f>IF(A661="k_CalRelNum_Cnt_u8[12]","CalRelNum",IF(F661="Y","TunSetCalSeg",IF(F661="N", "FlashCalSeg", "")))</f>
        <v>FlashCalSeg</v>
      </c>
    </row>
    <row r="662" spans="1:14" ht="30.6" x14ac:dyDescent="0.25">
      <c r="A662" s="254" t="s">
        <v>1753</v>
      </c>
      <c r="B662" s="248" t="s">
        <v>1754</v>
      </c>
      <c r="C662" s="249" t="s">
        <v>1707</v>
      </c>
      <c r="D662" s="249" t="s">
        <v>1708</v>
      </c>
      <c r="E662" s="249" t="s">
        <v>1723</v>
      </c>
      <c r="F662" s="250" t="s">
        <v>82</v>
      </c>
      <c r="G662" s="251" t="s">
        <v>82</v>
      </c>
      <c r="H662" s="251" t="s">
        <v>1755</v>
      </c>
      <c r="I662" s="252" t="s">
        <v>1756</v>
      </c>
      <c r="J662" s="253">
        <v>0</v>
      </c>
      <c r="K662" s="253">
        <v>0.5</v>
      </c>
      <c r="L662" s="253" t="s">
        <v>300</v>
      </c>
      <c r="M662" s="253" t="s">
        <v>1028</v>
      </c>
      <c r="N662" s="247" t="str">
        <f>IF(A662="k_CalRelNum_Cnt_u8[12]","CalRelNum",IF(F662="Y","TunSetCalSeg",IF(F662="N", "FlashCalSeg", "")))</f>
        <v>FlashCalSeg</v>
      </c>
    </row>
    <row r="663" spans="1:14" ht="30.6" x14ac:dyDescent="0.25">
      <c r="A663" s="254" t="s">
        <v>1734</v>
      </c>
      <c r="B663" s="248" t="s">
        <v>1735</v>
      </c>
      <c r="C663" s="249" t="s">
        <v>1707</v>
      </c>
      <c r="D663" s="249" t="s">
        <v>1708</v>
      </c>
      <c r="E663" s="249" t="s">
        <v>1723</v>
      </c>
      <c r="F663" s="250" t="s">
        <v>82</v>
      </c>
      <c r="G663" s="251" t="s">
        <v>82</v>
      </c>
      <c r="H663" s="251" t="s">
        <v>1736</v>
      </c>
      <c r="I663" s="252" t="s">
        <v>1737</v>
      </c>
      <c r="J663" s="253">
        <v>0</v>
      </c>
      <c r="K663" s="253">
        <v>0.5</v>
      </c>
      <c r="L663" s="253" t="s">
        <v>300</v>
      </c>
      <c r="M663" s="253" t="s">
        <v>1028</v>
      </c>
      <c r="N663" s="247" t="str">
        <f>IF(A663="k_CalRelNum_Cnt_u8[12]","CalRelNum",IF(F663="Y","TunSetCalSeg",IF(F663="N", "FlashCalSeg", "")))</f>
        <v>FlashCalSeg</v>
      </c>
    </row>
    <row r="664" spans="1:14" ht="30.6" x14ac:dyDescent="0.25">
      <c r="A664" s="254" t="s">
        <v>1757</v>
      </c>
      <c r="B664" s="248" t="s">
        <v>1758</v>
      </c>
      <c r="C664" s="249" t="s">
        <v>1707</v>
      </c>
      <c r="D664" s="249" t="s">
        <v>1708</v>
      </c>
      <c r="E664" s="249" t="s">
        <v>1723</v>
      </c>
      <c r="F664" s="250" t="s">
        <v>82</v>
      </c>
      <c r="G664" s="251" t="s">
        <v>82</v>
      </c>
      <c r="H664" s="251" t="s">
        <v>1759</v>
      </c>
      <c r="I664" s="252" t="s">
        <v>1737</v>
      </c>
      <c r="J664" s="253">
        <v>0</v>
      </c>
      <c r="K664" s="253">
        <v>0.5</v>
      </c>
      <c r="L664" s="253" t="s">
        <v>300</v>
      </c>
      <c r="M664" s="253" t="s">
        <v>1028</v>
      </c>
      <c r="N664" s="247" t="str">
        <f>IF(A664="k_CalRelNum_Cnt_u8[12]","CalRelNum",IF(F664="Y","TunSetCalSeg",IF(F664="N", "FlashCalSeg", "")))</f>
        <v>FlashCalSeg</v>
      </c>
    </row>
    <row r="665" spans="1:14" ht="30.6" x14ac:dyDescent="0.25">
      <c r="A665" s="254" t="s">
        <v>1738</v>
      </c>
      <c r="B665" s="248" t="s">
        <v>1739</v>
      </c>
      <c r="C665" s="249" t="s">
        <v>1707</v>
      </c>
      <c r="D665" s="249" t="s">
        <v>1708</v>
      </c>
      <c r="E665" s="249" t="s">
        <v>1723</v>
      </c>
      <c r="F665" s="250" t="s">
        <v>82</v>
      </c>
      <c r="G665" s="251" t="s">
        <v>82</v>
      </c>
      <c r="H665" s="251" t="s">
        <v>1740</v>
      </c>
      <c r="I665" s="252" t="s">
        <v>1741</v>
      </c>
      <c r="J665" s="253">
        <v>0</v>
      </c>
      <c r="K665" s="253">
        <v>2</v>
      </c>
      <c r="L665" s="253" t="s">
        <v>300</v>
      </c>
      <c r="M665" s="253" t="s">
        <v>1028</v>
      </c>
      <c r="N665" s="247" t="str">
        <f>IF(A665="k_CalRelNum_Cnt_u8[12]","CalRelNum",IF(F665="Y","TunSetCalSeg",IF(F665="N", "FlashCalSeg", "")))</f>
        <v>FlashCalSeg</v>
      </c>
    </row>
    <row r="666" spans="1:14" ht="30.6" x14ac:dyDescent="0.25">
      <c r="A666" s="254" t="s">
        <v>1760</v>
      </c>
      <c r="B666" s="248" t="s">
        <v>1761</v>
      </c>
      <c r="C666" s="249" t="s">
        <v>1707</v>
      </c>
      <c r="D666" s="249" t="s">
        <v>1708</v>
      </c>
      <c r="E666" s="249" t="s">
        <v>1723</v>
      </c>
      <c r="F666" s="250" t="s">
        <v>82</v>
      </c>
      <c r="G666" s="251" t="s">
        <v>82</v>
      </c>
      <c r="H666" s="251" t="s">
        <v>1762</v>
      </c>
      <c r="I666" s="252" t="s">
        <v>1741</v>
      </c>
      <c r="J666" s="253">
        <v>0</v>
      </c>
      <c r="K666" s="253">
        <v>2</v>
      </c>
      <c r="L666" s="253" t="s">
        <v>300</v>
      </c>
      <c r="M666" s="253" t="s">
        <v>1028</v>
      </c>
      <c r="N666" s="247" t="str">
        <f>IF(A666="k_CalRelNum_Cnt_u8[12]","CalRelNum",IF(F666="Y","TunSetCalSeg",IF(F666="N", "FlashCalSeg", "")))</f>
        <v>FlashCalSeg</v>
      </c>
    </row>
    <row r="667" spans="1:14" ht="30.6" x14ac:dyDescent="0.25">
      <c r="A667" s="254" t="s">
        <v>1742</v>
      </c>
      <c r="B667" s="248" t="s">
        <v>1743</v>
      </c>
      <c r="C667" s="249" t="s">
        <v>1707</v>
      </c>
      <c r="D667" s="249" t="s">
        <v>1708</v>
      </c>
      <c r="E667" s="249" t="s">
        <v>1723</v>
      </c>
      <c r="F667" s="250" t="s">
        <v>82</v>
      </c>
      <c r="G667" s="251" t="s">
        <v>82</v>
      </c>
      <c r="H667" s="251" t="s">
        <v>1744</v>
      </c>
      <c r="I667" s="252" t="s">
        <v>1737</v>
      </c>
      <c r="J667" s="253">
        <v>0</v>
      </c>
      <c r="K667" s="253">
        <v>2</v>
      </c>
      <c r="L667" s="253" t="s">
        <v>300</v>
      </c>
      <c r="M667" s="253" t="s">
        <v>1028</v>
      </c>
      <c r="N667" s="247" t="str">
        <f>IF(A667="k_CalRelNum_Cnt_u8[12]","CalRelNum",IF(F667="Y","TunSetCalSeg",IF(F667="N", "FlashCalSeg", "")))</f>
        <v>FlashCalSeg</v>
      </c>
    </row>
    <row r="668" spans="1:14" ht="285.60000000000002" x14ac:dyDescent="0.25">
      <c r="A668" s="254" t="s">
        <v>1763</v>
      </c>
      <c r="B668" s="248" t="s">
        <v>1764</v>
      </c>
      <c r="C668" s="249" t="s">
        <v>1707</v>
      </c>
      <c r="D668" s="249" t="s">
        <v>1708</v>
      </c>
      <c r="E668" s="249" t="s">
        <v>1723</v>
      </c>
      <c r="F668" s="250" t="s">
        <v>82</v>
      </c>
      <c r="G668" s="251" t="s">
        <v>82</v>
      </c>
      <c r="H668" s="251" t="s">
        <v>1765</v>
      </c>
      <c r="I668" s="252" t="s">
        <v>1737</v>
      </c>
      <c r="J668" s="253">
        <v>0</v>
      </c>
      <c r="K668" s="253">
        <v>2</v>
      </c>
      <c r="L668" s="253" t="s">
        <v>300</v>
      </c>
      <c r="M668" s="253" t="s">
        <v>1028</v>
      </c>
      <c r="N668" s="247" t="str">
        <f>IF(A668="k_CalRelNum_Cnt_u8[12]","CalRelNum",IF(F668="Y","TunSetCalSeg",IF(F668="N", "FlashCalSeg", "")))</f>
        <v>FlashCalSeg</v>
      </c>
    </row>
    <row r="669" spans="1:14" ht="30.6" x14ac:dyDescent="0.25">
      <c r="A669" s="254" t="s">
        <v>1715</v>
      </c>
      <c r="B669" s="248" t="s">
        <v>1716</v>
      </c>
      <c r="C669" s="249" t="s">
        <v>1707</v>
      </c>
      <c r="D669" s="249" t="s">
        <v>1708</v>
      </c>
      <c r="E669" s="249" t="s">
        <v>1717</v>
      </c>
      <c r="F669" s="250" t="s">
        <v>82</v>
      </c>
      <c r="G669" s="251" t="s">
        <v>82</v>
      </c>
      <c r="H669" s="251" t="s">
        <v>1718</v>
      </c>
      <c r="I669" s="252" t="s">
        <v>1719</v>
      </c>
      <c r="J669" s="253">
        <v>-40</v>
      </c>
      <c r="K669" s="253">
        <v>300</v>
      </c>
      <c r="L669" s="253" t="s">
        <v>558</v>
      </c>
      <c r="M669" s="253" t="s">
        <v>1720</v>
      </c>
      <c r="N669" s="247" t="str">
        <f>IF(A669="k_CalRelNum_Cnt_u8[12]","CalRelNum",IF(F669="Y","TunSetCalSeg",IF(F669="N", "FlashCalSeg", "")))</f>
        <v>FlashCalSeg</v>
      </c>
    </row>
    <row r="670" spans="1:14" ht="30.6" x14ac:dyDescent="0.25">
      <c r="A670" s="254" t="s">
        <v>1807</v>
      </c>
      <c r="B670" s="248" t="s">
        <v>1808</v>
      </c>
      <c r="C670" s="249" t="s">
        <v>1707</v>
      </c>
      <c r="D670" s="249" t="s">
        <v>1708</v>
      </c>
      <c r="E670" s="249"/>
      <c r="F670" s="250" t="s">
        <v>82</v>
      </c>
      <c r="G670" s="251" t="s">
        <v>82</v>
      </c>
      <c r="H670" s="251" t="s">
        <v>1809</v>
      </c>
      <c r="I670" s="252" t="s">
        <v>1810</v>
      </c>
      <c r="J670" s="253">
        <v>0</v>
      </c>
      <c r="K670" s="253">
        <v>100</v>
      </c>
      <c r="L670" s="253" t="s">
        <v>300</v>
      </c>
      <c r="M670" s="253" t="s">
        <v>425</v>
      </c>
      <c r="N670" s="247" t="str">
        <f>IF(A670="k_CalRelNum_Cnt_u8[12]","CalRelNum",IF(F670="Y","TunSetCalSeg",IF(F670="N", "FlashCalSeg", "")))</f>
        <v>FlashCalSeg</v>
      </c>
    </row>
    <row r="671" spans="1:14" ht="20.399999999999999" x14ac:dyDescent="0.25">
      <c r="A671" s="254" t="s">
        <v>1811</v>
      </c>
      <c r="B671" s="248" t="s">
        <v>1812</v>
      </c>
      <c r="C671" s="249" t="s">
        <v>1707</v>
      </c>
      <c r="D671" s="249" t="s">
        <v>1708</v>
      </c>
      <c r="E671" s="249"/>
      <c r="F671" s="250" t="s">
        <v>82</v>
      </c>
      <c r="G671" s="251" t="s">
        <v>82</v>
      </c>
      <c r="H671" s="251" t="s">
        <v>1813</v>
      </c>
      <c r="I671" s="252" t="s">
        <v>1814</v>
      </c>
      <c r="J671" s="253">
        <v>0</v>
      </c>
      <c r="K671" s="253">
        <v>8.8000000000000007</v>
      </c>
      <c r="L671" s="253" t="s">
        <v>256</v>
      </c>
      <c r="M671" s="253" t="s">
        <v>370</v>
      </c>
      <c r="N671" s="247" t="str">
        <f>IF(A671="k_CalRelNum_Cnt_u8[12]","CalRelNum",IF(F671="Y","TunSetCalSeg",IF(F671="N", "FlashCalSeg", "")))</f>
        <v>FlashCalSeg</v>
      </c>
    </row>
    <row r="672" spans="1:14" ht="20.399999999999999" x14ac:dyDescent="0.25">
      <c r="A672" s="254" t="s">
        <v>1823</v>
      </c>
      <c r="B672" s="248"/>
      <c r="C672" s="249" t="s">
        <v>1818</v>
      </c>
      <c r="D672" s="249" t="s">
        <v>181</v>
      </c>
      <c r="E672" s="249"/>
      <c r="F672" s="250" t="s">
        <v>81</v>
      </c>
      <c r="G672" s="251" t="s">
        <v>82</v>
      </c>
      <c r="H672" s="251"/>
      <c r="I672" s="252" t="s">
        <v>1824</v>
      </c>
      <c r="J672" s="253" t="s">
        <v>696</v>
      </c>
      <c r="K672" s="253" t="s">
        <v>696</v>
      </c>
      <c r="L672" s="253" t="s">
        <v>696</v>
      </c>
      <c r="M672" s="253" t="s">
        <v>604</v>
      </c>
      <c r="N672" s="247" t="str">
        <f>IF(A672="k_CalRelNum_Cnt_u8[12]","CalRelNum",IF(F672="Y","TunSetCalSeg",IF(F672="N", "FlashCalSeg", "")))</f>
        <v>TunSetCalSeg</v>
      </c>
    </row>
    <row r="673" spans="1:14" ht="20.399999999999999" x14ac:dyDescent="0.25">
      <c r="A673" s="254" t="s">
        <v>1821</v>
      </c>
      <c r="B673" s="248" t="s">
        <v>1822</v>
      </c>
      <c r="C673" s="249" t="s">
        <v>1818</v>
      </c>
      <c r="D673" s="249" t="s">
        <v>181</v>
      </c>
      <c r="E673" s="249"/>
      <c r="F673" s="250" t="s">
        <v>81</v>
      </c>
      <c r="G673" s="251" t="s">
        <v>82</v>
      </c>
      <c r="H673" s="251"/>
      <c r="I673" s="252">
        <v>5</v>
      </c>
      <c r="J673" s="253">
        <v>1</v>
      </c>
      <c r="K673" s="253">
        <v>50</v>
      </c>
      <c r="L673" s="253" t="s">
        <v>1668</v>
      </c>
      <c r="M673" s="253" t="s">
        <v>267</v>
      </c>
      <c r="N673" s="247" t="str">
        <f>IF(A673="k_CalRelNum_Cnt_u8[12]","CalRelNum",IF(F673="Y","TunSetCalSeg",IF(F673="N", "FlashCalSeg", "")))</f>
        <v>TunSetCalSeg</v>
      </c>
    </row>
    <row r="674" spans="1:14" ht="20.399999999999999" x14ac:dyDescent="0.25">
      <c r="A674" s="254" t="s">
        <v>1819</v>
      </c>
      <c r="B674" s="248" t="s">
        <v>1820</v>
      </c>
      <c r="C674" s="249" t="s">
        <v>1818</v>
      </c>
      <c r="D674" s="249" t="s">
        <v>181</v>
      </c>
      <c r="E674" s="249"/>
      <c r="F674" s="250" t="s">
        <v>81</v>
      </c>
      <c r="G674" s="251" t="s">
        <v>82</v>
      </c>
      <c r="H674" s="251"/>
      <c r="I674" s="252">
        <v>10</v>
      </c>
      <c r="J674" s="253">
        <v>1</v>
      </c>
      <c r="K674" s="253">
        <v>50</v>
      </c>
      <c r="L674" s="253" t="s">
        <v>1668</v>
      </c>
      <c r="M674" s="253" t="s">
        <v>267</v>
      </c>
      <c r="N674" s="247" t="str">
        <f>IF(A674="k_CalRelNum_Cnt_u8[12]","CalRelNum",IF(F674="Y","TunSetCalSeg",IF(F674="N", "FlashCalSeg", "")))</f>
        <v>TunSetCalSeg</v>
      </c>
    </row>
    <row r="675" spans="1:14" ht="20.399999999999999" x14ac:dyDescent="0.25">
      <c r="A675" s="254" t="s">
        <v>1816</v>
      </c>
      <c r="B675" s="248" t="s">
        <v>1817</v>
      </c>
      <c r="C675" s="249" t="s">
        <v>1818</v>
      </c>
      <c r="D675" s="249" t="s">
        <v>181</v>
      </c>
      <c r="E675" s="249"/>
      <c r="F675" s="250" t="s">
        <v>81</v>
      </c>
      <c r="G675" s="251" t="s">
        <v>82</v>
      </c>
      <c r="H675" s="251"/>
      <c r="I675" s="252">
        <v>20</v>
      </c>
      <c r="J675" s="253">
        <v>1</v>
      </c>
      <c r="K675" s="253">
        <v>1000</v>
      </c>
      <c r="L675" s="253" t="s">
        <v>1668</v>
      </c>
      <c r="M675" s="253" t="s">
        <v>267</v>
      </c>
      <c r="N675" s="247" t="str">
        <f>IF(A675="k_CalRelNum_Cnt_u8[12]","CalRelNum",IF(F675="Y","TunSetCalSeg",IF(F675="N", "FlashCalSeg", "")))</f>
        <v>TunSetCalSeg</v>
      </c>
    </row>
    <row r="676" spans="1:14" ht="20.399999999999999" x14ac:dyDescent="0.25">
      <c r="A676" s="254" t="s">
        <v>1825</v>
      </c>
      <c r="B676" s="248"/>
      <c r="C676" s="249" t="s">
        <v>1826</v>
      </c>
      <c r="D676" s="249" t="s">
        <v>234</v>
      </c>
      <c r="E676" s="249"/>
      <c r="F676" s="250" t="s">
        <v>82</v>
      </c>
      <c r="G676" s="251"/>
      <c r="H676" s="251"/>
      <c r="I676" s="252" t="s">
        <v>1827</v>
      </c>
      <c r="J676" s="253"/>
      <c r="K676" s="253"/>
      <c r="L676" s="253"/>
      <c r="M676" s="253" t="s">
        <v>604</v>
      </c>
      <c r="N676" s="247" t="str">
        <f>IF(A676="k_CalRelNum_Cnt_u8[12]","CalRelNum",IF(F676="Y","TunSetCalSeg",IF(F676="N", "FlashCalSeg", "")))</f>
        <v>FlashCalSeg</v>
      </c>
    </row>
    <row r="677" spans="1:14" ht="20.399999999999999" x14ac:dyDescent="0.25">
      <c r="A677" s="254" t="s">
        <v>1829</v>
      </c>
      <c r="B677" s="248"/>
      <c r="C677" s="249" t="s">
        <v>1826</v>
      </c>
      <c r="D677" s="249" t="s">
        <v>234</v>
      </c>
      <c r="E677" s="249"/>
      <c r="F677" s="250" t="s">
        <v>82</v>
      </c>
      <c r="G677" s="251"/>
      <c r="H677" s="251"/>
      <c r="I677" s="252">
        <v>1</v>
      </c>
      <c r="J677" s="253" t="s">
        <v>909</v>
      </c>
      <c r="K677" s="253" t="s">
        <v>909</v>
      </c>
      <c r="L677" s="253" t="s">
        <v>424</v>
      </c>
      <c r="M677" s="253" t="s">
        <v>267</v>
      </c>
      <c r="N677" s="247" t="str">
        <f>IF(A677="k_CalRelNum_Cnt_u8[12]","CalRelNum",IF(F677="Y","TunSetCalSeg",IF(F677="N", "FlashCalSeg", "")))</f>
        <v>FlashCalSeg</v>
      </c>
    </row>
    <row r="678" spans="1:14" ht="20.399999999999999" x14ac:dyDescent="0.25">
      <c r="A678" s="254" t="s">
        <v>1828</v>
      </c>
      <c r="B678" s="248"/>
      <c r="C678" s="249" t="s">
        <v>1826</v>
      </c>
      <c r="D678" s="249" t="s">
        <v>234</v>
      </c>
      <c r="E678" s="249"/>
      <c r="F678" s="250" t="s">
        <v>82</v>
      </c>
      <c r="G678" s="251"/>
      <c r="H678" s="251"/>
      <c r="I678" s="252">
        <v>5</v>
      </c>
      <c r="J678" s="253" t="s">
        <v>909</v>
      </c>
      <c r="K678" s="253" t="s">
        <v>909</v>
      </c>
      <c r="L678" s="253" t="s">
        <v>424</v>
      </c>
      <c r="M678" s="253" t="s">
        <v>267</v>
      </c>
      <c r="N678" s="247" t="str">
        <f>IF(A678="k_CalRelNum_Cnt_u8[12]","CalRelNum",IF(F678="Y","TunSetCalSeg",IF(F678="N", "FlashCalSeg", "")))</f>
        <v>FlashCalSeg</v>
      </c>
    </row>
    <row r="679" spans="1:14" ht="20.399999999999999" x14ac:dyDescent="0.25">
      <c r="A679" s="254" t="s">
        <v>1830</v>
      </c>
      <c r="B679" s="248"/>
      <c r="C679" s="249" t="s">
        <v>1826</v>
      </c>
      <c r="D679" s="249" t="s">
        <v>234</v>
      </c>
      <c r="E679" s="249"/>
      <c r="F679" s="250" t="s">
        <v>82</v>
      </c>
      <c r="G679" s="251"/>
      <c r="H679" s="251"/>
      <c r="I679" s="252">
        <v>100</v>
      </c>
      <c r="J679" s="253" t="s">
        <v>909</v>
      </c>
      <c r="K679" s="253" t="s">
        <v>909</v>
      </c>
      <c r="L679" s="253" t="s">
        <v>424</v>
      </c>
      <c r="M679" s="253" t="s">
        <v>267</v>
      </c>
      <c r="N679" s="247" t="str">
        <f>IF(A679="k_CalRelNum_Cnt_u8[12]","CalRelNum",IF(F679="Y","TunSetCalSeg",IF(F679="N", "FlashCalSeg", "")))</f>
        <v>FlashCalSeg</v>
      </c>
    </row>
    <row r="680" spans="1:14" ht="20.399999999999999" x14ac:dyDescent="0.25">
      <c r="A680" s="254" t="s">
        <v>1836</v>
      </c>
      <c r="B680" s="248"/>
      <c r="C680" s="249" t="s">
        <v>1826</v>
      </c>
      <c r="D680" s="249" t="s">
        <v>234</v>
      </c>
      <c r="E680" s="249"/>
      <c r="F680" s="250" t="s">
        <v>82</v>
      </c>
      <c r="G680" s="251"/>
      <c r="H680" s="251"/>
      <c r="I680" s="252">
        <v>120</v>
      </c>
      <c r="J680" s="253">
        <v>1</v>
      </c>
      <c r="K680" s="253">
        <v>1000</v>
      </c>
      <c r="L680" s="253" t="s">
        <v>424</v>
      </c>
      <c r="M680" s="253" t="s">
        <v>267</v>
      </c>
      <c r="N680" s="247" t="str">
        <f>IF(A680="k_CalRelNum_Cnt_u8[12]","CalRelNum",IF(F680="Y","TunSetCalSeg",IF(F680="N", "FlashCalSeg", "")))</f>
        <v>FlashCalSeg</v>
      </c>
    </row>
    <row r="681" spans="1:14" ht="20.399999999999999" x14ac:dyDescent="0.25">
      <c r="A681" s="254" t="s">
        <v>1835</v>
      </c>
      <c r="B681" s="248"/>
      <c r="C681" s="249" t="s">
        <v>1826</v>
      </c>
      <c r="D681" s="249" t="s">
        <v>234</v>
      </c>
      <c r="E681" s="249"/>
      <c r="F681" s="250" t="s">
        <v>82</v>
      </c>
      <c r="G681" s="251"/>
      <c r="H681" s="251"/>
      <c r="I681" s="252">
        <v>10</v>
      </c>
      <c r="J681" s="253">
        <v>1</v>
      </c>
      <c r="K681" s="253">
        <v>1000</v>
      </c>
      <c r="L681" s="253" t="s">
        <v>424</v>
      </c>
      <c r="M681" s="253" t="s">
        <v>267</v>
      </c>
      <c r="N681" s="247" t="str">
        <f>IF(A681="k_CalRelNum_Cnt_u8[12]","CalRelNum",IF(F681="Y","TunSetCalSeg",IF(F681="N", "FlashCalSeg", "")))</f>
        <v>FlashCalSeg</v>
      </c>
    </row>
    <row r="682" spans="1:14" ht="20.399999999999999" x14ac:dyDescent="0.25">
      <c r="A682" s="254" t="s">
        <v>1838</v>
      </c>
      <c r="B682" s="248"/>
      <c r="C682" s="249" t="s">
        <v>1826</v>
      </c>
      <c r="D682" s="249" t="s">
        <v>234</v>
      </c>
      <c r="E682" s="249"/>
      <c r="F682" s="250" t="s">
        <v>82</v>
      </c>
      <c r="G682" s="251"/>
      <c r="H682" s="251"/>
      <c r="I682" s="252">
        <v>11</v>
      </c>
      <c r="J682" s="253">
        <v>1</v>
      </c>
      <c r="K682" s="253">
        <v>100</v>
      </c>
      <c r="L682" s="253" t="s">
        <v>424</v>
      </c>
      <c r="M682" s="253" t="s">
        <v>267</v>
      </c>
      <c r="N682" s="247" t="str">
        <f>IF(A682="k_CalRelNum_Cnt_u8[12]","CalRelNum",IF(F682="Y","TunSetCalSeg",IF(F682="N", "FlashCalSeg", "")))</f>
        <v>FlashCalSeg</v>
      </c>
    </row>
    <row r="683" spans="1:14" ht="20.399999999999999" x14ac:dyDescent="0.25">
      <c r="A683" s="254" t="s">
        <v>1837</v>
      </c>
      <c r="B683" s="248"/>
      <c r="C683" s="249" t="s">
        <v>1826</v>
      </c>
      <c r="D683" s="249" t="s">
        <v>234</v>
      </c>
      <c r="E683" s="249"/>
      <c r="F683" s="250" t="s">
        <v>82</v>
      </c>
      <c r="G683" s="251"/>
      <c r="H683" s="251"/>
      <c r="I683" s="252">
        <v>1</v>
      </c>
      <c r="J683" s="253">
        <v>1</v>
      </c>
      <c r="K683" s="253">
        <v>100</v>
      </c>
      <c r="L683" s="253" t="s">
        <v>424</v>
      </c>
      <c r="M683" s="253" t="s">
        <v>267</v>
      </c>
      <c r="N683" s="247" t="str">
        <f>IF(A683="k_CalRelNum_Cnt_u8[12]","CalRelNum",IF(F683="Y","TunSetCalSeg",IF(F683="N", "FlashCalSeg", "")))</f>
        <v>FlashCalSeg</v>
      </c>
    </row>
    <row r="684" spans="1:14" ht="20.399999999999999" x14ac:dyDescent="0.25">
      <c r="A684" s="254" t="s">
        <v>1831</v>
      </c>
      <c r="B684" s="248"/>
      <c r="C684" s="249" t="s">
        <v>1826</v>
      </c>
      <c r="D684" s="249" t="s">
        <v>234</v>
      </c>
      <c r="E684" s="249"/>
      <c r="F684" s="250" t="s">
        <v>82</v>
      </c>
      <c r="G684" s="251"/>
      <c r="H684" s="251"/>
      <c r="I684" s="252" t="s">
        <v>1827</v>
      </c>
      <c r="J684" s="253"/>
      <c r="K684" s="253"/>
      <c r="L684" s="253"/>
      <c r="M684" s="253" t="s">
        <v>604</v>
      </c>
      <c r="N684" s="247" t="str">
        <f>IF(A684="k_CalRelNum_Cnt_u8[12]","CalRelNum",IF(F684="Y","TunSetCalSeg",IF(F684="N", "FlashCalSeg", "")))</f>
        <v>FlashCalSeg</v>
      </c>
    </row>
    <row r="685" spans="1:14" ht="20.399999999999999" x14ac:dyDescent="0.25">
      <c r="A685" s="254" t="s">
        <v>1833</v>
      </c>
      <c r="B685" s="248"/>
      <c r="C685" s="249" t="s">
        <v>1826</v>
      </c>
      <c r="D685" s="249" t="s">
        <v>234</v>
      </c>
      <c r="E685" s="249"/>
      <c r="F685" s="250" t="s">
        <v>82</v>
      </c>
      <c r="G685" s="251"/>
      <c r="H685" s="251"/>
      <c r="I685" s="252">
        <v>1</v>
      </c>
      <c r="J685" s="253" t="s">
        <v>909</v>
      </c>
      <c r="K685" s="253" t="s">
        <v>909</v>
      </c>
      <c r="L685" s="253" t="s">
        <v>424</v>
      </c>
      <c r="M685" s="253" t="s">
        <v>267</v>
      </c>
      <c r="N685" s="247" t="str">
        <f>IF(A685="k_CalRelNum_Cnt_u8[12]","CalRelNum",IF(F685="Y","TunSetCalSeg",IF(F685="N", "FlashCalSeg", "")))</f>
        <v>FlashCalSeg</v>
      </c>
    </row>
    <row r="686" spans="1:14" ht="20.399999999999999" x14ac:dyDescent="0.25">
      <c r="A686" s="254" t="s">
        <v>1832</v>
      </c>
      <c r="B686" s="248"/>
      <c r="C686" s="249" t="s">
        <v>1826</v>
      </c>
      <c r="D686" s="249" t="s">
        <v>234</v>
      </c>
      <c r="E686" s="249"/>
      <c r="F686" s="250" t="s">
        <v>82</v>
      </c>
      <c r="G686" s="251"/>
      <c r="H686" s="251"/>
      <c r="I686" s="252">
        <v>5</v>
      </c>
      <c r="J686" s="253" t="s">
        <v>909</v>
      </c>
      <c r="K686" s="253" t="s">
        <v>909</v>
      </c>
      <c r="L686" s="253" t="s">
        <v>424</v>
      </c>
      <c r="M686" s="253" t="s">
        <v>267</v>
      </c>
      <c r="N686" s="247" t="str">
        <f>IF(A686="k_CalRelNum_Cnt_u8[12]","CalRelNum",IF(F686="Y","TunSetCalSeg",IF(F686="N", "FlashCalSeg", "")))</f>
        <v>FlashCalSeg</v>
      </c>
    </row>
    <row r="687" spans="1:14" ht="20.399999999999999" x14ac:dyDescent="0.25">
      <c r="A687" s="254" t="s">
        <v>1834</v>
      </c>
      <c r="B687" s="248"/>
      <c r="C687" s="249" t="s">
        <v>1826</v>
      </c>
      <c r="D687" s="249" t="s">
        <v>234</v>
      </c>
      <c r="E687" s="249"/>
      <c r="F687" s="250" t="s">
        <v>82</v>
      </c>
      <c r="G687" s="251"/>
      <c r="H687" s="251"/>
      <c r="I687" s="252">
        <v>100</v>
      </c>
      <c r="J687" s="253" t="s">
        <v>909</v>
      </c>
      <c r="K687" s="253" t="s">
        <v>909</v>
      </c>
      <c r="L687" s="253" t="s">
        <v>424</v>
      </c>
      <c r="M687" s="253" t="s">
        <v>267</v>
      </c>
      <c r="N687" s="247" t="str">
        <f>IF(A687="k_CalRelNum_Cnt_u8[12]","CalRelNum",IF(F687="Y","TunSetCalSeg",IF(F687="N", "FlashCalSeg", "")))</f>
        <v>FlashCalSeg</v>
      </c>
    </row>
    <row r="688" spans="1:14" ht="30.6" x14ac:dyDescent="0.25">
      <c r="A688" s="254" t="s">
        <v>1839</v>
      </c>
      <c r="B688" s="248"/>
      <c r="C688" s="249" t="s">
        <v>1826</v>
      </c>
      <c r="D688" s="249" t="s">
        <v>234</v>
      </c>
      <c r="E688" s="249"/>
      <c r="F688" s="250" t="s">
        <v>82</v>
      </c>
      <c r="G688" s="251"/>
      <c r="H688" s="251"/>
      <c r="I688" s="252">
        <v>20</v>
      </c>
      <c r="J688" s="253">
        <v>1</v>
      </c>
      <c r="K688" s="253">
        <v>1000</v>
      </c>
      <c r="L688" s="253" t="s">
        <v>424</v>
      </c>
      <c r="M688" s="253" t="s">
        <v>267</v>
      </c>
      <c r="N688" s="247" t="str">
        <f>IF(A688="k_CalRelNum_Cnt_u8[12]","CalRelNum",IF(F688="Y","TunSetCalSeg",IF(F688="N", "FlashCalSeg", "")))</f>
        <v>FlashCalSeg</v>
      </c>
    </row>
    <row r="689" spans="1:14" ht="30.6" x14ac:dyDescent="0.25">
      <c r="A689" s="254" t="s">
        <v>4493</v>
      </c>
      <c r="B689" s="248" t="s">
        <v>4494</v>
      </c>
      <c r="C689" s="249" t="s">
        <v>1840</v>
      </c>
      <c r="D689" s="249" t="s">
        <v>245</v>
      </c>
      <c r="E689" s="249"/>
      <c r="F689" s="250" t="s">
        <v>82</v>
      </c>
      <c r="G689" s="251" t="s">
        <v>82</v>
      </c>
      <c r="H689" s="251"/>
      <c r="I689" s="252">
        <v>3</v>
      </c>
      <c r="J689" s="253">
        <v>0</v>
      </c>
      <c r="K689" s="253">
        <v>20</v>
      </c>
      <c r="L689" s="253" t="s">
        <v>654</v>
      </c>
      <c r="M689" s="253" t="s">
        <v>261</v>
      </c>
      <c r="N689" s="247" t="str">
        <f>IF(A689="k_CalRelNum_Cnt_u8[12]","CalRelNum",IF(F689="Y","TunSetCalSeg",IF(F689="N", "FlashCalSeg", "")))</f>
        <v>FlashCalSeg</v>
      </c>
    </row>
    <row r="690" spans="1:14" ht="30.6" x14ac:dyDescent="0.25">
      <c r="A690" s="254" t="s">
        <v>4491</v>
      </c>
      <c r="B690" s="248" t="s">
        <v>4492</v>
      </c>
      <c r="C690" s="249" t="s">
        <v>1840</v>
      </c>
      <c r="D690" s="249" t="s">
        <v>245</v>
      </c>
      <c r="E690" s="249"/>
      <c r="F690" s="250" t="s">
        <v>82</v>
      </c>
      <c r="G690" s="251" t="s">
        <v>82</v>
      </c>
      <c r="H690" s="251"/>
      <c r="I690" s="252">
        <v>4.5999999999999996</v>
      </c>
      <c r="J690" s="253">
        <v>1</v>
      </c>
      <c r="K690" s="253">
        <v>8.8000000000000007</v>
      </c>
      <c r="L690" s="253" t="s">
        <v>256</v>
      </c>
      <c r="M690" s="253" t="s">
        <v>261</v>
      </c>
      <c r="N690" s="247" t="str">
        <f>IF(A690="k_CalRelNum_Cnt_u8[12]","CalRelNum",IF(F690="Y","TunSetCalSeg",IF(F690="N", "FlashCalSeg", "")))</f>
        <v>FlashCalSeg</v>
      </c>
    </row>
    <row r="691" spans="1:14" ht="30.6" x14ac:dyDescent="0.25">
      <c r="A691" s="254" t="s">
        <v>4489</v>
      </c>
      <c r="B691" s="248" t="s">
        <v>4490</v>
      </c>
      <c r="C691" s="249" t="s">
        <v>1840</v>
      </c>
      <c r="D691" s="249" t="s">
        <v>245</v>
      </c>
      <c r="E691" s="249"/>
      <c r="F691" s="250" t="s">
        <v>82</v>
      </c>
      <c r="G691" s="251" t="s">
        <v>82</v>
      </c>
      <c r="H691" s="251"/>
      <c r="I691" s="252" t="s">
        <v>4487</v>
      </c>
      <c r="J691" s="253"/>
      <c r="K691" s="253"/>
      <c r="L691" s="253"/>
      <c r="M691" s="253" t="s">
        <v>604</v>
      </c>
      <c r="N691" s="247" t="str">
        <f>IF(A691="k_CalRelNum_Cnt_u8[12]","CalRelNum",IF(F691="Y","TunSetCalSeg",IF(F691="N", "FlashCalSeg", "")))</f>
        <v>FlashCalSeg</v>
      </c>
    </row>
    <row r="692" spans="1:14" ht="61.2" x14ac:dyDescent="0.25">
      <c r="A692" s="254" t="s">
        <v>4482</v>
      </c>
      <c r="B692" s="248" t="s">
        <v>4483</v>
      </c>
      <c r="C692" s="249" t="s">
        <v>1840</v>
      </c>
      <c r="D692" s="249" t="s">
        <v>245</v>
      </c>
      <c r="E692" s="249"/>
      <c r="F692" s="250" t="s">
        <v>82</v>
      </c>
      <c r="G692" s="251" t="s">
        <v>82</v>
      </c>
      <c r="H692" s="251"/>
      <c r="I692" s="252">
        <v>20</v>
      </c>
      <c r="J692" s="253">
        <v>0</v>
      </c>
      <c r="K692" s="253">
        <v>250</v>
      </c>
      <c r="L692" s="253" t="s">
        <v>654</v>
      </c>
      <c r="M692" s="253" t="s">
        <v>261</v>
      </c>
      <c r="N692" s="247" t="str">
        <f>IF(A692="k_CalRelNum_Cnt_u8[12]","CalRelNum",IF(F692="Y","TunSetCalSeg",IF(F692="N", "FlashCalSeg", "")))</f>
        <v>FlashCalSeg</v>
      </c>
    </row>
    <row r="693" spans="1:14" ht="30.6" x14ac:dyDescent="0.25">
      <c r="A693" s="254" t="s">
        <v>4476</v>
      </c>
      <c r="B693" s="248" t="s">
        <v>4477</v>
      </c>
      <c r="C693" s="249" t="s">
        <v>1840</v>
      </c>
      <c r="D693" s="249" t="s">
        <v>245</v>
      </c>
      <c r="E693" s="249" t="s">
        <v>1841</v>
      </c>
      <c r="F693" s="250" t="s">
        <v>82</v>
      </c>
      <c r="G693" s="251" t="s">
        <v>82</v>
      </c>
      <c r="H693" s="251"/>
      <c r="I693" s="252">
        <v>1</v>
      </c>
      <c r="J693" s="253">
        <v>0</v>
      </c>
      <c r="K693" s="253">
        <v>250</v>
      </c>
      <c r="L693" s="253" t="s">
        <v>262</v>
      </c>
      <c r="M693" s="253" t="s">
        <v>261</v>
      </c>
      <c r="N693" s="247" t="str">
        <f>IF(A693="k_CalRelNum_Cnt_u8[12]","CalRelNum",IF(F693="Y","TunSetCalSeg",IF(F693="N", "FlashCalSeg", "")))</f>
        <v>FlashCalSeg</v>
      </c>
    </row>
    <row r="694" spans="1:14" ht="30.6" x14ac:dyDescent="0.25">
      <c r="A694" s="254" t="s">
        <v>4486</v>
      </c>
      <c r="B694" s="248"/>
      <c r="C694" s="249" t="s">
        <v>1840</v>
      </c>
      <c r="D694" s="249" t="s">
        <v>245</v>
      </c>
      <c r="E694" s="249"/>
      <c r="F694" s="250" t="s">
        <v>82</v>
      </c>
      <c r="G694" s="251" t="s">
        <v>82</v>
      </c>
      <c r="H694" s="251"/>
      <c r="I694" s="252" t="s">
        <v>4487</v>
      </c>
      <c r="J694" s="253" t="s">
        <v>4488</v>
      </c>
      <c r="K694" s="253" t="s">
        <v>4488</v>
      </c>
      <c r="L694" s="253"/>
      <c r="M694" s="253" t="s">
        <v>604</v>
      </c>
      <c r="N694" s="247" t="str">
        <f>IF(A694="k_CalRelNum_Cnt_u8[12]","CalRelNum",IF(F694="Y","TunSetCalSeg",IF(F694="N", "FlashCalSeg", "")))</f>
        <v>FlashCalSeg</v>
      </c>
    </row>
    <row r="695" spans="1:14" ht="30.6" x14ac:dyDescent="0.25">
      <c r="A695" s="254" t="s">
        <v>4484</v>
      </c>
      <c r="B695" s="248" t="s">
        <v>4485</v>
      </c>
      <c r="C695" s="249" t="s">
        <v>1840</v>
      </c>
      <c r="D695" s="249" t="s">
        <v>245</v>
      </c>
      <c r="E695" s="249"/>
      <c r="F695" s="250" t="s">
        <v>82</v>
      </c>
      <c r="G695" s="251" t="s">
        <v>82</v>
      </c>
      <c r="H695" s="251"/>
      <c r="I695" s="252">
        <v>20</v>
      </c>
      <c r="J695" s="253">
        <v>0</v>
      </c>
      <c r="K695" s="253">
        <v>250</v>
      </c>
      <c r="L695" s="253" t="s">
        <v>654</v>
      </c>
      <c r="M695" s="253" t="s">
        <v>261</v>
      </c>
      <c r="N695" s="247" t="str">
        <f>IF(A695="k_CalRelNum_Cnt_u8[12]","CalRelNum",IF(F695="Y","TunSetCalSeg",IF(F695="N", "FlashCalSeg", "")))</f>
        <v>FlashCalSeg</v>
      </c>
    </row>
    <row r="696" spans="1:14" ht="30.6" x14ac:dyDescent="0.25">
      <c r="A696" s="254" t="s">
        <v>4478</v>
      </c>
      <c r="B696" s="248" t="s">
        <v>4479</v>
      </c>
      <c r="C696" s="249" t="s">
        <v>1840</v>
      </c>
      <c r="D696" s="249" t="s">
        <v>245</v>
      </c>
      <c r="E696" s="249"/>
      <c r="F696" s="250" t="s">
        <v>82</v>
      </c>
      <c r="G696" s="251" t="s">
        <v>82</v>
      </c>
      <c r="H696" s="251"/>
      <c r="I696" s="252">
        <v>1</v>
      </c>
      <c r="J696" s="253">
        <v>0</v>
      </c>
      <c r="K696" s="253">
        <v>250</v>
      </c>
      <c r="L696" s="253" t="s">
        <v>262</v>
      </c>
      <c r="M696" s="253" t="s">
        <v>261</v>
      </c>
      <c r="N696" s="247" t="str">
        <f>IF(A696="k_CalRelNum_Cnt_u8[12]","CalRelNum",IF(F696="Y","TunSetCalSeg",IF(F696="N", "FlashCalSeg", "")))</f>
        <v>FlashCalSeg</v>
      </c>
    </row>
    <row r="697" spans="1:14" ht="20.399999999999999" x14ac:dyDescent="0.25">
      <c r="A697" s="254" t="s">
        <v>4480</v>
      </c>
      <c r="B697" s="248" t="s">
        <v>4481</v>
      </c>
      <c r="C697" s="249" t="s">
        <v>1840</v>
      </c>
      <c r="D697" s="249" t="s">
        <v>245</v>
      </c>
      <c r="E697" s="249"/>
      <c r="F697" s="250" t="s">
        <v>82</v>
      </c>
      <c r="G697" s="251" t="s">
        <v>82</v>
      </c>
      <c r="H697" s="251"/>
      <c r="I697" s="252">
        <v>0</v>
      </c>
      <c r="J697" s="253">
        <v>0</v>
      </c>
      <c r="K697" s="253">
        <v>1</v>
      </c>
      <c r="L697" s="253" t="s">
        <v>260</v>
      </c>
      <c r="M697" s="253" t="s">
        <v>261</v>
      </c>
      <c r="N697" s="247" t="str">
        <f>IF(A697="k_CalRelNum_Cnt_u8[12]","CalRelNum",IF(F697="Y","TunSetCalSeg",IF(F697="N", "FlashCalSeg", "")))</f>
        <v>FlashCalSeg</v>
      </c>
    </row>
    <row r="698" spans="1:14" ht="20.399999999999999" x14ac:dyDescent="0.25">
      <c r="A698" s="254" t="s">
        <v>1842</v>
      </c>
      <c r="B698" s="248" t="s">
        <v>1843</v>
      </c>
      <c r="C698" s="249" t="s">
        <v>1845</v>
      </c>
      <c r="D698" s="249" t="s">
        <v>243</v>
      </c>
      <c r="E698" s="249" t="s">
        <v>1844</v>
      </c>
      <c r="F698" s="250" t="s">
        <v>82</v>
      </c>
      <c r="G698" s="251" t="s">
        <v>82</v>
      </c>
      <c r="H698" s="251"/>
      <c r="I698" s="252">
        <v>5</v>
      </c>
      <c r="J698" s="253">
        <v>1</v>
      </c>
      <c r="K698" s="253">
        <v>50</v>
      </c>
      <c r="L698" s="253" t="s">
        <v>262</v>
      </c>
      <c r="M698" s="253" t="s">
        <v>261</v>
      </c>
      <c r="N698" s="247" t="str">
        <f>IF(A698="k_CalRelNum_Cnt_u8[12]","CalRelNum",IF(F698="Y","TunSetCalSeg",IF(F698="N", "FlashCalSeg", "")))</f>
        <v>FlashCalSeg</v>
      </c>
    </row>
    <row r="699" spans="1:14" ht="20.399999999999999" x14ac:dyDescent="0.25">
      <c r="A699" s="254" t="s">
        <v>1846</v>
      </c>
      <c r="B699" s="248" t="s">
        <v>1847</v>
      </c>
      <c r="C699" s="249" t="s">
        <v>1845</v>
      </c>
      <c r="D699" s="249" t="s">
        <v>243</v>
      </c>
      <c r="E699" s="249" t="s">
        <v>1848</v>
      </c>
      <c r="F699" s="250" t="s">
        <v>82</v>
      </c>
      <c r="G699" s="251" t="s">
        <v>82</v>
      </c>
      <c r="H699" s="251"/>
      <c r="I699" s="252">
        <v>2</v>
      </c>
      <c r="J699" s="253">
        <v>0</v>
      </c>
      <c r="K699" s="253">
        <v>10</v>
      </c>
      <c r="L699" s="253" t="s">
        <v>265</v>
      </c>
      <c r="M699" s="253" t="s">
        <v>261</v>
      </c>
      <c r="N699" s="247" t="str">
        <f>IF(A699="k_CalRelNum_Cnt_u8[12]","CalRelNum",IF(F699="Y","TunSetCalSeg",IF(F699="N", "FlashCalSeg", "")))</f>
        <v>FlashCalSeg</v>
      </c>
    </row>
    <row r="700" spans="1:14" ht="30.6" x14ac:dyDescent="0.25">
      <c r="A700" s="254" t="s">
        <v>1849</v>
      </c>
      <c r="B700" s="248" t="s">
        <v>1850</v>
      </c>
      <c r="C700" s="249" t="s">
        <v>1845</v>
      </c>
      <c r="D700" s="249" t="s">
        <v>243</v>
      </c>
      <c r="E700" s="249" t="s">
        <v>1851</v>
      </c>
      <c r="F700" s="250" t="s">
        <v>82</v>
      </c>
      <c r="G700" s="251" t="s">
        <v>82</v>
      </c>
      <c r="H700" s="251"/>
      <c r="I700" s="252">
        <v>100</v>
      </c>
      <c r="J700" s="253">
        <v>0</v>
      </c>
      <c r="K700" s="253">
        <v>255</v>
      </c>
      <c r="L700" s="253" t="s">
        <v>311</v>
      </c>
      <c r="M700" s="253" t="s">
        <v>261</v>
      </c>
      <c r="N700" s="247" t="str">
        <f>IF(A700="k_CalRelNum_Cnt_u8[12]","CalRelNum",IF(F700="Y","TunSetCalSeg",IF(F700="N", "FlashCalSeg", "")))</f>
        <v>FlashCalSeg</v>
      </c>
    </row>
    <row r="701" spans="1:14" ht="61.2" x14ac:dyDescent="0.25">
      <c r="A701" s="254" t="s">
        <v>3923</v>
      </c>
      <c r="B701" s="248" t="s">
        <v>3924</v>
      </c>
      <c r="C701" s="249" t="s">
        <v>3880</v>
      </c>
      <c r="D701" s="249" t="s">
        <v>4913</v>
      </c>
      <c r="E701" s="249" t="s">
        <v>3925</v>
      </c>
      <c r="F701" s="250" t="s">
        <v>82</v>
      </c>
      <c r="G701" s="251" t="s">
        <v>82</v>
      </c>
      <c r="H701" s="251"/>
      <c r="I701" s="252">
        <v>5</v>
      </c>
      <c r="J701" s="253">
        <v>0</v>
      </c>
      <c r="K701" s="253">
        <v>100</v>
      </c>
      <c r="L701" s="253" t="s">
        <v>268</v>
      </c>
      <c r="M701" s="253" t="s">
        <v>261</v>
      </c>
      <c r="N701" s="247" t="str">
        <f>IF(A701="k_CalRelNum_Cnt_u8[12]","CalRelNum",IF(F701="Y","TunSetCalSeg",IF(F701="N", "FlashCalSeg", "")))</f>
        <v>FlashCalSeg</v>
      </c>
    </row>
    <row r="702" spans="1:14" ht="61.2" x14ac:dyDescent="0.25">
      <c r="A702" s="254" t="s">
        <v>3921</v>
      </c>
      <c r="B702" s="248" t="s">
        <v>3922</v>
      </c>
      <c r="C702" s="249" t="s">
        <v>3880</v>
      </c>
      <c r="D702" s="249" t="s">
        <v>4913</v>
      </c>
      <c r="E702" s="249" t="s">
        <v>3899</v>
      </c>
      <c r="F702" s="250" t="s">
        <v>82</v>
      </c>
      <c r="G702" s="251" t="s">
        <v>82</v>
      </c>
      <c r="H702" s="251"/>
      <c r="I702" s="252">
        <v>2.5000000000000001E-2</v>
      </c>
      <c r="J702" s="253">
        <v>2.0000000000000001E-4</v>
      </c>
      <c r="K702" s="253">
        <v>0.1</v>
      </c>
      <c r="L702" s="253" t="s">
        <v>262</v>
      </c>
      <c r="M702" s="253" t="s">
        <v>261</v>
      </c>
      <c r="N702" s="247" t="str">
        <f>IF(A702="k_CalRelNum_Cnt_u8[12]","CalRelNum",IF(F702="Y","TunSetCalSeg",IF(F702="N", "FlashCalSeg", "")))</f>
        <v>FlashCalSeg</v>
      </c>
    </row>
    <row r="703" spans="1:14" ht="51" x14ac:dyDescent="0.25">
      <c r="A703" s="254" t="s">
        <v>3926</v>
      </c>
      <c r="B703" s="248" t="s">
        <v>3927</v>
      </c>
      <c r="C703" s="249" t="s">
        <v>3880</v>
      </c>
      <c r="D703" s="249" t="s">
        <v>4913</v>
      </c>
      <c r="E703" s="249" t="s">
        <v>3899</v>
      </c>
      <c r="F703" s="250" t="s">
        <v>82</v>
      </c>
      <c r="G703" s="251" t="s">
        <v>82</v>
      </c>
      <c r="H703" s="251"/>
      <c r="I703" s="252">
        <v>2.0000000000000001E-4</v>
      </c>
      <c r="J703" s="253">
        <v>2.0000000000000001E-4</v>
      </c>
      <c r="K703" s="253">
        <v>0.1</v>
      </c>
      <c r="L703" s="253" t="s">
        <v>262</v>
      </c>
      <c r="M703" s="253" t="s">
        <v>261</v>
      </c>
      <c r="N703" s="247" t="str">
        <f>IF(A703="k_CalRelNum_Cnt_u8[12]","CalRelNum",IF(F703="Y","TunSetCalSeg",IF(F703="N", "FlashCalSeg", "")))</f>
        <v>FlashCalSeg</v>
      </c>
    </row>
    <row r="704" spans="1:14" ht="30.6" x14ac:dyDescent="0.25">
      <c r="A704" s="254" t="s">
        <v>3918</v>
      </c>
      <c r="B704" s="248" t="s">
        <v>3919</v>
      </c>
      <c r="C704" s="249" t="s">
        <v>3880</v>
      </c>
      <c r="D704" s="249" t="s">
        <v>4913</v>
      </c>
      <c r="E704" s="249" t="s">
        <v>3920</v>
      </c>
      <c r="F704" s="250" t="s">
        <v>82</v>
      </c>
      <c r="G704" s="251" t="s">
        <v>82</v>
      </c>
      <c r="H704" s="251"/>
      <c r="I704" s="252">
        <v>1500</v>
      </c>
      <c r="J704" s="253">
        <v>0</v>
      </c>
      <c r="K704" s="253">
        <v>60000</v>
      </c>
      <c r="L704" s="253" t="s">
        <v>273</v>
      </c>
      <c r="M704" s="253" t="s">
        <v>267</v>
      </c>
      <c r="N704" s="247" t="str">
        <f>IF(A704="k_CalRelNum_Cnt_u8[12]","CalRelNum",IF(F704="Y","TunSetCalSeg",IF(F704="N", "FlashCalSeg", "")))</f>
        <v>FlashCalSeg</v>
      </c>
    </row>
    <row r="705" spans="1:14" ht="30.6" x14ac:dyDescent="0.25">
      <c r="A705" s="254" t="s">
        <v>3909</v>
      </c>
      <c r="B705" s="248" t="s">
        <v>3910</v>
      </c>
      <c r="C705" s="249" t="s">
        <v>3880</v>
      </c>
      <c r="D705" s="249" t="s">
        <v>4913</v>
      </c>
      <c r="E705" s="249" t="s">
        <v>3911</v>
      </c>
      <c r="F705" s="250" t="s">
        <v>82</v>
      </c>
      <c r="G705" s="251" t="s">
        <v>82</v>
      </c>
      <c r="H705" s="251"/>
      <c r="I705" s="252">
        <v>20</v>
      </c>
      <c r="J705" s="253">
        <v>0</v>
      </c>
      <c r="K705" s="253">
        <v>700</v>
      </c>
      <c r="L705" s="253" t="s">
        <v>263</v>
      </c>
      <c r="M705" s="253" t="s">
        <v>261</v>
      </c>
      <c r="N705" s="247" t="str">
        <f>IF(A705="k_CalRelNum_Cnt_u8[12]","CalRelNum",IF(F705="Y","TunSetCalSeg",IF(F705="N", "FlashCalSeg", "")))</f>
        <v>FlashCalSeg</v>
      </c>
    </row>
    <row r="706" spans="1:14" ht="30.6" x14ac:dyDescent="0.25">
      <c r="A706" s="254" t="s">
        <v>3915</v>
      </c>
      <c r="B706" s="248" t="s">
        <v>3916</v>
      </c>
      <c r="C706" s="249" t="s">
        <v>3880</v>
      </c>
      <c r="D706" s="249" t="s">
        <v>4913</v>
      </c>
      <c r="E706" s="249" t="s">
        <v>3917</v>
      </c>
      <c r="F706" s="250" t="s">
        <v>82</v>
      </c>
      <c r="G706" s="251" t="s">
        <v>82</v>
      </c>
      <c r="H706" s="251"/>
      <c r="I706" s="252">
        <v>4</v>
      </c>
      <c r="J706" s="253">
        <v>0</v>
      </c>
      <c r="K706" s="253">
        <v>20</v>
      </c>
      <c r="L706" s="253" t="s">
        <v>265</v>
      </c>
      <c r="M706" s="253" t="s">
        <v>261</v>
      </c>
      <c r="N706" s="247" t="str">
        <f>IF(A706="k_CalRelNum_Cnt_u8[12]","CalRelNum",IF(F706="Y","TunSetCalSeg",IF(F706="N", "FlashCalSeg", "")))</f>
        <v>FlashCalSeg</v>
      </c>
    </row>
    <row r="707" spans="1:14" ht="40.799999999999997" x14ac:dyDescent="0.25">
      <c r="A707" s="254" t="s">
        <v>3912</v>
      </c>
      <c r="B707" s="248" t="s">
        <v>3913</v>
      </c>
      <c r="C707" s="249" t="s">
        <v>3880</v>
      </c>
      <c r="D707" s="249" t="s">
        <v>4913</v>
      </c>
      <c r="E707" s="249" t="s">
        <v>3914</v>
      </c>
      <c r="F707" s="250" t="s">
        <v>82</v>
      </c>
      <c r="G707" s="251" t="s">
        <v>82</v>
      </c>
      <c r="H707" s="251"/>
      <c r="I707" s="252">
        <v>65</v>
      </c>
      <c r="J707" s="253">
        <v>0</v>
      </c>
      <c r="K707" s="253">
        <v>255</v>
      </c>
      <c r="L707" s="253" t="s">
        <v>264</v>
      </c>
      <c r="M707" s="253" t="s">
        <v>261</v>
      </c>
      <c r="N707" s="247" t="str">
        <f>IF(A707="k_CalRelNum_Cnt_u8[12]","CalRelNum",IF(F707="Y","TunSetCalSeg",IF(F707="N", "FlashCalSeg", "")))</f>
        <v>FlashCalSeg</v>
      </c>
    </row>
    <row r="708" spans="1:14" ht="40.799999999999997" x14ac:dyDescent="0.25">
      <c r="A708" s="254" t="s">
        <v>3928</v>
      </c>
      <c r="B708" s="248" t="s">
        <v>3929</v>
      </c>
      <c r="C708" s="249" t="s">
        <v>3880</v>
      </c>
      <c r="D708" s="249" t="s">
        <v>4913</v>
      </c>
      <c r="E708" s="249" t="s">
        <v>3930</v>
      </c>
      <c r="F708" s="250" t="s">
        <v>82</v>
      </c>
      <c r="G708" s="251" t="s">
        <v>82</v>
      </c>
      <c r="H708" s="251"/>
      <c r="I708" s="252">
        <v>2000</v>
      </c>
      <c r="J708" s="253">
        <v>0</v>
      </c>
      <c r="K708" s="253">
        <v>60000</v>
      </c>
      <c r="L708" s="253" t="s">
        <v>273</v>
      </c>
      <c r="M708" s="253" t="s">
        <v>267</v>
      </c>
      <c r="N708" s="247" t="str">
        <f>IF(A708="k_CalRelNum_Cnt_u8[12]","CalRelNum",IF(F708="Y","TunSetCalSeg",IF(F708="N", "FlashCalSeg", "")))</f>
        <v>FlashCalSeg</v>
      </c>
    </row>
    <row r="709" spans="1:14" ht="40.799999999999997" x14ac:dyDescent="0.25">
      <c r="A709" s="254" t="s">
        <v>3943</v>
      </c>
      <c r="B709" s="248" t="s">
        <v>3944</v>
      </c>
      <c r="C709" s="249" t="s">
        <v>3880</v>
      </c>
      <c r="D709" s="249" t="s">
        <v>4913</v>
      </c>
      <c r="E709" s="249" t="s">
        <v>3945</v>
      </c>
      <c r="F709" s="250" t="s">
        <v>82</v>
      </c>
      <c r="G709" s="251" t="s">
        <v>82</v>
      </c>
      <c r="H709" s="251"/>
      <c r="I709" s="252">
        <v>2000</v>
      </c>
      <c r="J709" s="253">
        <v>0</v>
      </c>
      <c r="K709" s="253">
        <v>60000</v>
      </c>
      <c r="L709" s="253" t="s">
        <v>273</v>
      </c>
      <c r="M709" s="253" t="s">
        <v>267</v>
      </c>
      <c r="N709" s="247" t="str">
        <f>IF(A709="k_CalRelNum_Cnt_u8[12]","CalRelNum",IF(F709="Y","TunSetCalSeg",IF(F709="N", "FlashCalSeg", "")))</f>
        <v>FlashCalSeg</v>
      </c>
    </row>
    <row r="710" spans="1:14" ht="30.6" x14ac:dyDescent="0.25">
      <c r="A710" s="254" t="s">
        <v>3940</v>
      </c>
      <c r="B710" s="248" t="s">
        <v>3941</v>
      </c>
      <c r="C710" s="249" t="s">
        <v>3880</v>
      </c>
      <c r="D710" s="249" t="s">
        <v>4913</v>
      </c>
      <c r="E710" s="249" t="s">
        <v>3942</v>
      </c>
      <c r="F710" s="250" t="s">
        <v>82</v>
      </c>
      <c r="G710" s="251" t="s">
        <v>82</v>
      </c>
      <c r="H710" s="251"/>
      <c r="I710" s="252">
        <v>5</v>
      </c>
      <c r="J710" s="253">
        <v>0</v>
      </c>
      <c r="K710" s="253">
        <v>100</v>
      </c>
      <c r="L710" s="253" t="s">
        <v>268</v>
      </c>
      <c r="M710" s="253" t="s">
        <v>261</v>
      </c>
      <c r="N710" s="247" t="str">
        <f>IF(A710="k_CalRelNum_Cnt_u8[12]","CalRelNum",IF(F710="Y","TunSetCalSeg",IF(F710="N", "FlashCalSeg", "")))</f>
        <v>FlashCalSeg</v>
      </c>
    </row>
    <row r="711" spans="1:14" ht="30.6" x14ac:dyDescent="0.25">
      <c r="A711" s="254" t="s">
        <v>3931</v>
      </c>
      <c r="B711" s="248" t="s">
        <v>3932</v>
      </c>
      <c r="C711" s="249" t="s">
        <v>3880</v>
      </c>
      <c r="D711" s="249" t="s">
        <v>4913</v>
      </c>
      <c r="E711" s="249" t="s">
        <v>3933</v>
      </c>
      <c r="F711" s="250" t="s">
        <v>82</v>
      </c>
      <c r="G711" s="251" t="s">
        <v>82</v>
      </c>
      <c r="H711" s="251"/>
      <c r="I711" s="252">
        <v>20</v>
      </c>
      <c r="J711" s="253">
        <v>0</v>
      </c>
      <c r="K711" s="253">
        <v>700</v>
      </c>
      <c r="L711" s="253" t="s">
        <v>263</v>
      </c>
      <c r="M711" s="253" t="s">
        <v>261</v>
      </c>
      <c r="N711" s="247" t="str">
        <f>IF(A711="k_CalRelNum_Cnt_u8[12]","CalRelNum",IF(F711="Y","TunSetCalSeg",IF(F711="N", "FlashCalSeg", "")))</f>
        <v>FlashCalSeg</v>
      </c>
    </row>
    <row r="712" spans="1:14" ht="30.6" x14ac:dyDescent="0.25">
      <c r="A712" s="254" t="s">
        <v>3937</v>
      </c>
      <c r="B712" s="248" t="s">
        <v>3938</v>
      </c>
      <c r="C712" s="249" t="s">
        <v>3880</v>
      </c>
      <c r="D712" s="249" t="s">
        <v>4913</v>
      </c>
      <c r="E712" s="249" t="s">
        <v>3939</v>
      </c>
      <c r="F712" s="250" t="s">
        <v>82</v>
      </c>
      <c r="G712" s="251" t="s">
        <v>82</v>
      </c>
      <c r="H712" s="251"/>
      <c r="I712" s="252">
        <v>3</v>
      </c>
      <c r="J712" s="253">
        <v>0</v>
      </c>
      <c r="K712" s="253">
        <v>20</v>
      </c>
      <c r="L712" s="253" t="s">
        <v>265</v>
      </c>
      <c r="M712" s="253" t="s">
        <v>261</v>
      </c>
      <c r="N712" s="247" t="str">
        <f>IF(A712="k_CalRelNum_Cnt_u8[12]","CalRelNum",IF(F712="Y","TunSetCalSeg",IF(F712="N", "FlashCalSeg", "")))</f>
        <v>FlashCalSeg</v>
      </c>
    </row>
    <row r="713" spans="1:14" ht="30.6" x14ac:dyDescent="0.25">
      <c r="A713" s="254" t="s">
        <v>3934</v>
      </c>
      <c r="B713" s="248" t="s">
        <v>3935</v>
      </c>
      <c r="C713" s="249" t="s">
        <v>3880</v>
      </c>
      <c r="D713" s="249" t="s">
        <v>4913</v>
      </c>
      <c r="E713" s="249" t="s">
        <v>3936</v>
      </c>
      <c r="F713" s="250" t="s">
        <v>82</v>
      </c>
      <c r="G713" s="251" t="s">
        <v>82</v>
      </c>
      <c r="H713" s="251"/>
      <c r="I713" s="252">
        <v>65</v>
      </c>
      <c r="J713" s="253">
        <v>0</v>
      </c>
      <c r="K713" s="253">
        <v>255</v>
      </c>
      <c r="L713" s="253" t="s">
        <v>264</v>
      </c>
      <c r="M713" s="253" t="s">
        <v>261</v>
      </c>
      <c r="N713" s="247" t="str">
        <f>IF(A713="k_CalRelNum_Cnt_u8[12]","CalRelNum",IF(F713="Y","TunSetCalSeg",IF(F713="N", "FlashCalSeg", "")))</f>
        <v>FlashCalSeg</v>
      </c>
    </row>
    <row r="714" spans="1:14" ht="61.2" x14ac:dyDescent="0.25">
      <c r="A714" s="254" t="s">
        <v>3900</v>
      </c>
      <c r="B714" s="248" t="s">
        <v>3901</v>
      </c>
      <c r="C714" s="249" t="s">
        <v>3880</v>
      </c>
      <c r="D714" s="249" t="s">
        <v>4913</v>
      </c>
      <c r="E714" s="249" t="s">
        <v>3902</v>
      </c>
      <c r="F714" s="250" t="s">
        <v>82</v>
      </c>
      <c r="G714" s="251" t="s">
        <v>82</v>
      </c>
      <c r="H714" s="251"/>
      <c r="I714" s="252">
        <v>8</v>
      </c>
      <c r="J714" s="253">
        <v>0</v>
      </c>
      <c r="K714" s="253">
        <v>100</v>
      </c>
      <c r="L714" s="253" t="s">
        <v>268</v>
      </c>
      <c r="M714" s="253" t="s">
        <v>261</v>
      </c>
      <c r="N714" s="247" t="str">
        <f>IF(A714="k_CalRelNum_Cnt_u8[12]","CalRelNum",IF(F714="Y","TunSetCalSeg",IF(F714="N", "FlashCalSeg", "")))</f>
        <v>FlashCalSeg</v>
      </c>
    </row>
    <row r="715" spans="1:14" ht="61.2" x14ac:dyDescent="0.25">
      <c r="A715" s="254" t="s">
        <v>3897</v>
      </c>
      <c r="B715" s="248" t="s">
        <v>3898</v>
      </c>
      <c r="C715" s="249" t="s">
        <v>3880</v>
      </c>
      <c r="D715" s="249" t="s">
        <v>4913</v>
      </c>
      <c r="E715" s="249" t="s">
        <v>3899</v>
      </c>
      <c r="F715" s="250" t="s">
        <v>82</v>
      </c>
      <c r="G715" s="251" t="s">
        <v>82</v>
      </c>
      <c r="H715" s="251"/>
      <c r="I715" s="252">
        <v>0.1</v>
      </c>
      <c r="J715" s="253">
        <v>2.0000000000000001E-4</v>
      </c>
      <c r="K715" s="253">
        <v>0.1</v>
      </c>
      <c r="L715" s="253" t="s">
        <v>262</v>
      </c>
      <c r="M715" s="253" t="s">
        <v>261</v>
      </c>
      <c r="N715" s="247" t="str">
        <f>IF(A715="k_CalRelNum_Cnt_u8[12]","CalRelNum",IF(F715="Y","TunSetCalSeg",IF(F715="N", "FlashCalSeg", "")))</f>
        <v>FlashCalSeg</v>
      </c>
    </row>
    <row r="716" spans="1:14" ht="51" x14ac:dyDescent="0.25">
      <c r="A716" s="254" t="s">
        <v>3903</v>
      </c>
      <c r="B716" s="248" t="s">
        <v>3904</v>
      </c>
      <c r="C716" s="249" t="s">
        <v>3880</v>
      </c>
      <c r="D716" s="249" t="s">
        <v>4913</v>
      </c>
      <c r="E716" s="249" t="s">
        <v>3905</v>
      </c>
      <c r="F716" s="250" t="s">
        <v>82</v>
      </c>
      <c r="G716" s="251" t="s">
        <v>82</v>
      </c>
      <c r="H716" s="251"/>
      <c r="I716" s="252">
        <v>5.0000000000000001E-3</v>
      </c>
      <c r="J716" s="253">
        <v>2.0000000000000001E-4</v>
      </c>
      <c r="K716" s="253">
        <v>0.1</v>
      </c>
      <c r="L716" s="253" t="s">
        <v>262</v>
      </c>
      <c r="M716" s="253" t="s">
        <v>261</v>
      </c>
      <c r="N716" s="247" t="str">
        <f>IF(A716="k_CalRelNum_Cnt_u8[12]","CalRelNum",IF(F716="Y","TunSetCalSeg",IF(F716="N", "FlashCalSeg", "")))</f>
        <v>FlashCalSeg</v>
      </c>
    </row>
    <row r="717" spans="1:14" ht="30.6" x14ac:dyDescent="0.25">
      <c r="A717" s="254" t="s">
        <v>3894</v>
      </c>
      <c r="B717" s="248" t="s">
        <v>3895</v>
      </c>
      <c r="C717" s="249" t="s">
        <v>3880</v>
      </c>
      <c r="D717" s="249" t="s">
        <v>4913</v>
      </c>
      <c r="E717" s="249" t="s">
        <v>3896</v>
      </c>
      <c r="F717" s="250" t="s">
        <v>82</v>
      </c>
      <c r="G717" s="251" t="s">
        <v>82</v>
      </c>
      <c r="H717" s="251"/>
      <c r="I717" s="252">
        <v>500</v>
      </c>
      <c r="J717" s="253">
        <v>0</v>
      </c>
      <c r="K717" s="253">
        <v>60000</v>
      </c>
      <c r="L717" s="253" t="s">
        <v>266</v>
      </c>
      <c r="M717" s="253" t="s">
        <v>267</v>
      </c>
      <c r="N717" s="247" t="str">
        <f>IF(A717="k_CalRelNum_Cnt_u8[12]","CalRelNum",IF(F717="Y","TunSetCalSeg",IF(F717="N", "FlashCalSeg", "")))</f>
        <v>FlashCalSeg</v>
      </c>
    </row>
    <row r="718" spans="1:14" ht="30.6" x14ac:dyDescent="0.25">
      <c r="A718" s="254" t="s">
        <v>3885</v>
      </c>
      <c r="B718" s="248" t="s">
        <v>3886</v>
      </c>
      <c r="C718" s="249" t="s">
        <v>3880</v>
      </c>
      <c r="D718" s="249" t="s">
        <v>4913</v>
      </c>
      <c r="E718" s="249" t="s">
        <v>3887</v>
      </c>
      <c r="F718" s="250" t="s">
        <v>82</v>
      </c>
      <c r="G718" s="251" t="s">
        <v>82</v>
      </c>
      <c r="H718" s="251"/>
      <c r="I718" s="252">
        <v>30</v>
      </c>
      <c r="J718" s="253">
        <v>0</v>
      </c>
      <c r="K718" s="253">
        <v>700</v>
      </c>
      <c r="L718" s="253" t="s">
        <v>263</v>
      </c>
      <c r="M718" s="253" t="s">
        <v>261</v>
      </c>
      <c r="N718" s="247" t="str">
        <f>IF(A718="k_CalRelNum_Cnt_u8[12]","CalRelNum",IF(F718="Y","TunSetCalSeg",IF(F718="N", "FlashCalSeg", "")))</f>
        <v>FlashCalSeg</v>
      </c>
    </row>
    <row r="719" spans="1:14" ht="30.6" x14ac:dyDescent="0.25">
      <c r="A719" s="254" t="s">
        <v>3891</v>
      </c>
      <c r="B719" s="248" t="s">
        <v>3892</v>
      </c>
      <c r="C719" s="249" t="s">
        <v>3880</v>
      </c>
      <c r="D719" s="249" t="s">
        <v>4913</v>
      </c>
      <c r="E719" s="249" t="s">
        <v>3893</v>
      </c>
      <c r="F719" s="250" t="s">
        <v>82</v>
      </c>
      <c r="G719" s="251" t="s">
        <v>82</v>
      </c>
      <c r="H719" s="251"/>
      <c r="I719" s="252">
        <v>4</v>
      </c>
      <c r="J719" s="253">
        <v>0</v>
      </c>
      <c r="K719" s="253">
        <v>20</v>
      </c>
      <c r="L719" s="253" t="s">
        <v>265</v>
      </c>
      <c r="M719" s="253" t="s">
        <v>261</v>
      </c>
      <c r="N719" s="247" t="str">
        <f>IF(A719="k_CalRelNum_Cnt_u8[12]","CalRelNum",IF(F719="Y","TunSetCalSeg",IF(F719="N", "FlashCalSeg", "")))</f>
        <v>FlashCalSeg</v>
      </c>
    </row>
    <row r="720" spans="1:14" ht="40.799999999999997" x14ac:dyDescent="0.25">
      <c r="A720" s="254" t="s">
        <v>3888</v>
      </c>
      <c r="B720" s="248" t="s">
        <v>3889</v>
      </c>
      <c r="C720" s="249" t="s">
        <v>3880</v>
      </c>
      <c r="D720" s="249" t="s">
        <v>4913</v>
      </c>
      <c r="E720" s="249" t="s">
        <v>3890</v>
      </c>
      <c r="F720" s="250" t="s">
        <v>82</v>
      </c>
      <c r="G720" s="251" t="s">
        <v>82</v>
      </c>
      <c r="H720" s="251"/>
      <c r="I720" s="252">
        <v>20</v>
      </c>
      <c r="J720" s="253">
        <v>0</v>
      </c>
      <c r="K720" s="253">
        <v>255</v>
      </c>
      <c r="L720" s="253" t="s">
        <v>264</v>
      </c>
      <c r="M720" s="253" t="s">
        <v>261</v>
      </c>
      <c r="N720" s="247" t="str">
        <f>IF(A720="k_CalRelNum_Cnt_u8[12]","CalRelNum",IF(F720="Y","TunSetCalSeg",IF(F720="N", "FlashCalSeg", "")))</f>
        <v>FlashCalSeg</v>
      </c>
    </row>
    <row r="721" spans="1:14" ht="40.799999999999997" x14ac:dyDescent="0.25">
      <c r="A721" s="254" t="s">
        <v>3906</v>
      </c>
      <c r="B721" s="248" t="s">
        <v>3907</v>
      </c>
      <c r="C721" s="249" t="s">
        <v>3880</v>
      </c>
      <c r="D721" s="249" t="s">
        <v>4913</v>
      </c>
      <c r="E721" s="249" t="s">
        <v>3908</v>
      </c>
      <c r="F721" s="250" t="s">
        <v>82</v>
      </c>
      <c r="G721" s="251" t="s">
        <v>82</v>
      </c>
      <c r="H721" s="251"/>
      <c r="I721" s="252">
        <v>2000</v>
      </c>
      <c r="J721" s="253">
        <v>0</v>
      </c>
      <c r="K721" s="253">
        <v>60000</v>
      </c>
      <c r="L721" s="253" t="s">
        <v>273</v>
      </c>
      <c r="M721" s="253" t="s">
        <v>267</v>
      </c>
      <c r="N721" s="247" t="str">
        <f>IF(A721="k_CalRelNum_Cnt_u8[12]","CalRelNum",IF(F721="Y","TunSetCalSeg",IF(F721="N", "FlashCalSeg", "")))</f>
        <v>FlashCalSeg</v>
      </c>
    </row>
    <row r="722" spans="1:14" ht="30.6" x14ac:dyDescent="0.25">
      <c r="A722" s="254" t="s">
        <v>3882</v>
      </c>
      <c r="B722" s="248" t="s">
        <v>3883</v>
      </c>
      <c r="C722" s="249" t="s">
        <v>3880</v>
      </c>
      <c r="D722" s="249" t="s">
        <v>4913</v>
      </c>
      <c r="E722" s="249" t="s">
        <v>3884</v>
      </c>
      <c r="F722" s="250" t="s">
        <v>82</v>
      </c>
      <c r="G722" s="251" t="s">
        <v>82</v>
      </c>
      <c r="H722" s="251"/>
      <c r="I722" s="252">
        <v>3.5000000000000003E-2</v>
      </c>
      <c r="J722" s="253">
        <v>2.0000000000000001E-4</v>
      </c>
      <c r="K722" s="253">
        <v>0.1</v>
      </c>
      <c r="L722" s="253" t="s">
        <v>262</v>
      </c>
      <c r="M722" s="253" t="s">
        <v>261</v>
      </c>
      <c r="N722" s="247" t="str">
        <f>IF(A722="k_CalRelNum_Cnt_u8[12]","CalRelNum",IF(F722="Y","TunSetCalSeg",IF(F722="N", "FlashCalSeg", "")))</f>
        <v>FlashCalSeg</v>
      </c>
    </row>
    <row r="723" spans="1:14" ht="30.6" x14ac:dyDescent="0.25">
      <c r="A723" s="254" t="s">
        <v>3780</v>
      </c>
      <c r="B723" s="248" t="s">
        <v>3876</v>
      </c>
      <c r="C723" s="249" t="s">
        <v>3880</v>
      </c>
      <c r="D723" s="249" t="s">
        <v>4913</v>
      </c>
      <c r="E723" s="249" t="s">
        <v>3877</v>
      </c>
      <c r="F723" s="250" t="s">
        <v>82</v>
      </c>
      <c r="G723" s="251" t="s">
        <v>82</v>
      </c>
      <c r="H723" s="251"/>
      <c r="I723" s="252">
        <v>1</v>
      </c>
      <c r="J723" s="253">
        <v>0</v>
      </c>
      <c r="K723" s="253">
        <v>1</v>
      </c>
      <c r="L723" s="253" t="s">
        <v>260</v>
      </c>
      <c r="M723" s="253" t="s">
        <v>261</v>
      </c>
      <c r="N723" s="247" t="str">
        <f>IF(A723="k_CalRelNum_Cnt_u8[12]","CalRelNum",IF(F723="Y","TunSetCalSeg",IF(F723="N", "FlashCalSeg", "")))</f>
        <v>FlashCalSeg</v>
      </c>
    </row>
    <row r="724" spans="1:14" ht="30.6" x14ac:dyDescent="0.25">
      <c r="A724" s="254" t="s">
        <v>3779</v>
      </c>
      <c r="B724" s="248" t="s">
        <v>3874</v>
      </c>
      <c r="C724" s="249" t="s">
        <v>3880</v>
      </c>
      <c r="D724" s="249" t="s">
        <v>4913</v>
      </c>
      <c r="E724" s="249" t="s">
        <v>3875</v>
      </c>
      <c r="F724" s="250" t="s">
        <v>82</v>
      </c>
      <c r="G724" s="251" t="s">
        <v>82</v>
      </c>
      <c r="H724" s="251"/>
      <c r="I724" s="252">
        <v>1</v>
      </c>
      <c r="J724" s="253">
        <v>0</v>
      </c>
      <c r="K724" s="253">
        <v>1</v>
      </c>
      <c r="L724" s="253" t="s">
        <v>260</v>
      </c>
      <c r="M724" s="253" t="s">
        <v>261</v>
      </c>
      <c r="N724" s="247" t="str">
        <f>IF(A724="k_CalRelNum_Cnt_u8[12]","CalRelNum",IF(F724="Y","TunSetCalSeg",IF(F724="N", "FlashCalSeg", "")))</f>
        <v>FlashCalSeg</v>
      </c>
    </row>
    <row r="725" spans="1:14" ht="30.6" x14ac:dyDescent="0.25">
      <c r="A725" s="254" t="s">
        <v>5018</v>
      </c>
      <c r="B725" s="248" t="s">
        <v>5019</v>
      </c>
      <c r="C725" s="249" t="s">
        <v>3880</v>
      </c>
      <c r="D725" s="249" t="s">
        <v>4913</v>
      </c>
      <c r="E725" s="249" t="s">
        <v>5020</v>
      </c>
      <c r="F725" s="250" t="s">
        <v>82</v>
      </c>
      <c r="G725" s="251" t="s">
        <v>82</v>
      </c>
      <c r="H725" s="251"/>
      <c r="I725" s="252" t="b">
        <v>1</v>
      </c>
      <c r="J725" s="253" t="b">
        <v>0</v>
      </c>
      <c r="K725" s="253" t="b">
        <v>1</v>
      </c>
      <c r="L725" s="253" t="s">
        <v>1211</v>
      </c>
      <c r="M725" s="253" t="s">
        <v>501</v>
      </c>
      <c r="N725" s="247" t="str">
        <f>IF(A725="k_CalRelNum_Cnt_u8[12]","CalRelNum",IF(F725="Y","TunSetCalSeg",IF(F725="N", "FlashCalSeg", "")))</f>
        <v>FlashCalSeg</v>
      </c>
    </row>
    <row r="726" spans="1:14" ht="30.6" x14ac:dyDescent="0.25">
      <c r="A726" s="254" t="s">
        <v>5021</v>
      </c>
      <c r="B726" s="248" t="s">
        <v>5022</v>
      </c>
      <c r="C726" s="249" t="s">
        <v>3880</v>
      </c>
      <c r="D726" s="249" t="s">
        <v>4913</v>
      </c>
      <c r="E726" s="249" t="s">
        <v>5023</v>
      </c>
      <c r="F726" s="250" t="s">
        <v>82</v>
      </c>
      <c r="G726" s="251" t="s">
        <v>82</v>
      </c>
      <c r="H726" s="251"/>
      <c r="I726" s="252">
        <v>0.3</v>
      </c>
      <c r="J726" s="253">
        <v>0</v>
      </c>
      <c r="K726" s="253">
        <v>1</v>
      </c>
      <c r="L726" s="253" t="s">
        <v>260</v>
      </c>
      <c r="M726" s="253" t="s">
        <v>261</v>
      </c>
      <c r="N726" s="247" t="str">
        <f>IF(A726="k_CalRelNum_Cnt_u8[12]","CalRelNum",IF(F726="Y","TunSetCalSeg",IF(F726="N", "FlashCalSeg", "")))</f>
        <v>FlashCalSeg</v>
      </c>
    </row>
    <row r="727" spans="1:14" ht="20.399999999999999" x14ac:dyDescent="0.25">
      <c r="A727" s="254" t="s">
        <v>5030</v>
      </c>
      <c r="B727" s="248" t="s">
        <v>5031</v>
      </c>
      <c r="C727" s="249" t="s">
        <v>3880</v>
      </c>
      <c r="D727" s="249" t="s">
        <v>4913</v>
      </c>
      <c r="E727" s="249" t="s">
        <v>5032</v>
      </c>
      <c r="F727" s="250" t="s">
        <v>82</v>
      </c>
      <c r="G727" s="251" t="s">
        <v>82</v>
      </c>
      <c r="H727" s="251"/>
      <c r="I727" s="252">
        <v>0.1</v>
      </c>
      <c r="J727" s="253">
        <v>0</v>
      </c>
      <c r="K727" s="253">
        <v>1</v>
      </c>
      <c r="L727" s="253" t="s">
        <v>260</v>
      </c>
      <c r="M727" s="253" t="s">
        <v>261</v>
      </c>
      <c r="N727" s="247" t="str">
        <f>IF(A727="k_CalRelNum_Cnt_u8[12]","CalRelNum",IF(F727="Y","TunSetCalSeg",IF(F727="N", "FlashCalSeg", "")))</f>
        <v>FlashCalSeg</v>
      </c>
    </row>
    <row r="728" spans="1:14" ht="30.6" x14ac:dyDescent="0.25">
      <c r="A728" s="254" t="s">
        <v>3878</v>
      </c>
      <c r="B728" s="248" t="s">
        <v>852</v>
      </c>
      <c r="C728" s="249" t="s">
        <v>3880</v>
      </c>
      <c r="D728" s="249" t="s">
        <v>224</v>
      </c>
      <c r="E728" s="249" t="s">
        <v>3879</v>
      </c>
      <c r="F728" s="250" t="s">
        <v>81</v>
      </c>
      <c r="G728" s="251" t="s">
        <v>82</v>
      </c>
      <c r="H728" s="251"/>
      <c r="I728" s="252">
        <v>22</v>
      </c>
      <c r="J728" s="253">
        <v>1</v>
      </c>
      <c r="K728" s="253">
        <v>100</v>
      </c>
      <c r="L728" s="253" t="s">
        <v>3881</v>
      </c>
      <c r="M728" s="253" t="s">
        <v>261</v>
      </c>
      <c r="N728" s="247" t="str">
        <f>IF(A728="k_CalRelNum_Cnt_u8[12]","CalRelNum",IF(F728="Y","TunSetCalSeg",IF(F728="N", "FlashCalSeg", "")))</f>
        <v>TunSetCalSeg</v>
      </c>
    </row>
    <row r="729" spans="1:14" ht="30.6" x14ac:dyDescent="0.25">
      <c r="A729" s="254" t="s">
        <v>5024</v>
      </c>
      <c r="B729" s="248" t="s">
        <v>5025</v>
      </c>
      <c r="C729" s="249" t="s">
        <v>3880</v>
      </c>
      <c r="D729" s="249" t="s">
        <v>4913</v>
      </c>
      <c r="E729" s="249" t="s">
        <v>5026</v>
      </c>
      <c r="F729" s="250" t="s">
        <v>82</v>
      </c>
      <c r="G729" s="251" t="s">
        <v>82</v>
      </c>
      <c r="H729" s="251"/>
      <c r="I729" s="252">
        <v>20</v>
      </c>
      <c r="J729" s="253">
        <v>0</v>
      </c>
      <c r="K729" s="253">
        <v>100</v>
      </c>
      <c r="L729" s="253" t="s">
        <v>260</v>
      </c>
      <c r="M729" s="253" t="s">
        <v>261</v>
      </c>
      <c r="N729" s="247" t="str">
        <f>IF(A729="k_CalRelNum_Cnt_u8[12]","CalRelNum",IF(F729="Y","TunSetCalSeg",IF(F729="N", "FlashCalSeg", "")))</f>
        <v>FlashCalSeg</v>
      </c>
    </row>
    <row r="730" spans="1:14" x14ac:dyDescent="0.25">
      <c r="A730" s="254" t="s">
        <v>5027</v>
      </c>
      <c r="B730" s="248" t="s">
        <v>5028</v>
      </c>
      <c r="C730" s="249" t="s">
        <v>3880</v>
      </c>
      <c r="D730" s="249" t="s">
        <v>4913</v>
      </c>
      <c r="E730" s="249" t="s">
        <v>5029</v>
      </c>
      <c r="F730" s="250" t="s">
        <v>82</v>
      </c>
      <c r="G730" s="251" t="s">
        <v>82</v>
      </c>
      <c r="H730" s="251"/>
      <c r="I730" s="252">
        <v>0.3</v>
      </c>
      <c r="J730" s="253">
        <v>0</v>
      </c>
      <c r="K730" s="253">
        <v>1</v>
      </c>
      <c r="L730" s="253" t="s">
        <v>260</v>
      </c>
      <c r="M730" s="253" t="s">
        <v>261</v>
      </c>
      <c r="N730" s="247" t="str">
        <f>IF(A730="k_CalRelNum_Cnt_u8[12]","CalRelNum",IF(F730="Y","TunSetCalSeg",IF(F730="N", "FlashCalSeg", "")))</f>
        <v>FlashCalSeg</v>
      </c>
    </row>
    <row r="731" spans="1:14" x14ac:dyDescent="0.25">
      <c r="A731" s="254" t="s">
        <v>5111</v>
      </c>
      <c r="B731" s="248"/>
      <c r="C731" s="249" t="s">
        <v>1006</v>
      </c>
      <c r="D731" s="249" t="s">
        <v>223</v>
      </c>
      <c r="E731" s="249"/>
      <c r="F731" s="250" t="s">
        <v>82</v>
      </c>
      <c r="G731" s="251" t="s">
        <v>82</v>
      </c>
      <c r="H731" s="251"/>
      <c r="I731" s="252">
        <v>300</v>
      </c>
      <c r="J731" s="253">
        <v>0</v>
      </c>
      <c r="K731" s="253">
        <v>8191.875</v>
      </c>
      <c r="L731" s="253" t="s">
        <v>5112</v>
      </c>
      <c r="M731" s="253" t="s">
        <v>261</v>
      </c>
      <c r="N731" s="247" t="str">
        <f>IF(A731="k_CalRelNum_Cnt_u8[12]","CalRelNum",IF(F731="Y","TunSetCalSeg",IF(F731="N", "FlashCalSeg", "")))</f>
        <v>FlashCalSeg</v>
      </c>
    </row>
    <row r="732" spans="1:14" x14ac:dyDescent="0.25">
      <c r="A732" s="254" t="s">
        <v>5113</v>
      </c>
      <c r="B732" s="248"/>
      <c r="C732" s="249" t="s">
        <v>1006</v>
      </c>
      <c r="D732" s="249" t="s">
        <v>223</v>
      </c>
      <c r="E732" s="249"/>
      <c r="F732" s="250" t="s">
        <v>82</v>
      </c>
      <c r="G732" s="251" t="s">
        <v>82</v>
      </c>
      <c r="H732" s="251"/>
      <c r="I732" s="252">
        <v>50</v>
      </c>
      <c r="J732" s="253">
        <v>0</v>
      </c>
      <c r="K732" s="253">
        <v>8191.875</v>
      </c>
      <c r="L732" s="253" t="s">
        <v>5112</v>
      </c>
      <c r="M732" s="253" t="s">
        <v>261</v>
      </c>
      <c r="N732" s="247" t="str">
        <f>IF(A732="k_CalRelNum_Cnt_u8[12]","CalRelNum",IF(F732="Y","TunSetCalSeg",IF(F732="N", "FlashCalSeg", "")))</f>
        <v>FlashCalSeg</v>
      </c>
    </row>
    <row r="733" spans="1:14" x14ac:dyDescent="0.25">
      <c r="A733" s="254" t="s">
        <v>1005</v>
      </c>
      <c r="B733" s="248"/>
      <c r="C733" s="249" t="s">
        <v>1006</v>
      </c>
      <c r="D733" s="249" t="s">
        <v>223</v>
      </c>
      <c r="E733" s="249"/>
      <c r="F733" s="250" t="s">
        <v>82</v>
      </c>
      <c r="G733" s="251" t="s">
        <v>82</v>
      </c>
      <c r="H733" s="251"/>
      <c r="I733" s="252">
        <v>5.0000000000000001E-4</v>
      </c>
      <c r="J733" s="253">
        <v>1E-4</v>
      </c>
      <c r="K733" s="253">
        <v>5.0000000000000001E-3</v>
      </c>
      <c r="L733" s="253" t="s">
        <v>1004</v>
      </c>
      <c r="M733" s="253" t="s">
        <v>261</v>
      </c>
      <c r="N733" s="247" t="str">
        <f>IF(A733="k_CalRelNum_Cnt_u8[12]","CalRelNum",IF(F733="Y","TunSetCalSeg",IF(F733="N", "FlashCalSeg", "")))</f>
        <v>FlashCalSeg</v>
      </c>
    </row>
    <row r="734" spans="1:14" x14ac:dyDescent="0.25">
      <c r="A734" s="254" t="s">
        <v>1007</v>
      </c>
      <c r="B734" s="248"/>
      <c r="C734" s="249" t="s">
        <v>1006</v>
      </c>
      <c r="D734" s="249" t="s">
        <v>223</v>
      </c>
      <c r="E734" s="249"/>
      <c r="F734" s="250" t="s">
        <v>82</v>
      </c>
      <c r="G734" s="251" t="s">
        <v>82</v>
      </c>
      <c r="H734" s="251"/>
      <c r="I734" s="252">
        <v>5.0000000000000001E-4</v>
      </c>
      <c r="J734" s="253">
        <v>1E-4</v>
      </c>
      <c r="K734" s="253">
        <v>5.0000000000000001E-3</v>
      </c>
      <c r="L734" s="253" t="s">
        <v>1004</v>
      </c>
      <c r="M734" s="253" t="s">
        <v>261</v>
      </c>
      <c r="N734" s="247" t="str">
        <f>IF(A734="k_CalRelNum_Cnt_u8[12]","CalRelNum",IF(F734="Y","TunSetCalSeg",IF(F734="N", "FlashCalSeg", "")))</f>
        <v>FlashCalSeg</v>
      </c>
    </row>
    <row r="735" spans="1:14" ht="20.399999999999999" x14ac:dyDescent="0.25">
      <c r="A735" s="254" t="s">
        <v>5110</v>
      </c>
      <c r="B735" s="248"/>
      <c r="C735" s="249" t="s">
        <v>1006</v>
      </c>
      <c r="D735" s="249" t="s">
        <v>223</v>
      </c>
      <c r="E735" s="249"/>
      <c r="F735" s="250" t="s">
        <v>82</v>
      </c>
      <c r="G735" s="251" t="s">
        <v>82</v>
      </c>
      <c r="H735" s="251"/>
      <c r="I735" s="252">
        <v>5</v>
      </c>
      <c r="J735" s="253">
        <v>0</v>
      </c>
      <c r="K735" s="253">
        <v>512</v>
      </c>
      <c r="L735" s="253" t="s">
        <v>311</v>
      </c>
      <c r="M735" s="253" t="s">
        <v>261</v>
      </c>
      <c r="N735" s="247" t="str">
        <f>IF(A735="k_CalRelNum_Cnt_u8[12]","CalRelNum",IF(F735="Y","TunSetCalSeg",IF(F735="N", "FlashCalSeg", "")))</f>
        <v>FlashCalSeg</v>
      </c>
    </row>
    <row r="736" spans="1:14" ht="20.399999999999999" x14ac:dyDescent="0.25">
      <c r="A736" s="254" t="s">
        <v>1852</v>
      </c>
      <c r="B736" s="248" t="s">
        <v>1853</v>
      </c>
      <c r="C736" s="249" t="s">
        <v>1854</v>
      </c>
      <c r="D736" s="249" t="s">
        <v>206</v>
      </c>
      <c r="E736" s="249"/>
      <c r="F736" s="250" t="s">
        <v>82</v>
      </c>
      <c r="G736" s="251" t="s">
        <v>82</v>
      </c>
      <c r="H736" s="251"/>
      <c r="I736" s="252">
        <v>140</v>
      </c>
      <c r="J736" s="253">
        <v>0</v>
      </c>
      <c r="K736" s="253">
        <v>900</v>
      </c>
      <c r="L736" s="253" t="s">
        <v>268</v>
      </c>
      <c r="M736" s="253" t="s">
        <v>711</v>
      </c>
      <c r="N736" s="247" t="str">
        <f>IF(A736="k_CalRelNum_Cnt_u8[12]","CalRelNum",IF(F736="Y","TunSetCalSeg",IF(F736="N", "FlashCalSeg", "")))</f>
        <v>FlashCalSeg</v>
      </c>
    </row>
    <row r="737" spans="1:14" ht="20.399999999999999" x14ac:dyDescent="0.25">
      <c r="A737" s="254" t="s">
        <v>1855</v>
      </c>
      <c r="B737" s="248" t="s">
        <v>1856</v>
      </c>
      <c r="C737" s="249" t="s">
        <v>1854</v>
      </c>
      <c r="D737" s="249" t="s">
        <v>206</v>
      </c>
      <c r="E737" s="249"/>
      <c r="F737" s="250" t="s">
        <v>82</v>
      </c>
      <c r="G737" s="251" t="s">
        <v>82</v>
      </c>
      <c r="H737" s="251"/>
      <c r="I737" s="252">
        <v>120</v>
      </c>
      <c r="J737" s="253">
        <v>0</v>
      </c>
      <c r="K737" s="253">
        <v>900</v>
      </c>
      <c r="L737" s="253" t="s">
        <v>268</v>
      </c>
      <c r="M737" s="253" t="s">
        <v>711</v>
      </c>
      <c r="N737" s="247" t="str">
        <f>IF(A737="k_CalRelNum_Cnt_u8[12]","CalRelNum",IF(F737="Y","TunSetCalSeg",IF(F737="N", "FlashCalSeg", "")))</f>
        <v>FlashCalSeg</v>
      </c>
    </row>
    <row r="738" spans="1:14" ht="20.399999999999999" x14ac:dyDescent="0.25">
      <c r="A738" s="254" t="s">
        <v>1857</v>
      </c>
      <c r="B738" s="248" t="s">
        <v>1858</v>
      </c>
      <c r="C738" s="249" t="s">
        <v>1854</v>
      </c>
      <c r="D738" s="249" t="s">
        <v>206</v>
      </c>
      <c r="E738" s="249"/>
      <c r="F738" s="250" t="s">
        <v>82</v>
      </c>
      <c r="G738" s="251" t="s">
        <v>82</v>
      </c>
      <c r="H738" s="251" t="s">
        <v>1859</v>
      </c>
      <c r="I738" s="252" t="s">
        <v>1860</v>
      </c>
      <c r="J738" s="253">
        <v>0</v>
      </c>
      <c r="K738" s="253">
        <v>255</v>
      </c>
      <c r="L738" s="253" t="s">
        <v>311</v>
      </c>
      <c r="M738" s="253" t="s">
        <v>370</v>
      </c>
      <c r="N738" s="247" t="str">
        <f>IF(A738="k_CalRelNum_Cnt_u8[12]","CalRelNum",IF(F738="Y","TunSetCalSeg",IF(F738="N", "FlashCalSeg", "")))</f>
        <v>FlashCalSeg</v>
      </c>
    </row>
    <row r="739" spans="1:14" ht="20.399999999999999" x14ac:dyDescent="0.25">
      <c r="A739" s="254" t="s">
        <v>1861</v>
      </c>
      <c r="B739" s="248" t="s">
        <v>1862</v>
      </c>
      <c r="C739" s="249" t="s">
        <v>1854</v>
      </c>
      <c r="D739" s="249" t="s">
        <v>206</v>
      </c>
      <c r="E739" s="249"/>
      <c r="F739" s="250" t="s">
        <v>82</v>
      </c>
      <c r="G739" s="251" t="s">
        <v>82</v>
      </c>
      <c r="H739" s="251" t="s">
        <v>1863</v>
      </c>
      <c r="I739" s="252" t="s">
        <v>1864</v>
      </c>
      <c r="J739" s="253">
        <v>0</v>
      </c>
      <c r="K739" s="253">
        <v>8.8000000000000007</v>
      </c>
      <c r="L739" s="253" t="s">
        <v>256</v>
      </c>
      <c r="M739" s="253" t="s">
        <v>414</v>
      </c>
      <c r="N739" s="247" t="str">
        <f>IF(A739="k_CalRelNum_Cnt_u8[12]","CalRelNum",IF(F739="Y","TunSetCalSeg",IF(F739="N", "FlashCalSeg", "")))</f>
        <v>FlashCalSeg</v>
      </c>
    </row>
  </sheetData>
  <sheetProtection insertColumns="0" insertRows="0" insertHyperlinks="0" deleteColumns="0" deleteRows="0" sort="0" autoFilter="0" pivotTables="0"/>
  <sortState ref="A6:N739">
    <sortCondition ref="C6:C739"/>
    <sortCondition ref="A6:A739"/>
  </sortState>
  <mergeCells count="4">
    <mergeCell ref="A1:N1"/>
    <mergeCell ref="J3:K3"/>
    <mergeCell ref="H2:M2"/>
    <mergeCell ref="A2:G2"/>
  </mergeCells>
  <conditionalFormatting sqref="F560:M567 B560:D567 F660:M671 B660:D671 F6:N6 F610:M632 B610:D632 B391:D521 F391:M521 C390 F7:M389 B720:D725 F720:M725 B6:D389 F593:M607 B593:D607 N7:N737">
    <cfRule type="expression" dxfId="34" priority="546" stopIfTrue="1">
      <formula>IF($A6&lt;&gt;"",IF(B6="",TRUE,FALSE),FALSE)</formula>
    </cfRule>
  </conditionalFormatting>
  <conditionalFormatting sqref="B522:D555 F522:M555">
    <cfRule type="expression" dxfId="33" priority="542" stopIfTrue="1">
      <formula>IF($A522&lt;&gt;"",IF(B522="",TRUE,FALSE),FALSE)</formula>
    </cfRule>
  </conditionalFormatting>
  <conditionalFormatting sqref="B556:D559 F556:M559">
    <cfRule type="expression" dxfId="32" priority="540" stopIfTrue="1">
      <formula>IF($A556&lt;&gt;"",IF(B556="",TRUE,FALSE),FALSE)</formula>
    </cfRule>
  </conditionalFormatting>
  <conditionalFormatting sqref="F568:M582 B568:D582">
    <cfRule type="expression" dxfId="31" priority="528" stopIfTrue="1">
      <formula>IF($A568&lt;&gt;"",IF(B568="",TRUE,FALSE),FALSE)</formula>
    </cfRule>
  </conditionalFormatting>
  <conditionalFormatting sqref="F583:M592 B583:D592">
    <cfRule type="expression" dxfId="30" priority="512" stopIfTrue="1">
      <formula>IF($A583&lt;&gt;"",IF(B583="",TRUE,FALSE),FALSE)</formula>
    </cfRule>
  </conditionalFormatting>
  <conditionalFormatting sqref="F608:M609 B608:D609">
    <cfRule type="expression" dxfId="29" priority="416" stopIfTrue="1">
      <formula>IF($A608&lt;&gt;"",IF(B608="",TRUE,FALSE),FALSE)</formula>
    </cfRule>
  </conditionalFormatting>
  <conditionalFormatting sqref="F633:M640 B633:D640">
    <cfRule type="expression" dxfId="28" priority="38" stopIfTrue="1">
      <formula>IF($A633&lt;&gt;"",IF(B633="",TRUE,FALSE),FALSE)</formula>
    </cfRule>
  </conditionalFormatting>
  <conditionalFormatting sqref="F641:M641 B641:D641">
    <cfRule type="expression" dxfId="27" priority="37" stopIfTrue="1">
      <formula>IF($A641&lt;&gt;"",IF(B641="",TRUE,FALSE),FALSE)</formula>
    </cfRule>
  </conditionalFormatting>
  <conditionalFormatting sqref="F642:M643 B642:D643">
    <cfRule type="expression" dxfId="26" priority="35" stopIfTrue="1">
      <formula>IF($A642&lt;&gt;"",IF(B642="",TRUE,FALSE),FALSE)</formula>
    </cfRule>
  </conditionalFormatting>
  <conditionalFormatting sqref="F644:M659 B644:D659">
    <cfRule type="expression" dxfId="25" priority="33" stopIfTrue="1">
      <formula>IF($A644&lt;&gt;"",IF(B644="",TRUE,FALSE),FALSE)</formula>
    </cfRule>
  </conditionalFormatting>
  <conditionalFormatting sqref="F672:M676 B672:D676">
    <cfRule type="expression" dxfId="24" priority="28" stopIfTrue="1">
      <formula>IF($A672&lt;&gt;"",IF(B672="",TRUE,FALSE),FALSE)</formula>
    </cfRule>
  </conditionalFormatting>
  <conditionalFormatting sqref="F677:M678 B677:D678">
    <cfRule type="expression" dxfId="23" priority="26" stopIfTrue="1">
      <formula>IF($A677&lt;&gt;"",IF(B677="",TRUE,FALSE),FALSE)</formula>
    </cfRule>
  </conditionalFormatting>
  <conditionalFormatting sqref="F679:M691 B679:D691">
    <cfRule type="expression" dxfId="22" priority="24" stopIfTrue="1">
      <formula>IF($A679&lt;&gt;"",IF(B679="",TRUE,FALSE),FALSE)</formula>
    </cfRule>
  </conditionalFormatting>
  <conditionalFormatting sqref="F692:M692 B692:D692">
    <cfRule type="expression" dxfId="21" priority="22" stopIfTrue="1">
      <formula>IF($A692&lt;&gt;"",IF(B692="",TRUE,FALSE),FALSE)</formula>
    </cfRule>
  </conditionalFormatting>
  <conditionalFormatting sqref="F693:M717 B693:D717">
    <cfRule type="expression" dxfId="20" priority="20" stopIfTrue="1">
      <formula>IF($A693&lt;&gt;"",IF(B693="",TRUE,FALSE),FALSE)</formula>
    </cfRule>
  </conditionalFormatting>
  <conditionalFormatting sqref="F718:M719 B718:D719">
    <cfRule type="expression" dxfId="19" priority="18" stopIfTrue="1">
      <formula>IF($A718&lt;&gt;"",IF(B718="",TRUE,FALSE),FALSE)</formula>
    </cfRule>
  </conditionalFormatting>
  <conditionalFormatting sqref="B390">
    <cfRule type="expression" dxfId="18" priority="15" stopIfTrue="1">
      <formula>IF($A390&lt;&gt;"",IF(B390="",TRUE,FALSE),FALSE)</formula>
    </cfRule>
  </conditionalFormatting>
  <conditionalFormatting sqref="H390:M390">
    <cfRule type="expression" dxfId="17" priority="14" stopIfTrue="1">
      <formula>IF($A390&lt;&gt;"",IF(H390="",TRUE,FALSE),FALSE)</formula>
    </cfRule>
  </conditionalFormatting>
  <conditionalFormatting sqref="D390 F390:G390">
    <cfRule type="expression" dxfId="16" priority="13" stopIfTrue="1">
      <formula>IF($A390&lt;&gt;"",IF(D390="",TRUE,FALSE),FALSE)</formula>
    </cfRule>
  </conditionalFormatting>
  <conditionalFormatting sqref="F726:M726 B726:D726">
    <cfRule type="expression" dxfId="15" priority="10" stopIfTrue="1">
      <formula>IF($A726&lt;&gt;"",IF(B726="",TRUE,FALSE),FALSE)</formula>
    </cfRule>
  </conditionalFormatting>
  <conditionalFormatting sqref="F727:M729 B727:D729">
    <cfRule type="expression" dxfId="14" priority="8" stopIfTrue="1">
      <formula>IF($A727&lt;&gt;"",IF(B727="",TRUE,FALSE),FALSE)</formula>
    </cfRule>
  </conditionalFormatting>
  <conditionalFormatting sqref="F730:M737 B730:D737">
    <cfRule type="expression" dxfId="13" priority="6" stopIfTrue="1">
      <formula>IF($A730&lt;&gt;"",IF(B730="",TRUE,FALSE),FALSE)</formula>
    </cfRule>
  </conditionalFormatting>
  <conditionalFormatting sqref="F738:M738 B738:D738">
    <cfRule type="expression" dxfId="12" priority="4" stopIfTrue="1">
      <formula>IF($A738&lt;&gt;"",IF(B738="",TRUE,FALSE),FALSE)</formula>
    </cfRule>
  </conditionalFormatting>
  <conditionalFormatting sqref="N738">
    <cfRule type="expression" dxfId="11" priority="3" stopIfTrue="1">
      <formula>IF($A738&lt;&gt;"",IF(N738="",TRUE,FALSE),FALSE)</formula>
    </cfRule>
  </conditionalFormatting>
  <conditionalFormatting sqref="F739:M739 B739:D739">
    <cfRule type="expression" dxfId="4" priority="2" stopIfTrue="1">
      <formula>IF($A739&lt;&gt;"",IF(B739="",TRUE,FALSE),FALSE)</formula>
    </cfRule>
  </conditionalFormatting>
  <conditionalFormatting sqref="N739">
    <cfRule type="expression" dxfId="2" priority="1" stopIfTrue="1">
      <formula>IF($A739&lt;&gt;"",IF(N739="",TRUE,FALSE),FALSE)</formula>
    </cfRule>
  </conditionalFormatting>
  <dataValidations count="3">
    <dataValidation type="list" allowBlank="1" showInputMessage="1" showErrorMessage="1" sqref="H145:H170 G5:G170 G727:H65347 G171:H389 G390:G726 H391:H725">
      <formula1>$R$1:$R$2</formula1>
    </dataValidation>
    <dataValidation type="list" allowBlank="1" showInputMessage="1" showErrorMessage="1" sqref="D6:D144 D390 D726">
      <formula1>FDDValList</formula1>
    </dataValidation>
    <dataValidation type="list" allowBlank="1" showInputMessage="1" showErrorMessage="1" sqref="F6:F65347">
      <formula1>$R$1:$R$3</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zoomScale="80" zoomScaleNormal="80" workbookViewId="0">
      <pane xSplit="5" ySplit="4" topLeftCell="F5" activePane="bottomRight" state="frozen"/>
      <selection pane="topRight" activeCell="E1" sqref="E1"/>
      <selection pane="bottomLeft" activeCell="A5" sqref="A5"/>
      <selection pane="bottomRight" activeCell="A5" sqref="A5"/>
    </sheetView>
  </sheetViews>
  <sheetFormatPr defaultColWidth="9.109375" defaultRowHeight="13.2" x14ac:dyDescent="0.25"/>
  <cols>
    <col min="1" max="1" width="36" style="2" customWidth="1"/>
    <col min="2" max="2" width="26.109375" style="1" customWidth="1"/>
    <col min="3" max="3" width="6.44140625" style="39" bestFit="1" customWidth="1"/>
    <col min="4" max="4" width="7" style="39" bestFit="1" customWidth="1"/>
    <col min="5" max="5" width="21.6640625" style="40" customWidth="1"/>
    <col min="6" max="6" width="3.33203125" style="1" customWidth="1"/>
    <col min="7" max="24" width="3.33203125" style="1" bestFit="1" customWidth="1"/>
    <col min="25" max="25" width="3.33203125" style="1" customWidth="1"/>
    <col min="26" max="37" width="3.33203125" style="1" bestFit="1" customWidth="1"/>
    <col min="38" max="38" width="3.33203125" style="1" customWidth="1"/>
    <col min="39" max="50" width="3.33203125" style="1" bestFit="1" customWidth="1"/>
    <col min="51" max="51" width="3.33203125" style="1" customWidth="1"/>
    <col min="52" max="52" width="3.33203125" style="1" bestFit="1" customWidth="1"/>
    <col min="53" max="53" width="3.33203125" style="1" customWidth="1"/>
    <col min="54" max="78" width="3.33203125" style="1" bestFit="1" customWidth="1"/>
    <col min="79" max="16384" width="9.109375" style="1"/>
  </cols>
  <sheetData>
    <row r="1" spans="1:79" s="30" customFormat="1" ht="29.25" customHeight="1" thickBot="1" x14ac:dyDescent="0.3">
      <c r="A1" s="269" t="str">
        <f>'Change Log'!A1:D1</f>
        <v>Haitec LC - Rev 40</v>
      </c>
      <c r="B1" s="270"/>
      <c r="C1" s="270"/>
      <c r="D1" s="270"/>
      <c r="E1" s="270"/>
    </row>
    <row r="2" spans="1:79" ht="13.5" customHeight="1" thickBot="1" x14ac:dyDescent="0.3">
      <c r="A2" s="271" t="s">
        <v>14</v>
      </c>
      <c r="B2" s="272"/>
      <c r="C2" s="64"/>
      <c r="D2" s="64"/>
      <c r="E2" s="50" t="s">
        <v>84</v>
      </c>
      <c r="F2" s="273" t="s">
        <v>12</v>
      </c>
      <c r="G2" s="274"/>
      <c r="H2" s="274"/>
      <c r="I2" s="274"/>
      <c r="J2" s="274"/>
      <c r="K2" s="274"/>
      <c r="L2" s="274"/>
      <c r="M2" s="274"/>
      <c r="N2" s="274"/>
      <c r="O2" s="274"/>
      <c r="P2" s="274"/>
      <c r="Q2" s="274"/>
      <c r="R2" s="274"/>
      <c r="S2" s="274"/>
      <c r="T2" s="274"/>
      <c r="U2" s="274"/>
      <c r="V2" s="274"/>
      <c r="W2" s="274"/>
      <c r="X2" s="274"/>
      <c r="Y2" s="274"/>
      <c r="Z2" s="274"/>
      <c r="AA2" s="274"/>
      <c r="AB2" s="274"/>
      <c r="AC2" s="274"/>
      <c r="AD2" s="274"/>
      <c r="AE2" s="274"/>
      <c r="AF2" s="274"/>
      <c r="AG2" s="274"/>
      <c r="AH2" s="274"/>
      <c r="AI2" s="274"/>
      <c r="AJ2" s="274"/>
      <c r="AK2" s="274"/>
      <c r="AL2" s="274"/>
      <c r="AM2" s="274"/>
      <c r="AN2" s="274"/>
      <c r="AO2" s="274"/>
      <c r="AP2" s="274"/>
      <c r="AQ2" s="274"/>
      <c r="AR2" s="274"/>
      <c r="AS2" s="274"/>
      <c r="AT2" s="274"/>
      <c r="AU2" s="274"/>
      <c r="AV2" s="274"/>
      <c r="AW2" s="274"/>
      <c r="AX2" s="274"/>
      <c r="AY2" s="274"/>
      <c r="AZ2" s="274"/>
      <c r="BA2" s="274"/>
      <c r="BB2" s="274"/>
      <c r="BC2" s="274"/>
      <c r="BD2" s="274"/>
      <c r="BE2" s="274"/>
      <c r="BF2" s="274"/>
      <c r="BG2" s="274"/>
      <c r="BH2" s="274"/>
      <c r="BI2" s="274"/>
      <c r="BJ2" s="274"/>
      <c r="BK2" s="274"/>
      <c r="BL2" s="274"/>
      <c r="BM2" s="274"/>
      <c r="BN2" s="274"/>
      <c r="BO2" s="274"/>
      <c r="BP2" s="274"/>
      <c r="BQ2" s="274"/>
      <c r="BR2" s="274"/>
      <c r="BS2" s="274"/>
      <c r="BT2" s="274"/>
      <c r="BU2" s="274"/>
      <c r="BV2" s="274"/>
      <c r="BW2" s="274"/>
      <c r="BX2" s="274"/>
      <c r="BY2" s="274"/>
      <c r="BZ2" s="275"/>
      <c r="CA2" s="88"/>
    </row>
    <row r="3" spans="1:79" s="34" customFormat="1" ht="13.5" customHeight="1" thickBot="1" x14ac:dyDescent="0.3">
      <c r="A3" s="31"/>
      <c r="B3" s="32"/>
      <c r="C3" s="66"/>
      <c r="D3" s="66"/>
      <c r="E3" s="33"/>
      <c r="F3" s="276" t="s">
        <v>55</v>
      </c>
      <c r="G3" s="277"/>
      <c r="H3" s="277"/>
      <c r="I3" s="277"/>
      <c r="J3" s="277"/>
      <c r="K3" s="277"/>
      <c r="L3" s="277"/>
      <c r="M3" s="277"/>
      <c r="N3" s="277"/>
      <c r="O3" s="277"/>
      <c r="P3" s="277"/>
      <c r="Q3" s="277"/>
      <c r="R3" s="277"/>
      <c r="S3" s="277"/>
      <c r="T3" s="277"/>
      <c r="U3" s="277"/>
      <c r="V3" s="277"/>
      <c r="W3" s="277"/>
      <c r="X3" s="277"/>
      <c r="Y3" s="277"/>
      <c r="Z3" s="277"/>
      <c r="AA3" s="277"/>
      <c r="AB3" s="277"/>
      <c r="AC3" s="277"/>
      <c r="AD3" s="277"/>
      <c r="AE3" s="277"/>
      <c r="AF3" s="277"/>
      <c r="AG3" s="277"/>
      <c r="AH3" s="277"/>
      <c r="AI3" s="277"/>
      <c r="AJ3" s="277"/>
      <c r="AK3" s="277"/>
      <c r="AL3" s="278"/>
      <c r="AM3" s="279" t="s">
        <v>79</v>
      </c>
      <c r="AN3" s="280"/>
      <c r="AO3" s="280"/>
      <c r="AP3" s="280"/>
      <c r="AQ3" s="280"/>
      <c r="AR3" s="280"/>
      <c r="AS3" s="280"/>
      <c r="AT3" s="280"/>
      <c r="AU3" s="280"/>
      <c r="AV3" s="280"/>
      <c r="AW3" s="280"/>
      <c r="AX3" s="280"/>
      <c r="AY3" s="280"/>
      <c r="AZ3" s="280"/>
      <c r="BA3" s="280"/>
      <c r="BB3" s="280"/>
      <c r="BC3" s="280"/>
      <c r="BD3" s="280"/>
      <c r="BE3" s="280"/>
      <c r="BF3" s="280"/>
      <c r="BG3" s="281"/>
      <c r="BH3" s="282" t="s">
        <v>58</v>
      </c>
      <c r="BI3" s="283"/>
      <c r="BJ3" s="283"/>
      <c r="BK3" s="283"/>
      <c r="BL3" s="283"/>
      <c r="BM3" s="283"/>
      <c r="BN3" s="283"/>
      <c r="BO3" s="283"/>
      <c r="BP3" s="284"/>
      <c r="BQ3" s="285" t="s">
        <v>80</v>
      </c>
      <c r="BR3" s="286"/>
      <c r="BS3" s="286"/>
      <c r="BT3" s="286"/>
      <c r="BU3" s="286"/>
      <c r="BV3" s="286"/>
      <c r="BW3" s="286"/>
      <c r="BX3" s="286"/>
      <c r="BY3" s="286"/>
      <c r="BZ3" s="287"/>
      <c r="CA3" s="89"/>
    </row>
    <row r="4" spans="1:79" s="34" customFormat="1" ht="201.75" customHeight="1" thickBot="1" x14ac:dyDescent="0.25">
      <c r="A4" s="35" t="s">
        <v>86</v>
      </c>
      <c r="B4" s="36" t="s">
        <v>57</v>
      </c>
      <c r="C4" s="65" t="s">
        <v>104</v>
      </c>
      <c r="D4" s="65" t="s">
        <v>90</v>
      </c>
      <c r="E4" s="37" t="s">
        <v>129</v>
      </c>
      <c r="F4" s="90" t="s">
        <v>20</v>
      </c>
      <c r="G4" s="91" t="s">
        <v>21</v>
      </c>
      <c r="H4" s="91" t="s">
        <v>22</v>
      </c>
      <c r="I4" s="91" t="s">
        <v>95</v>
      </c>
      <c r="J4" s="91" t="s">
        <v>110</v>
      </c>
      <c r="K4" s="91" t="s">
        <v>111</v>
      </c>
      <c r="L4" s="91" t="s">
        <v>112</v>
      </c>
      <c r="M4" s="91" t="s">
        <v>113</v>
      </c>
      <c r="N4" s="91" t="s">
        <v>114</v>
      </c>
      <c r="O4" s="91" t="s">
        <v>115</v>
      </c>
      <c r="P4" s="91" t="s">
        <v>116</v>
      </c>
      <c r="Q4" s="91" t="s">
        <v>117</v>
      </c>
      <c r="R4" s="91" t="s">
        <v>23</v>
      </c>
      <c r="S4" s="91" t="s">
        <v>24</v>
      </c>
      <c r="T4" s="91" t="s">
        <v>25</v>
      </c>
      <c r="U4" s="91" t="s">
        <v>26</v>
      </c>
      <c r="V4" s="91" t="s">
        <v>27</v>
      </c>
      <c r="W4" s="91" t="s">
        <v>28</v>
      </c>
      <c r="X4" s="91" t="s">
        <v>29</v>
      </c>
      <c r="Y4" s="91" t="s">
        <v>10</v>
      </c>
      <c r="Z4" s="91" t="s">
        <v>30</v>
      </c>
      <c r="AA4" s="91" t="s">
        <v>31</v>
      </c>
      <c r="AB4" s="91" t="s">
        <v>32</v>
      </c>
      <c r="AC4" s="91" t="s">
        <v>33</v>
      </c>
      <c r="AD4" s="91" t="s">
        <v>34</v>
      </c>
      <c r="AE4" s="91" t="s">
        <v>35</v>
      </c>
      <c r="AF4" s="91" t="s">
        <v>36</v>
      </c>
      <c r="AG4" s="91" t="s">
        <v>37</v>
      </c>
      <c r="AH4" s="91" t="s">
        <v>38</v>
      </c>
      <c r="AI4" s="91" t="s">
        <v>39</v>
      </c>
      <c r="AJ4" s="91" t="s">
        <v>40</v>
      </c>
      <c r="AK4" s="91" t="s">
        <v>41</v>
      </c>
      <c r="AL4" s="91" t="s">
        <v>13</v>
      </c>
      <c r="AM4" s="91" t="s">
        <v>42</v>
      </c>
      <c r="AN4" s="91" t="s">
        <v>43</v>
      </c>
      <c r="AO4" s="91" t="s">
        <v>44</v>
      </c>
      <c r="AP4" s="91" t="s">
        <v>45</v>
      </c>
      <c r="AQ4" s="91" t="s">
        <v>46</v>
      </c>
      <c r="AR4" s="91" t="s">
        <v>72</v>
      </c>
      <c r="AS4" s="91" t="s">
        <v>73</v>
      </c>
      <c r="AT4" s="91" t="s">
        <v>74</v>
      </c>
      <c r="AU4" s="91" t="s">
        <v>75</v>
      </c>
      <c r="AV4" s="91" t="s">
        <v>76</v>
      </c>
      <c r="AW4" s="91" t="s">
        <v>77</v>
      </c>
      <c r="AX4" s="91" t="s">
        <v>87</v>
      </c>
      <c r="AY4" s="91" t="s">
        <v>11</v>
      </c>
      <c r="AZ4" s="91" t="s">
        <v>88</v>
      </c>
      <c r="BA4" s="91" t="s">
        <v>128</v>
      </c>
      <c r="BB4" s="91" t="s">
        <v>89</v>
      </c>
      <c r="BC4" s="91" t="s">
        <v>59</v>
      </c>
      <c r="BD4" s="91" t="s">
        <v>60</v>
      </c>
      <c r="BE4" s="91" t="s">
        <v>61</v>
      </c>
      <c r="BF4" s="91" t="s">
        <v>62</v>
      </c>
      <c r="BG4" s="91" t="s">
        <v>63</v>
      </c>
      <c r="BH4" s="91" t="s">
        <v>64</v>
      </c>
      <c r="BI4" s="91" t="s">
        <v>65</v>
      </c>
      <c r="BJ4" s="91" t="s">
        <v>66</v>
      </c>
      <c r="BK4" s="91" t="s">
        <v>67</v>
      </c>
      <c r="BL4" s="91" t="s">
        <v>68</v>
      </c>
      <c r="BM4" s="91" t="s">
        <v>69</v>
      </c>
      <c r="BN4" s="91" t="s">
        <v>70</v>
      </c>
      <c r="BO4" s="91" t="s">
        <v>71</v>
      </c>
      <c r="BP4" s="91" t="s">
        <v>96</v>
      </c>
      <c r="BQ4" s="91" t="s">
        <v>97</v>
      </c>
      <c r="BR4" s="91" t="s">
        <v>98</v>
      </c>
      <c r="BS4" s="91" t="s">
        <v>99</v>
      </c>
      <c r="BT4" s="91" t="s">
        <v>100</v>
      </c>
      <c r="BU4" s="91" t="s">
        <v>101</v>
      </c>
      <c r="BV4" s="91" t="s">
        <v>102</v>
      </c>
      <c r="BW4" s="91" t="s">
        <v>106</v>
      </c>
      <c r="BX4" s="91" t="s">
        <v>107</v>
      </c>
      <c r="BY4" s="91" t="s">
        <v>108</v>
      </c>
      <c r="BZ4" s="101" t="s">
        <v>109</v>
      </c>
    </row>
    <row r="5" spans="1:79" s="34" customFormat="1" x14ac:dyDescent="0.2">
      <c r="A5" s="191"/>
      <c r="B5" s="192"/>
      <c r="C5" s="193"/>
      <c r="D5" s="193"/>
      <c r="E5" s="194"/>
      <c r="F5" s="52"/>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c r="AK5" s="53"/>
      <c r="AL5" s="53"/>
      <c r="AM5" s="53"/>
      <c r="AN5" s="53"/>
      <c r="AO5" s="53"/>
      <c r="AP5" s="53"/>
      <c r="AQ5" s="53"/>
      <c r="AR5" s="53"/>
      <c r="AS5" s="53"/>
      <c r="AT5" s="53"/>
      <c r="AU5" s="53"/>
      <c r="AV5" s="53"/>
      <c r="AW5" s="53"/>
      <c r="AX5" s="53"/>
      <c r="AY5" s="53"/>
      <c r="AZ5" s="53"/>
      <c r="BA5" s="53"/>
      <c r="BB5" s="53"/>
      <c r="BC5" s="53"/>
      <c r="BD5" s="53"/>
      <c r="BE5" s="53"/>
      <c r="BF5" s="53"/>
      <c r="BG5" s="53"/>
      <c r="BH5" s="53"/>
      <c r="BI5" s="53"/>
      <c r="BJ5" s="53"/>
      <c r="BK5" s="53"/>
      <c r="BL5" s="53"/>
      <c r="BM5" s="53"/>
      <c r="BN5" s="53"/>
      <c r="BO5" s="53"/>
      <c r="BP5" s="53"/>
      <c r="BQ5" s="53"/>
      <c r="BR5" s="53"/>
      <c r="BS5" s="53"/>
      <c r="BT5" s="53"/>
      <c r="BU5" s="53"/>
      <c r="BV5" s="53"/>
      <c r="BW5" s="53"/>
      <c r="BX5" s="53"/>
      <c r="BY5" s="53"/>
      <c r="BZ5" s="54"/>
    </row>
    <row r="6" spans="1:79" s="34" customFormat="1" x14ac:dyDescent="0.2">
      <c r="A6" s="195"/>
      <c r="B6" s="192"/>
      <c r="C6" s="193"/>
      <c r="D6" s="193"/>
      <c r="E6" s="194"/>
      <c r="F6" s="44"/>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c r="BQ6" s="45"/>
      <c r="BR6" s="45"/>
      <c r="BS6" s="45"/>
      <c r="BT6" s="45"/>
      <c r="BU6" s="45"/>
      <c r="BV6" s="45"/>
      <c r="BW6" s="45"/>
      <c r="BX6" s="45"/>
      <c r="BY6" s="45"/>
      <c r="BZ6" s="46"/>
    </row>
    <row r="7" spans="1:79" x14ac:dyDescent="0.25">
      <c r="A7" s="196"/>
      <c r="B7" s="192"/>
      <c r="C7" s="193"/>
      <c r="D7" s="193"/>
      <c r="E7" s="194"/>
      <c r="F7" s="44"/>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6"/>
    </row>
    <row r="8" spans="1:79" x14ac:dyDescent="0.25">
      <c r="A8" s="197"/>
      <c r="B8" s="192"/>
      <c r="C8" s="193"/>
      <c r="D8" s="193"/>
      <c r="E8" s="194"/>
      <c r="F8" s="44"/>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c r="BB8" s="45"/>
      <c r="BC8" s="45"/>
      <c r="BD8" s="45"/>
      <c r="BE8" s="45"/>
      <c r="BF8" s="45"/>
      <c r="BG8" s="45"/>
      <c r="BH8" s="45"/>
      <c r="BI8" s="45"/>
      <c r="BJ8" s="45"/>
      <c r="BK8" s="45"/>
      <c r="BL8" s="45"/>
      <c r="BM8" s="45"/>
      <c r="BN8" s="45"/>
      <c r="BO8" s="45"/>
      <c r="BP8" s="45"/>
      <c r="BQ8" s="45"/>
      <c r="BR8" s="45"/>
      <c r="BS8" s="45"/>
      <c r="BT8" s="45"/>
      <c r="BU8" s="45"/>
      <c r="BV8" s="45"/>
      <c r="BW8" s="45"/>
      <c r="BX8" s="45"/>
      <c r="BY8" s="45"/>
      <c r="BZ8" s="46"/>
    </row>
    <row r="9" spans="1:79" x14ac:dyDescent="0.25">
      <c r="A9" s="196"/>
      <c r="B9" s="192"/>
      <c r="C9" s="193"/>
      <c r="D9" s="193"/>
      <c r="E9" s="194"/>
      <c r="F9" s="41"/>
      <c r="G9" s="42"/>
      <c r="H9" s="42"/>
      <c r="I9" s="42"/>
      <c r="J9" s="42"/>
      <c r="K9" s="42"/>
      <c r="L9" s="42"/>
      <c r="M9" s="42"/>
      <c r="N9" s="42"/>
      <c r="O9" s="42"/>
      <c r="P9" s="42"/>
      <c r="Q9" s="42"/>
      <c r="R9" s="42"/>
      <c r="S9" s="42"/>
      <c r="T9" s="42"/>
      <c r="U9" s="42"/>
      <c r="V9" s="42"/>
      <c r="W9" s="42"/>
      <c r="X9" s="42"/>
      <c r="Y9" s="42"/>
      <c r="Z9" s="42"/>
      <c r="AA9" s="42"/>
      <c r="AB9" s="42"/>
      <c r="AC9" s="42"/>
      <c r="AD9" s="42"/>
      <c r="AE9" s="42"/>
      <c r="AF9" s="42"/>
      <c r="AG9" s="42"/>
      <c r="AH9" s="42"/>
      <c r="AI9" s="42"/>
      <c r="AJ9" s="42"/>
      <c r="AK9" s="42"/>
      <c r="AL9" s="42"/>
      <c r="AM9" s="42"/>
      <c r="AN9" s="42"/>
      <c r="AO9" s="42"/>
      <c r="AP9" s="42"/>
      <c r="AQ9" s="42"/>
      <c r="AR9" s="42"/>
      <c r="AS9" s="42"/>
      <c r="AT9" s="42"/>
      <c r="AU9" s="42"/>
      <c r="AV9" s="42"/>
      <c r="AW9" s="42"/>
      <c r="AX9" s="42"/>
      <c r="AY9" s="42"/>
      <c r="AZ9" s="42"/>
      <c r="BA9" s="42"/>
      <c r="BB9" s="42"/>
      <c r="BC9" s="42"/>
      <c r="BD9" s="42"/>
      <c r="BE9" s="42"/>
      <c r="BF9" s="42"/>
      <c r="BG9" s="42"/>
      <c r="BH9" s="42"/>
      <c r="BI9" s="42"/>
      <c r="BJ9" s="42"/>
      <c r="BK9" s="42"/>
      <c r="BL9" s="42"/>
      <c r="BM9" s="42"/>
      <c r="BN9" s="42"/>
      <c r="BO9" s="42"/>
      <c r="BP9" s="42"/>
      <c r="BQ9" s="42"/>
      <c r="BR9" s="42"/>
      <c r="BS9" s="42"/>
      <c r="BT9" s="42"/>
      <c r="BU9" s="42"/>
      <c r="BV9" s="42"/>
      <c r="BW9" s="42"/>
      <c r="BX9" s="42"/>
      <c r="BY9" s="42"/>
      <c r="BZ9" s="43"/>
    </row>
    <row r="10" spans="1:79" x14ac:dyDescent="0.25">
      <c r="A10" s="197"/>
      <c r="B10" s="192"/>
      <c r="C10" s="193"/>
      <c r="D10" s="193"/>
      <c r="E10" s="194"/>
      <c r="F10" s="44"/>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c r="BB10" s="45"/>
      <c r="BC10" s="45"/>
      <c r="BD10" s="45"/>
      <c r="BE10" s="45"/>
      <c r="BF10" s="45"/>
      <c r="BG10" s="45"/>
      <c r="BH10" s="45"/>
      <c r="BI10" s="45"/>
      <c r="BJ10" s="45"/>
      <c r="BK10" s="45"/>
      <c r="BL10" s="45"/>
      <c r="BM10" s="45"/>
      <c r="BN10" s="45"/>
      <c r="BO10" s="45"/>
      <c r="BP10" s="45"/>
      <c r="BQ10" s="45"/>
      <c r="BR10" s="45"/>
      <c r="BS10" s="45"/>
      <c r="BT10" s="45"/>
      <c r="BU10" s="45"/>
      <c r="BV10" s="45"/>
      <c r="BW10" s="45"/>
      <c r="BX10" s="45"/>
      <c r="BY10" s="45"/>
      <c r="BZ10" s="46"/>
    </row>
    <row r="11" spans="1:79" x14ac:dyDescent="0.25">
      <c r="A11" s="196"/>
      <c r="B11" s="192"/>
      <c r="C11" s="193"/>
      <c r="D11" s="193"/>
      <c r="E11" s="194"/>
      <c r="F11" s="44"/>
      <c r="G11" s="45"/>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c r="BB11" s="45"/>
      <c r="BC11" s="45"/>
      <c r="BD11" s="45"/>
      <c r="BE11" s="45"/>
      <c r="BF11" s="45"/>
      <c r="BG11" s="45"/>
      <c r="BH11" s="45"/>
      <c r="BI11" s="45"/>
      <c r="BJ11" s="45"/>
      <c r="BK11" s="45"/>
      <c r="BL11" s="45"/>
      <c r="BM11" s="45"/>
      <c r="BN11" s="45"/>
      <c r="BO11" s="45"/>
      <c r="BP11" s="45"/>
      <c r="BQ11" s="45"/>
      <c r="BR11" s="45"/>
      <c r="BS11" s="45"/>
      <c r="BT11" s="45"/>
      <c r="BU11" s="45"/>
      <c r="BV11" s="45"/>
      <c r="BW11" s="45"/>
      <c r="BX11" s="45"/>
      <c r="BY11" s="45"/>
      <c r="BZ11" s="46"/>
    </row>
    <row r="12" spans="1:79" x14ac:dyDescent="0.25">
      <c r="A12" s="196"/>
      <c r="B12" s="192"/>
      <c r="C12" s="193"/>
      <c r="D12" s="193"/>
      <c r="E12" s="194"/>
      <c r="F12" s="44"/>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c r="BB12" s="45"/>
      <c r="BC12" s="45"/>
      <c r="BD12" s="45"/>
      <c r="BE12" s="45"/>
      <c r="BF12" s="45"/>
      <c r="BG12" s="45"/>
      <c r="BH12" s="45"/>
      <c r="BI12" s="45"/>
      <c r="BJ12" s="45"/>
      <c r="BK12" s="45"/>
      <c r="BL12" s="45"/>
      <c r="BM12" s="45"/>
      <c r="BN12" s="45"/>
      <c r="BO12" s="45"/>
      <c r="BP12" s="45"/>
      <c r="BQ12" s="45"/>
      <c r="BR12" s="45"/>
      <c r="BS12" s="45"/>
      <c r="BT12" s="45"/>
      <c r="BU12" s="45"/>
      <c r="BV12" s="45"/>
      <c r="BW12" s="45"/>
      <c r="BX12" s="45"/>
      <c r="BY12" s="45"/>
      <c r="BZ12" s="46"/>
    </row>
    <row r="13" spans="1:79" x14ac:dyDescent="0.25">
      <c r="A13" s="197"/>
      <c r="B13" s="192"/>
      <c r="C13" s="193"/>
      <c r="D13" s="193"/>
      <c r="E13" s="194"/>
      <c r="F13" s="44"/>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c r="BB13" s="45"/>
      <c r="BC13" s="45"/>
      <c r="BD13" s="45"/>
      <c r="BE13" s="45"/>
      <c r="BF13" s="45"/>
      <c r="BG13" s="45"/>
      <c r="BH13" s="45"/>
      <c r="BI13" s="45"/>
      <c r="BJ13" s="45"/>
      <c r="BK13" s="45"/>
      <c r="BL13" s="45"/>
      <c r="BM13" s="45"/>
      <c r="BN13" s="45"/>
      <c r="BO13" s="45"/>
      <c r="BP13" s="45"/>
      <c r="BQ13" s="45"/>
      <c r="BR13" s="45"/>
      <c r="BS13" s="45"/>
      <c r="BT13" s="45"/>
      <c r="BU13" s="45"/>
      <c r="BV13" s="45"/>
      <c r="BW13" s="45"/>
      <c r="BX13" s="45"/>
      <c r="BY13" s="45"/>
      <c r="BZ13" s="46"/>
    </row>
    <row r="14" spans="1:79" x14ac:dyDescent="0.25">
      <c r="A14" s="196"/>
      <c r="B14" s="192"/>
      <c r="C14" s="193"/>
      <c r="D14" s="193"/>
      <c r="E14" s="194"/>
      <c r="F14" s="44"/>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c r="BB14" s="45"/>
      <c r="BC14" s="45"/>
      <c r="BD14" s="45"/>
      <c r="BE14" s="45"/>
      <c r="BF14" s="45"/>
      <c r="BG14" s="45"/>
      <c r="BH14" s="45"/>
      <c r="BI14" s="45"/>
      <c r="BJ14" s="45"/>
      <c r="BK14" s="45"/>
      <c r="BL14" s="45"/>
      <c r="BM14" s="45"/>
      <c r="BN14" s="45"/>
      <c r="BO14" s="45"/>
      <c r="BP14" s="45"/>
      <c r="BQ14" s="45"/>
      <c r="BR14" s="45"/>
      <c r="BS14" s="45"/>
      <c r="BT14" s="45"/>
      <c r="BU14" s="45"/>
      <c r="BV14" s="45"/>
      <c r="BW14" s="45"/>
      <c r="BX14" s="45"/>
      <c r="BY14" s="45"/>
      <c r="BZ14" s="46"/>
    </row>
    <row r="15" spans="1:79" x14ac:dyDescent="0.25">
      <c r="A15" s="197"/>
      <c r="B15" s="192"/>
      <c r="C15" s="193"/>
      <c r="D15" s="193"/>
      <c r="E15" s="194"/>
      <c r="F15" s="44"/>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c r="BJ15" s="45"/>
      <c r="BK15" s="45"/>
      <c r="BL15" s="45"/>
      <c r="BM15" s="45"/>
      <c r="BN15" s="45"/>
      <c r="BO15" s="45"/>
      <c r="BP15" s="45"/>
      <c r="BQ15" s="45"/>
      <c r="BR15" s="45"/>
      <c r="BS15" s="45"/>
      <c r="BT15" s="45"/>
      <c r="BU15" s="45"/>
      <c r="BV15" s="45"/>
      <c r="BW15" s="45"/>
      <c r="BX15" s="45"/>
      <c r="BY15" s="45"/>
      <c r="BZ15" s="46"/>
    </row>
    <row r="16" spans="1:79" x14ac:dyDescent="0.25">
      <c r="A16" s="197"/>
      <c r="B16" s="192"/>
      <c r="C16" s="193"/>
      <c r="D16" s="193"/>
      <c r="E16" s="194"/>
      <c r="F16" s="44"/>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c r="BJ16" s="45"/>
      <c r="BK16" s="45"/>
      <c r="BL16" s="45"/>
      <c r="BM16" s="45"/>
      <c r="BN16" s="45"/>
      <c r="BO16" s="45"/>
      <c r="BP16" s="45"/>
      <c r="BQ16" s="45"/>
      <c r="BR16" s="45"/>
      <c r="BS16" s="45"/>
      <c r="BT16" s="45"/>
      <c r="BU16" s="45"/>
      <c r="BV16" s="45"/>
      <c r="BW16" s="45"/>
      <c r="BX16" s="45"/>
      <c r="BY16" s="45"/>
      <c r="BZ16" s="46"/>
    </row>
    <row r="17" spans="1:78" s="38" customFormat="1" x14ac:dyDescent="0.25">
      <c r="A17" s="198"/>
      <c r="B17" s="192"/>
      <c r="C17" s="193"/>
      <c r="D17" s="193"/>
      <c r="E17" s="194"/>
      <c r="F17" s="44"/>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c r="BJ17" s="45"/>
      <c r="BK17" s="45"/>
      <c r="BL17" s="45"/>
      <c r="BM17" s="45"/>
      <c r="BN17" s="45"/>
      <c r="BO17" s="45"/>
      <c r="BP17" s="45"/>
      <c r="BQ17" s="45"/>
      <c r="BR17" s="45"/>
      <c r="BS17" s="45"/>
      <c r="BT17" s="45"/>
      <c r="BU17" s="45"/>
      <c r="BV17" s="45"/>
      <c r="BW17" s="45"/>
      <c r="BX17" s="45"/>
      <c r="BY17" s="45"/>
      <c r="BZ17" s="46"/>
    </row>
    <row r="18" spans="1:78" x14ac:dyDescent="0.25">
      <c r="A18" s="198"/>
      <c r="B18" s="192"/>
      <c r="C18" s="193"/>
      <c r="D18" s="193"/>
      <c r="E18" s="199"/>
      <c r="F18" s="44"/>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c r="BJ18" s="45"/>
      <c r="BK18" s="45"/>
      <c r="BL18" s="45"/>
      <c r="BM18" s="45"/>
      <c r="BN18" s="45"/>
      <c r="BO18" s="45"/>
      <c r="BP18" s="45"/>
      <c r="BQ18" s="45"/>
      <c r="BR18" s="45"/>
      <c r="BS18" s="45"/>
      <c r="BT18" s="45"/>
      <c r="BU18" s="45"/>
      <c r="BV18" s="45"/>
      <c r="BW18" s="45"/>
      <c r="BX18" s="45"/>
      <c r="BY18" s="45"/>
      <c r="BZ18" s="46"/>
    </row>
    <row r="19" spans="1:78" x14ac:dyDescent="0.25">
      <c r="A19" s="198"/>
      <c r="B19" s="192"/>
      <c r="C19" s="193"/>
      <c r="D19" s="193"/>
      <c r="E19" s="194"/>
      <c r="F19" s="44"/>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c r="BB19" s="45"/>
      <c r="BC19" s="45"/>
      <c r="BD19" s="45"/>
      <c r="BE19" s="45"/>
      <c r="BF19" s="45"/>
      <c r="BG19" s="45"/>
      <c r="BH19" s="45"/>
      <c r="BI19" s="45"/>
      <c r="BJ19" s="45"/>
      <c r="BK19" s="45"/>
      <c r="BL19" s="45"/>
      <c r="BM19" s="45"/>
      <c r="BN19" s="45"/>
      <c r="BO19" s="45"/>
      <c r="BP19" s="45"/>
      <c r="BQ19" s="45"/>
      <c r="BR19" s="45"/>
      <c r="BS19" s="45"/>
      <c r="BT19" s="45"/>
      <c r="BU19" s="45"/>
      <c r="BV19" s="45"/>
      <c r="BW19" s="45"/>
      <c r="BX19" s="45"/>
      <c r="BY19" s="45"/>
      <c r="BZ19" s="46"/>
    </row>
    <row r="20" spans="1:78" x14ac:dyDescent="0.25">
      <c r="A20" s="197"/>
      <c r="B20" s="192"/>
      <c r="C20" s="193"/>
      <c r="D20" s="193"/>
      <c r="E20" s="194"/>
      <c r="F20" s="44"/>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c r="BB20" s="45"/>
      <c r="BC20" s="45"/>
      <c r="BD20" s="45"/>
      <c r="BE20" s="45"/>
      <c r="BF20" s="45"/>
      <c r="BG20" s="45"/>
      <c r="BH20" s="45"/>
      <c r="BI20" s="45"/>
      <c r="BJ20" s="45"/>
      <c r="BK20" s="45"/>
      <c r="BL20" s="45"/>
      <c r="BM20" s="45"/>
      <c r="BN20" s="45"/>
      <c r="BO20" s="45"/>
      <c r="BP20" s="45"/>
      <c r="BQ20" s="45"/>
      <c r="BR20" s="45"/>
      <c r="BS20" s="45"/>
      <c r="BT20" s="45"/>
      <c r="BU20" s="45"/>
      <c r="BV20" s="45"/>
      <c r="BW20" s="45"/>
      <c r="BX20" s="45"/>
      <c r="BY20" s="45"/>
      <c r="BZ20" s="46"/>
    </row>
    <row r="21" spans="1:78" x14ac:dyDescent="0.25">
      <c r="A21" s="197"/>
      <c r="B21" s="192"/>
      <c r="C21" s="193"/>
      <c r="D21" s="193"/>
      <c r="E21" s="194"/>
      <c r="F21" s="44"/>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c r="BB21" s="45"/>
      <c r="BC21" s="45"/>
      <c r="BD21" s="45"/>
      <c r="BE21" s="45"/>
      <c r="BF21" s="45"/>
      <c r="BG21" s="45"/>
      <c r="BH21" s="45"/>
      <c r="BI21" s="45"/>
      <c r="BJ21" s="45"/>
      <c r="BK21" s="45"/>
      <c r="BL21" s="45"/>
      <c r="BM21" s="45"/>
      <c r="BN21" s="45"/>
      <c r="BO21" s="45"/>
      <c r="BP21" s="45"/>
      <c r="BQ21" s="45"/>
      <c r="BR21" s="45"/>
      <c r="BS21" s="45"/>
      <c r="BT21" s="45"/>
      <c r="BU21" s="45"/>
      <c r="BV21" s="45"/>
      <c r="BW21" s="45"/>
      <c r="BX21" s="45"/>
      <c r="BY21" s="45"/>
      <c r="BZ21" s="46"/>
    </row>
    <row r="22" spans="1:78" x14ac:dyDescent="0.25">
      <c r="A22" s="197"/>
      <c r="B22" s="192"/>
      <c r="C22" s="193"/>
      <c r="D22" s="193"/>
      <c r="E22" s="194"/>
      <c r="F22" s="44"/>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c r="BB22" s="45"/>
      <c r="BC22" s="45"/>
      <c r="BD22" s="45"/>
      <c r="BE22" s="45"/>
      <c r="BF22" s="45"/>
      <c r="BG22" s="45"/>
      <c r="BH22" s="45"/>
      <c r="BI22" s="45"/>
      <c r="BJ22" s="45"/>
      <c r="BK22" s="45"/>
      <c r="BL22" s="45"/>
      <c r="BM22" s="45"/>
      <c r="BN22" s="45"/>
      <c r="BO22" s="45"/>
      <c r="BP22" s="45"/>
      <c r="BQ22" s="45"/>
      <c r="BR22" s="45"/>
      <c r="BS22" s="45"/>
      <c r="BT22" s="45"/>
      <c r="BU22" s="45"/>
      <c r="BV22" s="45"/>
      <c r="BW22" s="45"/>
      <c r="BX22" s="45"/>
      <c r="BY22" s="45"/>
      <c r="BZ22" s="46"/>
    </row>
    <row r="23" spans="1:78" x14ac:dyDescent="0.25">
      <c r="A23" s="196"/>
      <c r="B23" s="192"/>
      <c r="C23" s="193"/>
      <c r="D23" s="193"/>
      <c r="E23" s="194"/>
      <c r="F23" s="44"/>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c r="BB23" s="45"/>
      <c r="BC23" s="45"/>
      <c r="BD23" s="45"/>
      <c r="BE23" s="45"/>
      <c r="BF23" s="45"/>
      <c r="BG23" s="45"/>
      <c r="BH23" s="45"/>
      <c r="BI23" s="45"/>
      <c r="BJ23" s="45"/>
      <c r="BK23" s="45"/>
      <c r="BL23" s="45"/>
      <c r="BM23" s="45"/>
      <c r="BN23" s="45"/>
      <c r="BO23" s="45"/>
      <c r="BP23" s="45"/>
      <c r="BQ23" s="45"/>
      <c r="BR23" s="45"/>
      <c r="BS23" s="45"/>
      <c r="BT23" s="45"/>
      <c r="BU23" s="45"/>
      <c r="BV23" s="45"/>
      <c r="BW23" s="45"/>
      <c r="BX23" s="45"/>
      <c r="BY23" s="45"/>
      <c r="BZ23" s="46"/>
    </row>
    <row r="24" spans="1:78" x14ac:dyDescent="0.25">
      <c r="A24" s="196"/>
      <c r="B24" s="192"/>
      <c r="C24" s="193"/>
      <c r="D24" s="193"/>
      <c r="E24" s="194"/>
      <c r="F24" s="44"/>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c r="BB24" s="45"/>
      <c r="BC24" s="45"/>
      <c r="BD24" s="45"/>
      <c r="BE24" s="45"/>
      <c r="BF24" s="45"/>
      <c r="BG24" s="45"/>
      <c r="BH24" s="45"/>
      <c r="BI24" s="45"/>
      <c r="BJ24" s="45"/>
      <c r="BK24" s="45"/>
      <c r="BL24" s="45"/>
      <c r="BM24" s="45"/>
      <c r="BN24" s="45"/>
      <c r="BO24" s="45"/>
      <c r="BP24" s="45"/>
      <c r="BQ24" s="45"/>
      <c r="BR24" s="45"/>
      <c r="BS24" s="45"/>
      <c r="BT24" s="45"/>
      <c r="BU24" s="45"/>
      <c r="BV24" s="45"/>
      <c r="BW24" s="45"/>
      <c r="BX24" s="45"/>
      <c r="BY24" s="45"/>
      <c r="BZ24" s="46"/>
    </row>
    <row r="25" spans="1:78" x14ac:dyDescent="0.25">
      <c r="A25" s="196"/>
      <c r="B25" s="192"/>
      <c r="C25" s="193"/>
      <c r="D25" s="193"/>
      <c r="E25" s="194"/>
      <c r="F25" s="44"/>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c r="BB25" s="45"/>
      <c r="BC25" s="45"/>
      <c r="BD25" s="45"/>
      <c r="BE25" s="45"/>
      <c r="BF25" s="45"/>
      <c r="BG25" s="45"/>
      <c r="BH25" s="45"/>
      <c r="BI25" s="45"/>
      <c r="BJ25" s="45"/>
      <c r="BK25" s="45"/>
      <c r="BL25" s="45"/>
      <c r="BM25" s="45"/>
      <c r="BN25" s="45"/>
      <c r="BO25" s="45"/>
      <c r="BP25" s="45"/>
      <c r="BQ25" s="45"/>
      <c r="BR25" s="45"/>
      <c r="BS25" s="45"/>
      <c r="BT25" s="45"/>
      <c r="BU25" s="45"/>
      <c r="BV25" s="45"/>
      <c r="BW25" s="45"/>
      <c r="BX25" s="45"/>
      <c r="BY25" s="45"/>
      <c r="BZ25" s="46"/>
    </row>
    <row r="26" spans="1:78" x14ac:dyDescent="0.25">
      <c r="A26" s="196"/>
      <c r="B26" s="192"/>
      <c r="C26" s="193"/>
      <c r="D26" s="193"/>
      <c r="E26" s="194"/>
      <c r="F26" s="58"/>
      <c r="G26" s="59"/>
      <c r="H26" s="59"/>
      <c r="I26" s="59"/>
      <c r="J26" s="59"/>
      <c r="K26" s="59"/>
      <c r="L26" s="59"/>
      <c r="M26" s="59"/>
      <c r="N26" s="59"/>
      <c r="O26" s="59"/>
      <c r="P26" s="59"/>
      <c r="Q26" s="59"/>
      <c r="R26" s="59"/>
      <c r="S26" s="59"/>
      <c r="T26" s="59"/>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c r="BS26" s="59"/>
      <c r="BT26" s="59"/>
      <c r="BU26" s="59"/>
      <c r="BV26" s="59"/>
      <c r="BW26" s="59"/>
      <c r="BX26" s="59"/>
      <c r="BY26" s="59"/>
      <c r="BZ26" s="60"/>
    </row>
    <row r="27" spans="1:78" x14ac:dyDescent="0.25">
      <c r="A27" s="197"/>
      <c r="B27" s="192"/>
      <c r="C27" s="193"/>
      <c r="D27" s="193"/>
      <c r="E27" s="194"/>
      <c r="F27" s="44"/>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c r="BJ27" s="45"/>
      <c r="BK27" s="45"/>
      <c r="BL27" s="45"/>
      <c r="BM27" s="45"/>
      <c r="BN27" s="45"/>
      <c r="BO27" s="45"/>
      <c r="BP27" s="45"/>
      <c r="BQ27" s="45"/>
      <c r="BR27" s="45"/>
      <c r="BS27" s="45"/>
      <c r="BT27" s="45"/>
      <c r="BU27" s="45"/>
      <c r="BV27" s="45"/>
      <c r="BW27" s="45"/>
      <c r="BX27" s="45"/>
      <c r="BY27" s="45"/>
      <c r="BZ27" s="46"/>
    </row>
    <row r="28" spans="1:78" s="38" customFormat="1" x14ac:dyDescent="0.25">
      <c r="A28" s="197"/>
      <c r="B28" s="192"/>
      <c r="C28" s="193"/>
      <c r="D28" s="193"/>
      <c r="E28" s="194"/>
      <c r="F28" s="44"/>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c r="BB28" s="45"/>
      <c r="BC28" s="45"/>
      <c r="BD28" s="45"/>
      <c r="BE28" s="45"/>
      <c r="BF28" s="45"/>
      <c r="BG28" s="45"/>
      <c r="BH28" s="45"/>
      <c r="BI28" s="45"/>
      <c r="BJ28" s="45"/>
      <c r="BK28" s="45"/>
      <c r="BL28" s="45"/>
      <c r="BM28" s="45"/>
      <c r="BN28" s="45"/>
      <c r="BO28" s="45"/>
      <c r="BP28" s="45"/>
      <c r="BQ28" s="45"/>
      <c r="BR28" s="45"/>
      <c r="BS28" s="45"/>
      <c r="BT28" s="45"/>
      <c r="BU28" s="45"/>
      <c r="BV28" s="45"/>
      <c r="BW28" s="45"/>
      <c r="BX28" s="45"/>
      <c r="BY28" s="45"/>
      <c r="BZ28" s="46"/>
    </row>
    <row r="29" spans="1:78" s="38" customFormat="1" x14ac:dyDescent="0.25">
      <c r="A29" s="196"/>
      <c r="B29" s="192"/>
      <c r="C29" s="193"/>
      <c r="D29" s="193"/>
      <c r="E29" s="194"/>
      <c r="F29" s="58"/>
      <c r="G29" s="59"/>
      <c r="H29" s="59"/>
      <c r="I29" s="59"/>
      <c r="J29" s="59"/>
      <c r="K29" s="59"/>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59"/>
      <c r="BT29" s="59"/>
      <c r="BU29" s="59"/>
      <c r="BV29" s="59"/>
      <c r="BW29" s="59"/>
      <c r="BX29" s="59"/>
      <c r="BY29" s="59"/>
      <c r="BZ29" s="60"/>
    </row>
    <row r="30" spans="1:78" s="38" customFormat="1" x14ac:dyDescent="0.25">
      <c r="A30" s="197"/>
      <c r="B30" s="192"/>
      <c r="C30" s="193"/>
      <c r="D30" s="193"/>
      <c r="E30" s="194"/>
      <c r="F30" s="44"/>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c r="BB30" s="45"/>
      <c r="BC30" s="45"/>
      <c r="BD30" s="45"/>
      <c r="BE30" s="45"/>
      <c r="BF30" s="45"/>
      <c r="BG30" s="45"/>
      <c r="BH30" s="45"/>
      <c r="BI30" s="45"/>
      <c r="BJ30" s="45"/>
      <c r="BK30" s="45"/>
      <c r="BL30" s="45"/>
      <c r="BM30" s="45"/>
      <c r="BN30" s="45"/>
      <c r="BO30" s="45"/>
      <c r="BP30" s="45"/>
      <c r="BQ30" s="45"/>
      <c r="BR30" s="45"/>
      <c r="BS30" s="45"/>
      <c r="BT30" s="45"/>
      <c r="BU30" s="45"/>
      <c r="BV30" s="45"/>
      <c r="BW30" s="45"/>
      <c r="BX30" s="45"/>
      <c r="BY30" s="45"/>
      <c r="BZ30" s="46"/>
    </row>
    <row r="31" spans="1:78" x14ac:dyDescent="0.25">
      <c r="A31" s="196"/>
      <c r="B31" s="200"/>
      <c r="C31" s="193"/>
      <c r="D31" s="193"/>
      <c r="E31" s="194"/>
      <c r="F31" s="44"/>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c r="BB31" s="45"/>
      <c r="BC31" s="45"/>
      <c r="BD31" s="45"/>
      <c r="BE31" s="45"/>
      <c r="BF31" s="45"/>
      <c r="BG31" s="45"/>
      <c r="BH31" s="45"/>
      <c r="BI31" s="45"/>
      <c r="BJ31" s="45"/>
      <c r="BK31" s="45"/>
      <c r="BL31" s="45"/>
      <c r="BM31" s="45"/>
      <c r="BN31" s="45"/>
      <c r="BO31" s="45"/>
      <c r="BP31" s="45"/>
      <c r="BQ31" s="45"/>
      <c r="BR31" s="45"/>
      <c r="BS31" s="45"/>
      <c r="BT31" s="45"/>
      <c r="BU31" s="45"/>
      <c r="BV31" s="45"/>
      <c r="BW31" s="45"/>
      <c r="BX31" s="45"/>
      <c r="BY31" s="45"/>
      <c r="BZ31" s="46"/>
    </row>
    <row r="32" spans="1:78" x14ac:dyDescent="0.25">
      <c r="A32" s="196"/>
      <c r="B32" s="200"/>
      <c r="C32" s="193"/>
      <c r="D32" s="193"/>
      <c r="E32" s="194"/>
      <c r="F32" s="44"/>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c r="BJ32" s="45"/>
      <c r="BK32" s="45"/>
      <c r="BL32" s="45"/>
      <c r="BM32" s="45"/>
      <c r="BN32" s="45"/>
      <c r="BO32" s="45"/>
      <c r="BP32" s="45"/>
      <c r="BQ32" s="45"/>
      <c r="BR32" s="45"/>
      <c r="BS32" s="45"/>
      <c r="BT32" s="45"/>
      <c r="BU32" s="45"/>
      <c r="BV32" s="45"/>
      <c r="BW32" s="45"/>
      <c r="BX32" s="45"/>
      <c r="BY32" s="45"/>
      <c r="BZ32" s="46"/>
    </row>
    <row r="33" spans="1:78" s="38" customFormat="1" x14ac:dyDescent="0.25">
      <c r="A33" s="196"/>
      <c r="B33" s="192"/>
      <c r="C33" s="193"/>
      <c r="D33" s="193"/>
      <c r="E33" s="194"/>
      <c r="F33" s="58"/>
      <c r="G33" s="59"/>
      <c r="H33" s="59"/>
      <c r="I33" s="59"/>
      <c r="J33" s="59"/>
      <c r="K33" s="59"/>
      <c r="L33" s="59"/>
      <c r="M33" s="59"/>
      <c r="N33" s="59"/>
      <c r="O33" s="59"/>
      <c r="P33" s="59"/>
      <c r="Q33" s="59"/>
      <c r="R33" s="59"/>
      <c r="S33" s="59"/>
      <c r="T33" s="59"/>
      <c r="U33" s="59"/>
      <c r="V33" s="45"/>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c r="BS33" s="59"/>
      <c r="BT33" s="59"/>
      <c r="BU33" s="59"/>
      <c r="BV33" s="59"/>
      <c r="BW33" s="59"/>
      <c r="BX33" s="59"/>
      <c r="BY33" s="59"/>
      <c r="BZ33" s="60"/>
    </row>
    <row r="34" spans="1:78" x14ac:dyDescent="0.25">
      <c r="A34" s="196"/>
      <c r="B34" s="192"/>
      <c r="C34" s="193"/>
      <c r="D34" s="193"/>
      <c r="E34" s="194"/>
      <c r="F34" s="58"/>
      <c r="G34" s="59"/>
      <c r="H34" s="59"/>
      <c r="I34" s="59"/>
      <c r="J34" s="59"/>
      <c r="K34" s="59"/>
      <c r="L34" s="59"/>
      <c r="M34" s="59"/>
      <c r="N34" s="59"/>
      <c r="O34" s="59"/>
      <c r="P34" s="59"/>
      <c r="Q34" s="59"/>
      <c r="R34" s="59"/>
      <c r="S34" s="59"/>
      <c r="T34" s="59"/>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59"/>
      <c r="BT34" s="59"/>
      <c r="BU34" s="59"/>
      <c r="BV34" s="59"/>
      <c r="BW34" s="59"/>
      <c r="BX34" s="59"/>
      <c r="BY34" s="59"/>
      <c r="BZ34" s="60"/>
    </row>
    <row r="35" spans="1:78" x14ac:dyDescent="0.25">
      <c r="A35" s="196"/>
      <c r="B35" s="192"/>
      <c r="C35" s="193"/>
      <c r="D35" s="193"/>
      <c r="E35" s="194"/>
      <c r="F35" s="58"/>
      <c r="G35" s="59"/>
      <c r="H35" s="59"/>
      <c r="I35" s="59"/>
      <c r="J35" s="59"/>
      <c r="K35" s="59"/>
      <c r="L35" s="59"/>
      <c r="M35" s="59"/>
      <c r="N35" s="59"/>
      <c r="O35" s="59"/>
      <c r="P35" s="59"/>
      <c r="Q35" s="59"/>
      <c r="R35" s="59"/>
      <c r="S35" s="59"/>
      <c r="T35" s="59"/>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c r="BS35" s="59"/>
      <c r="BT35" s="59"/>
      <c r="BU35" s="59"/>
      <c r="BV35" s="59"/>
      <c r="BW35" s="59"/>
      <c r="BX35" s="59"/>
      <c r="BY35" s="59"/>
      <c r="BZ35" s="60"/>
    </row>
    <row r="36" spans="1:78" x14ac:dyDescent="0.25">
      <c r="A36" s="196"/>
      <c r="B36" s="192"/>
      <c r="C36" s="193"/>
      <c r="D36" s="193"/>
      <c r="E36" s="194"/>
      <c r="F36" s="58"/>
      <c r="G36" s="59"/>
      <c r="H36" s="59"/>
      <c r="I36" s="59"/>
      <c r="J36" s="59"/>
      <c r="K36" s="59"/>
      <c r="L36" s="59"/>
      <c r="M36" s="59"/>
      <c r="N36" s="59"/>
      <c r="O36" s="59"/>
      <c r="P36" s="59"/>
      <c r="Q36" s="59"/>
      <c r="R36" s="59"/>
      <c r="S36" s="59"/>
      <c r="T36" s="59"/>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c r="AY36" s="59"/>
      <c r="AZ36" s="59"/>
      <c r="BA36" s="59"/>
      <c r="BB36" s="59"/>
      <c r="BC36" s="59"/>
      <c r="BD36" s="59"/>
      <c r="BE36" s="59"/>
      <c r="BF36" s="59"/>
      <c r="BG36" s="59"/>
      <c r="BH36" s="59"/>
      <c r="BI36" s="59"/>
      <c r="BJ36" s="59"/>
      <c r="BK36" s="59"/>
      <c r="BL36" s="59"/>
      <c r="BM36" s="59"/>
      <c r="BN36" s="59"/>
      <c r="BO36" s="59"/>
      <c r="BP36" s="59"/>
      <c r="BQ36" s="59"/>
      <c r="BR36" s="59"/>
      <c r="BS36" s="59"/>
      <c r="BT36" s="59"/>
      <c r="BU36" s="59"/>
      <c r="BV36" s="59"/>
      <c r="BW36" s="59"/>
      <c r="BX36" s="59"/>
      <c r="BY36" s="59"/>
      <c r="BZ36" s="60"/>
    </row>
    <row r="37" spans="1:78" x14ac:dyDescent="0.25">
      <c r="A37" s="196"/>
      <c r="B37" s="192"/>
      <c r="C37" s="193"/>
      <c r="D37" s="193"/>
      <c r="E37" s="194"/>
      <c r="F37" s="44"/>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c r="BJ37" s="45"/>
      <c r="BK37" s="45"/>
      <c r="BL37" s="45"/>
      <c r="BM37" s="45"/>
      <c r="BN37" s="45"/>
      <c r="BO37" s="45"/>
      <c r="BP37" s="45"/>
      <c r="BQ37" s="45"/>
      <c r="BR37" s="45"/>
      <c r="BS37" s="45"/>
      <c r="BT37" s="45"/>
      <c r="BU37" s="45"/>
      <c r="BV37" s="45"/>
      <c r="BW37" s="45"/>
      <c r="BX37" s="45"/>
      <c r="BY37" s="45"/>
      <c r="BZ37" s="46"/>
    </row>
    <row r="38" spans="1:78" x14ac:dyDescent="0.25">
      <c r="A38" s="201"/>
      <c r="B38" s="192"/>
      <c r="C38" s="193"/>
      <c r="D38" s="193"/>
      <c r="E38" s="194"/>
      <c r="F38" s="58"/>
      <c r="G38" s="59"/>
      <c r="H38" s="59"/>
      <c r="I38" s="59"/>
      <c r="J38" s="59"/>
      <c r="K38" s="59"/>
      <c r="L38" s="59"/>
      <c r="M38" s="59"/>
      <c r="N38" s="59"/>
      <c r="O38" s="59"/>
      <c r="P38" s="59"/>
      <c r="Q38" s="59"/>
      <c r="R38" s="59"/>
      <c r="S38" s="59"/>
      <c r="T38" s="59"/>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W38" s="59"/>
      <c r="AX38" s="59"/>
      <c r="AY38" s="59"/>
      <c r="AZ38" s="59"/>
      <c r="BA38" s="59"/>
      <c r="BB38" s="59"/>
      <c r="BC38" s="59"/>
      <c r="BD38" s="59"/>
      <c r="BE38" s="59"/>
      <c r="BF38" s="59"/>
      <c r="BG38" s="59"/>
      <c r="BH38" s="59"/>
      <c r="BI38" s="59"/>
      <c r="BJ38" s="59"/>
      <c r="BK38" s="59"/>
      <c r="BL38" s="59"/>
      <c r="BM38" s="59"/>
      <c r="BN38" s="59"/>
      <c r="BO38" s="59"/>
      <c r="BP38" s="59"/>
      <c r="BQ38" s="59"/>
      <c r="BR38" s="59"/>
      <c r="BS38" s="59"/>
      <c r="BT38" s="59"/>
      <c r="BU38" s="59"/>
      <c r="BV38" s="59"/>
      <c r="BW38" s="59"/>
      <c r="BX38" s="59"/>
      <c r="BY38" s="59"/>
      <c r="BZ38" s="60"/>
    </row>
    <row r="39" spans="1:78" x14ac:dyDescent="0.25">
      <c r="A39" s="196"/>
      <c r="B39" s="192"/>
      <c r="C39" s="193"/>
      <c r="D39" s="193"/>
      <c r="E39" s="194"/>
      <c r="F39" s="44"/>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c r="BJ39" s="45"/>
      <c r="BK39" s="45"/>
      <c r="BL39" s="45"/>
      <c r="BM39" s="45"/>
      <c r="BN39" s="45"/>
      <c r="BO39" s="45"/>
      <c r="BP39" s="45"/>
      <c r="BQ39" s="45"/>
      <c r="BR39" s="45"/>
      <c r="BS39" s="45"/>
      <c r="BT39" s="45"/>
      <c r="BU39" s="45"/>
      <c r="BV39" s="45"/>
      <c r="BW39" s="45"/>
      <c r="BX39" s="45"/>
      <c r="BY39" s="45"/>
      <c r="BZ39" s="46"/>
    </row>
    <row r="40" spans="1:78" x14ac:dyDescent="0.25">
      <c r="A40" s="196"/>
      <c r="B40" s="192"/>
      <c r="C40" s="193"/>
      <c r="D40" s="193"/>
      <c r="E40" s="194"/>
      <c r="F40" s="44"/>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c r="BJ40" s="45"/>
      <c r="BK40" s="45"/>
      <c r="BL40" s="45"/>
      <c r="BM40" s="45"/>
      <c r="BN40" s="45"/>
      <c r="BO40" s="45"/>
      <c r="BP40" s="45"/>
      <c r="BQ40" s="45"/>
      <c r="BR40" s="45"/>
      <c r="BS40" s="45"/>
      <c r="BT40" s="45"/>
      <c r="BU40" s="45"/>
      <c r="BV40" s="45"/>
      <c r="BW40" s="45"/>
      <c r="BX40" s="45"/>
      <c r="BY40" s="45"/>
      <c r="BZ40" s="46"/>
    </row>
    <row r="41" spans="1:78" x14ac:dyDescent="0.25">
      <c r="A41" s="197"/>
      <c r="B41" s="192"/>
      <c r="C41" s="193"/>
      <c r="D41" s="193"/>
      <c r="E41" s="194"/>
      <c r="F41" s="44"/>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c r="BJ41" s="45"/>
      <c r="BK41" s="45"/>
      <c r="BL41" s="45"/>
      <c r="BM41" s="45"/>
      <c r="BN41" s="45"/>
      <c r="BO41" s="45"/>
      <c r="BP41" s="45"/>
      <c r="BQ41" s="45"/>
      <c r="BR41" s="45"/>
      <c r="BS41" s="45"/>
      <c r="BT41" s="45"/>
      <c r="BU41" s="45"/>
      <c r="BV41" s="45"/>
      <c r="BW41" s="45"/>
      <c r="BX41" s="45"/>
      <c r="BY41" s="45"/>
      <c r="BZ41" s="46"/>
    </row>
    <row r="42" spans="1:78" x14ac:dyDescent="0.25">
      <c r="A42" s="197"/>
      <c r="B42" s="192"/>
      <c r="C42" s="193"/>
      <c r="D42" s="193"/>
      <c r="E42" s="194"/>
      <c r="F42" s="44"/>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c r="BB42" s="45"/>
      <c r="BC42" s="45"/>
      <c r="BD42" s="45"/>
      <c r="BE42" s="45"/>
      <c r="BF42" s="45"/>
      <c r="BG42" s="45"/>
      <c r="BH42" s="45"/>
      <c r="BI42" s="45"/>
      <c r="BJ42" s="45"/>
      <c r="BK42" s="45"/>
      <c r="BL42" s="45"/>
      <c r="BM42" s="45"/>
      <c r="BN42" s="45"/>
      <c r="BO42" s="45"/>
      <c r="BP42" s="45"/>
      <c r="BQ42" s="45"/>
      <c r="BR42" s="45"/>
      <c r="BS42" s="45"/>
      <c r="BT42" s="45"/>
      <c r="BU42" s="45"/>
      <c r="BV42" s="45"/>
      <c r="BW42" s="45"/>
      <c r="BX42" s="45"/>
      <c r="BY42" s="45"/>
      <c r="BZ42" s="46"/>
    </row>
    <row r="43" spans="1:78" x14ac:dyDescent="0.25">
      <c r="A43" s="196"/>
      <c r="B43" s="192"/>
      <c r="C43" s="193"/>
      <c r="D43" s="193"/>
      <c r="E43" s="194"/>
      <c r="F43" s="44"/>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c r="BB43" s="45"/>
      <c r="BC43" s="45"/>
      <c r="BD43" s="45"/>
      <c r="BE43" s="45"/>
      <c r="BF43" s="45"/>
      <c r="BG43" s="45"/>
      <c r="BH43" s="45"/>
      <c r="BI43" s="45"/>
      <c r="BJ43" s="45"/>
      <c r="BK43" s="45"/>
      <c r="BL43" s="45"/>
      <c r="BM43" s="45"/>
      <c r="BN43" s="45"/>
      <c r="BO43" s="45"/>
      <c r="BP43" s="45"/>
      <c r="BQ43" s="45"/>
      <c r="BR43" s="45"/>
      <c r="BS43" s="45"/>
      <c r="BT43" s="45"/>
      <c r="BU43" s="45"/>
      <c r="BV43" s="45"/>
      <c r="BW43" s="45"/>
      <c r="BX43" s="45"/>
      <c r="BY43" s="45"/>
      <c r="BZ43" s="46"/>
    </row>
    <row r="44" spans="1:78" x14ac:dyDescent="0.25">
      <c r="A44" s="196"/>
      <c r="B44" s="192"/>
      <c r="C44" s="193"/>
      <c r="D44" s="193"/>
      <c r="E44" s="194"/>
      <c r="F44" s="47"/>
      <c r="G44" s="48"/>
      <c r="H44" s="48"/>
      <c r="I44" s="48"/>
      <c r="J44" s="48"/>
      <c r="K44" s="48"/>
      <c r="L44" s="48"/>
      <c r="M44" s="48"/>
      <c r="N44" s="48"/>
      <c r="O44" s="48"/>
      <c r="P44" s="48"/>
      <c r="Q44" s="48"/>
      <c r="R44" s="48"/>
      <c r="S44" s="48"/>
      <c r="T44" s="48"/>
      <c r="U44" s="48"/>
      <c r="V44" s="48"/>
      <c r="W44" s="48"/>
      <c r="X44" s="48"/>
      <c r="Y44" s="48"/>
      <c r="Z44" s="48"/>
      <c r="AA44" s="48"/>
      <c r="AB44" s="48"/>
      <c r="AC44" s="48"/>
      <c r="AD44" s="48"/>
      <c r="AE44" s="48"/>
      <c r="AF44" s="48"/>
      <c r="AG44" s="48"/>
      <c r="AH44" s="48"/>
      <c r="AI44" s="48"/>
      <c r="AJ44" s="48"/>
      <c r="AK44" s="48"/>
      <c r="AL44" s="48"/>
      <c r="AM44" s="48"/>
      <c r="AN44" s="48"/>
      <c r="AO44" s="48"/>
      <c r="AP44" s="48"/>
      <c r="AQ44" s="48"/>
      <c r="AR44" s="48"/>
      <c r="AS44" s="48"/>
      <c r="AT44" s="51"/>
      <c r="AU44" s="48"/>
      <c r="AV44" s="48"/>
      <c r="AW44" s="45"/>
      <c r="AX44" s="48"/>
      <c r="AY44" s="48"/>
      <c r="AZ44" s="48"/>
      <c r="BA44" s="48"/>
      <c r="BB44" s="45"/>
      <c r="BC44" s="48"/>
      <c r="BD44" s="48"/>
      <c r="BE44" s="48"/>
      <c r="BF44" s="48"/>
      <c r="BG44" s="48"/>
      <c r="BH44" s="48"/>
      <c r="BI44" s="48"/>
      <c r="BJ44" s="48"/>
      <c r="BK44" s="48"/>
      <c r="BL44" s="48"/>
      <c r="BM44" s="48"/>
      <c r="BN44" s="48"/>
      <c r="BO44" s="48"/>
      <c r="BP44" s="48"/>
      <c r="BQ44" s="48"/>
      <c r="BR44" s="48"/>
      <c r="BS44" s="48"/>
      <c r="BT44" s="48"/>
      <c r="BU44" s="48"/>
      <c r="BV44" s="48"/>
      <c r="BW44" s="48"/>
      <c r="BX44" s="48"/>
      <c r="BY44" s="48"/>
      <c r="BZ44" s="49"/>
    </row>
    <row r="45" spans="1:78" x14ac:dyDescent="0.25">
      <c r="A45" s="197"/>
      <c r="B45" s="192"/>
      <c r="C45" s="193"/>
      <c r="D45" s="193"/>
      <c r="E45" s="194"/>
      <c r="F45" s="44"/>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c r="BB45" s="45"/>
      <c r="BC45" s="45"/>
      <c r="BD45" s="45"/>
      <c r="BE45" s="45"/>
      <c r="BF45" s="45"/>
      <c r="BG45" s="45"/>
      <c r="BH45" s="45"/>
      <c r="BI45" s="45"/>
      <c r="BJ45" s="45"/>
      <c r="BK45" s="45"/>
      <c r="BL45" s="45"/>
      <c r="BM45" s="45"/>
      <c r="BN45" s="45"/>
      <c r="BO45" s="45"/>
      <c r="BP45" s="45"/>
      <c r="BQ45" s="45"/>
      <c r="BR45" s="45"/>
      <c r="BS45" s="45"/>
      <c r="BT45" s="45"/>
      <c r="BU45" s="45"/>
      <c r="BV45" s="45"/>
      <c r="BW45" s="45"/>
      <c r="BX45" s="45"/>
      <c r="BY45" s="45"/>
      <c r="BZ45" s="46"/>
    </row>
    <row r="46" spans="1:78" x14ac:dyDescent="0.25">
      <c r="A46" s="196"/>
      <c r="B46" s="192"/>
      <c r="C46" s="193"/>
      <c r="D46" s="193"/>
      <c r="E46" s="199"/>
      <c r="F46" s="44"/>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c r="BF46" s="45"/>
      <c r="BG46" s="45"/>
      <c r="BH46" s="45"/>
      <c r="BI46" s="45"/>
      <c r="BJ46" s="45"/>
      <c r="BK46" s="45"/>
      <c r="BL46" s="45"/>
      <c r="BM46" s="45"/>
      <c r="BN46" s="45"/>
      <c r="BO46" s="45"/>
      <c r="BP46" s="45"/>
      <c r="BQ46" s="45"/>
      <c r="BR46" s="45"/>
      <c r="BS46" s="45"/>
      <c r="BT46" s="45"/>
      <c r="BU46" s="45"/>
      <c r="BV46" s="45"/>
      <c r="BW46" s="45"/>
      <c r="BX46" s="45"/>
      <c r="BY46" s="45"/>
      <c r="BZ46" s="46"/>
    </row>
    <row r="47" spans="1:78" x14ac:dyDescent="0.25">
      <c r="A47" s="196"/>
      <c r="B47" s="192"/>
      <c r="C47" s="193"/>
      <c r="D47" s="193"/>
      <c r="E47" s="194"/>
      <c r="F47" s="44"/>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c r="BF47" s="45"/>
      <c r="BG47" s="45"/>
      <c r="BH47" s="45"/>
      <c r="BI47" s="45"/>
      <c r="BJ47" s="45"/>
      <c r="BK47" s="45"/>
      <c r="BL47" s="45"/>
      <c r="BM47" s="45"/>
      <c r="BN47" s="45"/>
      <c r="BO47" s="45"/>
      <c r="BP47" s="45"/>
      <c r="BQ47" s="45"/>
      <c r="BR47" s="45"/>
      <c r="BS47" s="45"/>
      <c r="BT47" s="45"/>
      <c r="BU47" s="45"/>
      <c r="BV47" s="45"/>
      <c r="BW47" s="45"/>
      <c r="BX47" s="45"/>
      <c r="BY47" s="45"/>
      <c r="BZ47" s="46"/>
    </row>
    <row r="48" spans="1:78" x14ac:dyDescent="0.25">
      <c r="A48" s="196"/>
      <c r="B48" s="192"/>
      <c r="C48" s="193"/>
      <c r="D48" s="193"/>
      <c r="E48" s="194"/>
      <c r="F48" s="44"/>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45"/>
      <c r="BZ48" s="46"/>
    </row>
    <row r="49" spans="1:78" x14ac:dyDescent="0.25">
      <c r="A49" s="197"/>
      <c r="B49" s="192"/>
      <c r="C49" s="193"/>
      <c r="D49" s="193"/>
      <c r="E49" s="194"/>
      <c r="F49" s="44"/>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c r="BF49" s="45"/>
      <c r="BG49" s="45"/>
      <c r="BH49" s="45"/>
      <c r="BI49" s="45"/>
      <c r="BJ49" s="45"/>
      <c r="BK49" s="45"/>
      <c r="BL49" s="45"/>
      <c r="BM49" s="45"/>
      <c r="BN49" s="45"/>
      <c r="BO49" s="45"/>
      <c r="BP49" s="45"/>
      <c r="BQ49" s="45"/>
      <c r="BR49" s="45"/>
      <c r="BS49" s="45"/>
      <c r="BT49" s="45"/>
      <c r="BU49" s="45"/>
      <c r="BV49" s="45"/>
      <c r="BW49" s="45"/>
      <c r="BX49" s="45"/>
      <c r="BY49" s="45"/>
      <c r="BZ49" s="46"/>
    </row>
    <row r="50" spans="1:78" x14ac:dyDescent="0.25">
      <c r="A50" s="196"/>
      <c r="B50" s="192"/>
      <c r="C50" s="193"/>
      <c r="D50" s="193"/>
      <c r="E50" s="194"/>
      <c r="F50" s="44"/>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c r="BF50" s="45"/>
      <c r="BG50" s="45"/>
      <c r="BH50" s="45"/>
      <c r="BI50" s="45"/>
      <c r="BJ50" s="45"/>
      <c r="BK50" s="45"/>
      <c r="BL50" s="45"/>
      <c r="BM50" s="45"/>
      <c r="BN50" s="45"/>
      <c r="BO50" s="45"/>
      <c r="BP50" s="45"/>
      <c r="BQ50" s="45"/>
      <c r="BR50" s="45"/>
      <c r="BS50" s="45"/>
      <c r="BT50" s="45"/>
      <c r="BU50" s="45"/>
      <c r="BV50" s="45"/>
      <c r="BW50" s="45"/>
      <c r="BX50" s="45"/>
      <c r="BY50" s="45"/>
      <c r="BZ50" s="46"/>
    </row>
    <row r="51" spans="1:78" x14ac:dyDescent="0.25">
      <c r="A51" s="196"/>
      <c r="B51" s="192"/>
      <c r="C51" s="193"/>
      <c r="D51" s="193"/>
      <c r="E51" s="194"/>
      <c r="F51" s="44"/>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c r="BF51" s="45"/>
      <c r="BG51" s="45"/>
      <c r="BH51" s="45"/>
      <c r="BI51" s="45"/>
      <c r="BJ51" s="45"/>
      <c r="BK51" s="45"/>
      <c r="BL51" s="45"/>
      <c r="BM51" s="45"/>
      <c r="BN51" s="45"/>
      <c r="BO51" s="45"/>
      <c r="BP51" s="45"/>
      <c r="BQ51" s="45"/>
      <c r="BR51" s="45"/>
      <c r="BS51" s="45"/>
      <c r="BT51" s="45"/>
      <c r="BU51" s="45"/>
      <c r="BV51" s="45"/>
      <c r="BW51" s="45"/>
      <c r="BX51" s="45"/>
      <c r="BY51" s="45"/>
      <c r="BZ51" s="46"/>
    </row>
    <row r="52" spans="1:78" x14ac:dyDescent="0.25">
      <c r="A52" s="196"/>
      <c r="B52" s="192"/>
      <c r="C52" s="193"/>
      <c r="D52" s="193"/>
      <c r="E52" s="194"/>
      <c r="F52" s="44"/>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c r="BF52" s="45"/>
      <c r="BG52" s="45"/>
      <c r="BH52" s="45"/>
      <c r="BI52" s="45"/>
      <c r="BJ52" s="45"/>
      <c r="BK52" s="45"/>
      <c r="BL52" s="45"/>
      <c r="BM52" s="45"/>
      <c r="BN52" s="45"/>
      <c r="BO52" s="45"/>
      <c r="BP52" s="45"/>
      <c r="BQ52" s="45"/>
      <c r="BR52" s="45"/>
      <c r="BS52" s="45"/>
      <c r="BT52" s="45"/>
      <c r="BU52" s="45"/>
      <c r="BV52" s="45"/>
      <c r="BW52" s="45"/>
      <c r="BX52" s="45"/>
      <c r="BY52" s="45"/>
      <c r="BZ52" s="46"/>
    </row>
    <row r="53" spans="1:78" x14ac:dyDescent="0.25">
      <c r="A53" s="197"/>
      <c r="B53" s="192"/>
      <c r="C53" s="193"/>
      <c r="D53" s="193"/>
      <c r="E53" s="194"/>
      <c r="F53" s="44"/>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c r="BF53" s="45"/>
      <c r="BG53" s="45"/>
      <c r="BH53" s="45"/>
      <c r="BI53" s="45"/>
      <c r="BJ53" s="45"/>
      <c r="BK53" s="45"/>
      <c r="BL53" s="45"/>
      <c r="BM53" s="45"/>
      <c r="BN53" s="45"/>
      <c r="BO53" s="45"/>
      <c r="BP53" s="45"/>
      <c r="BQ53" s="45"/>
      <c r="BR53" s="45"/>
      <c r="BS53" s="45"/>
      <c r="BT53" s="45"/>
      <c r="BU53" s="45"/>
      <c r="BV53" s="45"/>
      <c r="BW53" s="45"/>
      <c r="BX53" s="45"/>
      <c r="BY53" s="45"/>
      <c r="BZ53" s="46"/>
    </row>
    <row r="54" spans="1:78" x14ac:dyDescent="0.25">
      <c r="A54" s="196"/>
      <c r="B54" s="192"/>
      <c r="C54" s="193"/>
      <c r="D54" s="193"/>
      <c r="E54" s="194"/>
      <c r="F54" s="44"/>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c r="BF54" s="45"/>
      <c r="BG54" s="45"/>
      <c r="BH54" s="45"/>
      <c r="BI54" s="45"/>
      <c r="BJ54" s="45"/>
      <c r="BK54" s="45"/>
      <c r="BL54" s="45"/>
      <c r="BM54" s="45"/>
      <c r="BN54" s="45"/>
      <c r="BO54" s="45"/>
      <c r="BP54" s="45"/>
      <c r="BQ54" s="45"/>
      <c r="BR54" s="45"/>
      <c r="BS54" s="45"/>
      <c r="BT54" s="45"/>
      <c r="BU54" s="45"/>
      <c r="BV54" s="45"/>
      <c r="BW54" s="45"/>
      <c r="BX54" s="45"/>
      <c r="BY54" s="45"/>
      <c r="BZ54" s="46"/>
    </row>
    <row r="55" spans="1:78" x14ac:dyDescent="0.25">
      <c r="A55" s="197"/>
      <c r="B55" s="192"/>
      <c r="C55" s="193"/>
      <c r="D55" s="193"/>
      <c r="E55" s="194"/>
      <c r="F55" s="44"/>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c r="BF55" s="45"/>
      <c r="BG55" s="45"/>
      <c r="BH55" s="45"/>
      <c r="BI55" s="45"/>
      <c r="BJ55" s="45"/>
      <c r="BK55" s="45"/>
      <c r="BL55" s="45"/>
      <c r="BM55" s="45"/>
      <c r="BN55" s="45"/>
      <c r="BO55" s="45"/>
      <c r="BP55" s="45"/>
      <c r="BQ55" s="45"/>
      <c r="BR55" s="45"/>
      <c r="BS55" s="45"/>
      <c r="BT55" s="45"/>
      <c r="BU55" s="45"/>
      <c r="BV55" s="45"/>
      <c r="BW55" s="45"/>
      <c r="BX55" s="45"/>
      <c r="BY55" s="45"/>
      <c r="BZ55" s="46"/>
    </row>
    <row r="56" spans="1:78" x14ac:dyDescent="0.25">
      <c r="A56" s="196"/>
      <c r="B56" s="192"/>
      <c r="C56" s="193"/>
      <c r="D56" s="193"/>
      <c r="E56" s="194"/>
      <c r="F56" s="44"/>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c r="BF56" s="45"/>
      <c r="BG56" s="45"/>
      <c r="BH56" s="45"/>
      <c r="BI56" s="45"/>
      <c r="BJ56" s="45"/>
      <c r="BK56" s="45"/>
      <c r="BL56" s="45"/>
      <c r="BM56" s="45"/>
      <c r="BN56" s="45"/>
      <c r="BO56" s="45"/>
      <c r="BP56" s="45"/>
      <c r="BQ56" s="45"/>
      <c r="BR56" s="45"/>
      <c r="BS56" s="45"/>
      <c r="BT56" s="45"/>
      <c r="BU56" s="45"/>
      <c r="BV56" s="45"/>
      <c r="BW56" s="45"/>
      <c r="BX56" s="45"/>
      <c r="BY56" s="45"/>
      <c r="BZ56" s="46"/>
    </row>
    <row r="57" spans="1:78" x14ac:dyDescent="0.25">
      <c r="A57" s="196"/>
      <c r="B57" s="192"/>
      <c r="C57" s="193"/>
      <c r="D57" s="193"/>
      <c r="E57" s="194"/>
      <c r="F57" s="44"/>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c r="BF57" s="45"/>
      <c r="BG57" s="45"/>
      <c r="BH57" s="45"/>
      <c r="BI57" s="45"/>
      <c r="BJ57" s="45"/>
      <c r="BK57" s="45"/>
      <c r="BL57" s="45"/>
      <c r="BM57" s="45"/>
      <c r="BN57" s="45"/>
      <c r="BO57" s="45"/>
      <c r="BP57" s="45"/>
      <c r="BQ57" s="45"/>
      <c r="BR57" s="45"/>
      <c r="BS57" s="45"/>
      <c r="BT57" s="45"/>
      <c r="BU57" s="45"/>
      <c r="BV57" s="45"/>
      <c r="BW57" s="45"/>
      <c r="BX57" s="45"/>
      <c r="BY57" s="45"/>
      <c r="BZ57" s="46"/>
    </row>
    <row r="58" spans="1:78" x14ac:dyDescent="0.25">
      <c r="A58" s="196"/>
      <c r="B58" s="192"/>
      <c r="C58" s="193"/>
      <c r="D58" s="193"/>
      <c r="E58" s="194"/>
      <c r="F58" s="44"/>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c r="BF58" s="45"/>
      <c r="BG58" s="45"/>
      <c r="BH58" s="45"/>
      <c r="BI58" s="45"/>
      <c r="BJ58" s="45"/>
      <c r="BK58" s="45"/>
      <c r="BL58" s="45"/>
      <c r="BM58" s="45"/>
      <c r="BN58" s="45"/>
      <c r="BO58" s="45"/>
      <c r="BP58" s="45"/>
      <c r="BQ58" s="45"/>
      <c r="BR58" s="45"/>
      <c r="BS58" s="45"/>
      <c r="BT58" s="45"/>
      <c r="BU58" s="45"/>
      <c r="BV58" s="45"/>
      <c r="BW58" s="45"/>
      <c r="BX58" s="45"/>
      <c r="BY58" s="45"/>
      <c r="BZ58" s="46"/>
    </row>
    <row r="59" spans="1:78" x14ac:dyDescent="0.25">
      <c r="A59" s="197"/>
      <c r="B59" s="192"/>
      <c r="C59" s="193"/>
      <c r="D59" s="193"/>
      <c r="E59" s="194"/>
      <c r="F59" s="44"/>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c r="BF59" s="45"/>
      <c r="BG59" s="45"/>
      <c r="BH59" s="45"/>
      <c r="BI59" s="45"/>
      <c r="BJ59" s="45"/>
      <c r="BK59" s="45"/>
      <c r="BL59" s="45"/>
      <c r="BM59" s="45"/>
      <c r="BN59" s="45"/>
      <c r="BO59" s="45"/>
      <c r="BP59" s="45"/>
      <c r="BQ59" s="45"/>
      <c r="BR59" s="45"/>
      <c r="BS59" s="45"/>
      <c r="BT59" s="45"/>
      <c r="BU59" s="45"/>
      <c r="BV59" s="45"/>
      <c r="BW59" s="45"/>
      <c r="BX59" s="45"/>
      <c r="BY59" s="45"/>
      <c r="BZ59" s="46"/>
    </row>
    <row r="60" spans="1:78" x14ac:dyDescent="0.25">
      <c r="A60" s="196"/>
      <c r="B60" s="192"/>
      <c r="C60" s="193"/>
      <c r="D60" s="193"/>
      <c r="E60" s="194"/>
      <c r="F60" s="44"/>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c r="BF60" s="45"/>
      <c r="BG60" s="45"/>
      <c r="BH60" s="45"/>
      <c r="BI60" s="45"/>
      <c r="BJ60" s="45"/>
      <c r="BK60" s="45"/>
      <c r="BL60" s="45"/>
      <c r="BM60" s="45"/>
      <c r="BN60" s="45"/>
      <c r="BO60" s="45"/>
      <c r="BP60" s="45"/>
      <c r="BQ60" s="45"/>
      <c r="BR60" s="45"/>
      <c r="BS60" s="45"/>
      <c r="BT60" s="45"/>
      <c r="BU60" s="45"/>
      <c r="BV60" s="45"/>
      <c r="BW60" s="45"/>
      <c r="BX60" s="45"/>
      <c r="BY60" s="45"/>
      <c r="BZ60" s="46"/>
    </row>
    <row r="61" spans="1:78" x14ac:dyDescent="0.25">
      <c r="A61" s="195"/>
      <c r="B61" s="192"/>
      <c r="C61" s="193"/>
      <c r="D61" s="193"/>
      <c r="E61" s="194"/>
      <c r="F61" s="44"/>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45"/>
      <c r="BP61" s="45"/>
      <c r="BQ61" s="45"/>
      <c r="BR61" s="45"/>
      <c r="BS61" s="45"/>
      <c r="BT61" s="45"/>
      <c r="BU61" s="45"/>
      <c r="BV61" s="45"/>
      <c r="BW61" s="45"/>
      <c r="BX61" s="45"/>
      <c r="BY61" s="45"/>
      <c r="BZ61" s="46"/>
    </row>
    <row r="62" spans="1:78" x14ac:dyDescent="0.25">
      <c r="A62" s="195"/>
      <c r="B62" s="192"/>
      <c r="C62" s="193"/>
      <c r="D62" s="193"/>
      <c r="E62" s="194"/>
      <c r="F62" s="44"/>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c r="BF62" s="45"/>
      <c r="BG62" s="45"/>
      <c r="BH62" s="45"/>
      <c r="BI62" s="45"/>
      <c r="BJ62" s="45"/>
      <c r="BK62" s="45"/>
      <c r="BL62" s="45"/>
      <c r="BM62" s="45"/>
      <c r="BN62" s="45"/>
      <c r="BO62" s="45"/>
      <c r="BP62" s="45"/>
      <c r="BQ62" s="45"/>
      <c r="BR62" s="45"/>
      <c r="BS62" s="45"/>
      <c r="BT62" s="45"/>
      <c r="BU62" s="45"/>
      <c r="BV62" s="45"/>
      <c r="BW62" s="45"/>
      <c r="BX62" s="45"/>
      <c r="BY62" s="45"/>
      <c r="BZ62" s="46"/>
    </row>
    <row r="63" spans="1:78" x14ac:dyDescent="0.25">
      <c r="A63" s="202"/>
      <c r="B63" s="192"/>
      <c r="C63" s="193"/>
      <c r="D63" s="193"/>
      <c r="E63" s="203"/>
      <c r="F63" s="58"/>
      <c r="G63" s="59"/>
      <c r="H63" s="59"/>
      <c r="I63" s="59"/>
      <c r="J63" s="59"/>
      <c r="K63" s="59"/>
      <c r="L63" s="59"/>
      <c r="M63" s="59"/>
      <c r="N63" s="59"/>
      <c r="O63" s="59"/>
      <c r="P63" s="59"/>
      <c r="Q63" s="59"/>
      <c r="R63" s="59"/>
      <c r="S63" s="59"/>
      <c r="T63" s="59"/>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c r="BB63" s="59"/>
      <c r="BC63" s="59"/>
      <c r="BD63" s="59"/>
      <c r="BE63" s="59"/>
      <c r="BF63" s="59"/>
      <c r="BG63" s="59"/>
      <c r="BH63" s="59"/>
      <c r="BI63" s="59"/>
      <c r="BJ63" s="59"/>
      <c r="BK63" s="59"/>
      <c r="BL63" s="59"/>
      <c r="BM63" s="59"/>
      <c r="BN63" s="59"/>
      <c r="BO63" s="59"/>
      <c r="BP63" s="59"/>
      <c r="BQ63" s="59"/>
      <c r="BR63" s="59"/>
      <c r="BS63" s="59"/>
      <c r="BT63" s="59"/>
      <c r="BU63" s="59"/>
      <c r="BV63" s="59"/>
      <c r="BW63" s="59"/>
      <c r="BX63" s="59"/>
      <c r="BY63" s="59"/>
      <c r="BZ63" s="60"/>
    </row>
    <row r="64" spans="1:78" x14ac:dyDescent="0.25">
      <c r="A64" s="195"/>
      <c r="B64" s="192"/>
      <c r="C64" s="193"/>
      <c r="D64" s="193"/>
      <c r="E64" s="194"/>
      <c r="F64" s="44"/>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c r="BF64" s="45"/>
      <c r="BG64" s="45"/>
      <c r="BH64" s="45"/>
      <c r="BI64" s="45"/>
      <c r="BJ64" s="45"/>
      <c r="BK64" s="45"/>
      <c r="BL64" s="45"/>
      <c r="BM64" s="45"/>
      <c r="BN64" s="45"/>
      <c r="BO64" s="45"/>
      <c r="BP64" s="45"/>
      <c r="BQ64" s="45"/>
      <c r="BR64" s="45"/>
      <c r="BS64" s="45"/>
      <c r="BT64" s="45"/>
      <c r="BU64" s="45"/>
      <c r="BV64" s="45"/>
      <c r="BW64" s="45"/>
      <c r="BX64" s="45"/>
      <c r="BY64" s="45"/>
      <c r="BZ64" s="46"/>
    </row>
    <row r="65" spans="1:78" x14ac:dyDescent="0.25">
      <c r="A65" s="195"/>
      <c r="B65" s="192"/>
      <c r="C65" s="193"/>
      <c r="D65" s="193"/>
      <c r="E65" s="194"/>
      <c r="F65" s="44"/>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c r="BF65" s="45"/>
      <c r="BG65" s="45"/>
      <c r="BH65" s="45"/>
      <c r="BI65" s="45"/>
      <c r="BJ65" s="45"/>
      <c r="BK65" s="45"/>
      <c r="BL65" s="45"/>
      <c r="BM65" s="45"/>
      <c r="BN65" s="45"/>
      <c r="BO65" s="45"/>
      <c r="BP65" s="45"/>
      <c r="BQ65" s="45"/>
      <c r="BR65" s="45"/>
      <c r="BS65" s="45"/>
      <c r="BT65" s="45"/>
      <c r="BU65" s="45"/>
      <c r="BV65" s="45"/>
      <c r="BW65" s="45"/>
      <c r="BX65" s="45"/>
      <c r="BY65" s="45"/>
      <c r="BZ65" s="46"/>
    </row>
    <row r="66" spans="1:78" x14ac:dyDescent="0.25">
      <c r="A66" s="191"/>
      <c r="B66" s="192"/>
      <c r="C66" s="193"/>
      <c r="D66" s="193"/>
      <c r="E66" s="194"/>
      <c r="F66" s="44"/>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c r="BF66" s="45"/>
      <c r="BG66" s="45"/>
      <c r="BH66" s="45"/>
      <c r="BI66" s="45"/>
      <c r="BJ66" s="45"/>
      <c r="BK66" s="45"/>
      <c r="BL66" s="45"/>
      <c r="BM66" s="45"/>
      <c r="BN66" s="45"/>
      <c r="BO66" s="45"/>
      <c r="BP66" s="45"/>
      <c r="BQ66" s="45"/>
      <c r="BR66" s="45"/>
      <c r="BS66" s="45"/>
      <c r="BT66" s="45"/>
      <c r="BU66" s="45"/>
      <c r="BV66" s="45"/>
      <c r="BW66" s="45"/>
      <c r="BX66" s="45"/>
      <c r="BY66" s="45"/>
      <c r="BZ66" s="46"/>
    </row>
    <row r="67" spans="1:78" x14ac:dyDescent="0.25">
      <c r="A67" s="191"/>
      <c r="B67" s="192"/>
      <c r="C67" s="193"/>
      <c r="D67" s="193"/>
      <c r="E67" s="194"/>
      <c r="F67" s="44"/>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c r="BF67" s="45"/>
      <c r="BG67" s="45"/>
      <c r="BH67" s="45"/>
      <c r="BI67" s="45"/>
      <c r="BJ67" s="45"/>
      <c r="BK67" s="45"/>
      <c r="BL67" s="45"/>
      <c r="BM67" s="45"/>
      <c r="BN67" s="45"/>
      <c r="BO67" s="45"/>
      <c r="BP67" s="45"/>
      <c r="BQ67" s="45"/>
      <c r="BR67" s="45"/>
      <c r="BS67" s="45"/>
      <c r="BT67" s="45"/>
      <c r="BU67" s="45"/>
      <c r="BV67" s="45"/>
      <c r="BW67" s="45"/>
      <c r="BX67" s="45"/>
      <c r="BY67" s="45"/>
      <c r="BZ67" s="46"/>
    </row>
    <row r="68" spans="1:78" x14ac:dyDescent="0.25">
      <c r="A68" s="191"/>
      <c r="B68" s="192"/>
      <c r="C68" s="193"/>
      <c r="D68" s="193"/>
      <c r="E68" s="194"/>
      <c r="F68" s="44"/>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c r="BF68" s="45"/>
      <c r="BG68" s="45"/>
      <c r="BH68" s="45"/>
      <c r="BI68" s="45"/>
      <c r="BJ68" s="45"/>
      <c r="BK68" s="45"/>
      <c r="BL68" s="45"/>
      <c r="BM68" s="45"/>
      <c r="BN68" s="45"/>
      <c r="BO68" s="45"/>
      <c r="BP68" s="45"/>
      <c r="BQ68" s="45"/>
      <c r="BR68" s="45"/>
      <c r="BS68" s="45"/>
      <c r="BT68" s="45"/>
      <c r="BU68" s="45"/>
      <c r="BV68" s="45"/>
      <c r="BW68" s="45"/>
      <c r="BX68" s="45"/>
      <c r="BY68" s="45"/>
      <c r="BZ68" s="46"/>
    </row>
    <row r="69" spans="1:78" x14ac:dyDescent="0.25">
      <c r="A69" s="195"/>
      <c r="B69" s="192"/>
      <c r="C69" s="193"/>
      <c r="D69" s="193"/>
      <c r="E69" s="194"/>
      <c r="F69" s="44"/>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c r="BF69" s="45"/>
      <c r="BG69" s="45"/>
      <c r="BH69" s="45"/>
      <c r="BI69" s="45"/>
      <c r="BJ69" s="45"/>
      <c r="BK69" s="45"/>
      <c r="BL69" s="45"/>
      <c r="BM69" s="45"/>
      <c r="BN69" s="45"/>
      <c r="BO69" s="45"/>
      <c r="BP69" s="45"/>
      <c r="BQ69" s="45"/>
      <c r="BR69" s="45"/>
      <c r="BS69" s="45"/>
      <c r="BT69" s="45"/>
      <c r="BU69" s="45"/>
      <c r="BV69" s="45"/>
      <c r="BW69" s="45"/>
      <c r="BX69" s="45"/>
      <c r="BY69" s="45"/>
      <c r="BZ69" s="46"/>
    </row>
    <row r="70" spans="1:78" s="38" customFormat="1" x14ac:dyDescent="0.25">
      <c r="A70" s="204"/>
      <c r="B70" s="192"/>
      <c r="C70" s="193"/>
      <c r="D70" s="193"/>
      <c r="E70" s="194"/>
      <c r="F70" s="44"/>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c r="BF70" s="45"/>
      <c r="BG70" s="45"/>
      <c r="BH70" s="45"/>
      <c r="BI70" s="45"/>
      <c r="BJ70" s="45"/>
      <c r="BK70" s="45"/>
      <c r="BL70" s="45"/>
      <c r="BM70" s="45"/>
      <c r="BN70" s="45"/>
      <c r="BO70" s="45"/>
      <c r="BP70" s="45"/>
      <c r="BQ70" s="45"/>
      <c r="BR70" s="45"/>
      <c r="BS70" s="45"/>
      <c r="BT70" s="45"/>
      <c r="BU70" s="45"/>
      <c r="BV70" s="45"/>
      <c r="BW70" s="45"/>
      <c r="BX70" s="45"/>
      <c r="BY70" s="45"/>
      <c r="BZ70" s="46"/>
    </row>
    <row r="71" spans="1:78" s="38" customFormat="1" x14ac:dyDescent="0.25">
      <c r="A71" s="195"/>
      <c r="B71" s="192"/>
      <c r="C71" s="193"/>
      <c r="D71" s="193"/>
      <c r="E71" s="194"/>
      <c r="F71" s="44"/>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c r="BF71" s="45"/>
      <c r="BG71" s="45"/>
      <c r="BH71" s="45"/>
      <c r="BI71" s="45"/>
      <c r="BJ71" s="45"/>
      <c r="BK71" s="45"/>
      <c r="BL71" s="45"/>
      <c r="BM71" s="45"/>
      <c r="BN71" s="45"/>
      <c r="BO71" s="45"/>
      <c r="BP71" s="45"/>
      <c r="BQ71" s="45"/>
      <c r="BR71" s="45"/>
      <c r="BS71" s="45"/>
      <c r="BT71" s="45"/>
      <c r="BU71" s="45"/>
      <c r="BV71" s="45"/>
      <c r="BW71" s="45"/>
      <c r="BX71" s="45"/>
      <c r="BY71" s="45"/>
      <c r="BZ71" s="46"/>
    </row>
    <row r="72" spans="1:78" s="38" customFormat="1" x14ac:dyDescent="0.25">
      <c r="A72" s="205"/>
      <c r="B72" s="192"/>
      <c r="C72" s="193"/>
      <c r="D72" s="193"/>
      <c r="E72" s="194"/>
      <c r="F72" s="44"/>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c r="BF72" s="45"/>
      <c r="BG72" s="45"/>
      <c r="BH72" s="45"/>
      <c r="BI72" s="45"/>
      <c r="BJ72" s="45"/>
      <c r="BK72" s="45"/>
      <c r="BL72" s="45"/>
      <c r="BM72" s="45"/>
      <c r="BN72" s="45"/>
      <c r="BO72" s="45"/>
      <c r="BP72" s="45"/>
      <c r="BQ72" s="45"/>
      <c r="BR72" s="45"/>
      <c r="BS72" s="45"/>
      <c r="BT72" s="45"/>
      <c r="BU72" s="45"/>
      <c r="BV72" s="45"/>
      <c r="BW72" s="45"/>
      <c r="BX72" s="45"/>
      <c r="BY72" s="45"/>
      <c r="BZ72" s="46"/>
    </row>
    <row r="73" spans="1:78" x14ac:dyDescent="0.25">
      <c r="A73" s="197"/>
      <c r="B73" s="192"/>
      <c r="C73" s="193"/>
      <c r="D73" s="193"/>
      <c r="E73" s="194"/>
      <c r="F73" s="44"/>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c r="BF73" s="45"/>
      <c r="BG73" s="45"/>
      <c r="BH73" s="45"/>
      <c r="BI73" s="45"/>
      <c r="BJ73" s="45"/>
      <c r="BK73" s="45"/>
      <c r="BL73" s="45"/>
      <c r="BM73" s="45"/>
      <c r="BN73" s="45"/>
      <c r="BO73" s="45"/>
      <c r="BP73" s="45"/>
      <c r="BQ73" s="45"/>
      <c r="BR73" s="45"/>
      <c r="BS73" s="45"/>
      <c r="BT73" s="45"/>
      <c r="BU73" s="45"/>
      <c r="BV73" s="45"/>
      <c r="BW73" s="45"/>
      <c r="BX73" s="45"/>
      <c r="BY73" s="45"/>
      <c r="BZ73" s="46"/>
    </row>
    <row r="74" spans="1:78" s="38" customFormat="1" x14ac:dyDescent="0.25">
      <c r="A74" s="191"/>
      <c r="B74" s="192"/>
      <c r="C74" s="193"/>
      <c r="D74" s="193"/>
      <c r="E74" s="194"/>
      <c r="F74" s="44"/>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c r="BF74" s="45"/>
      <c r="BG74" s="45"/>
      <c r="BH74" s="45"/>
      <c r="BI74" s="45"/>
      <c r="BJ74" s="45"/>
      <c r="BK74" s="45"/>
      <c r="BL74" s="45"/>
      <c r="BM74" s="45"/>
      <c r="BN74" s="45"/>
      <c r="BO74" s="45"/>
      <c r="BP74" s="45"/>
      <c r="BQ74" s="45"/>
      <c r="BR74" s="45"/>
      <c r="BS74" s="45"/>
      <c r="BT74" s="45"/>
      <c r="BU74" s="45"/>
      <c r="BV74" s="45"/>
      <c r="BW74" s="45"/>
      <c r="BX74" s="45"/>
      <c r="BY74" s="45"/>
      <c r="BZ74" s="46"/>
    </row>
    <row r="75" spans="1:78" x14ac:dyDescent="0.25">
      <c r="A75" s="196"/>
      <c r="B75" s="192"/>
      <c r="C75" s="193"/>
      <c r="D75" s="193"/>
      <c r="E75" s="194"/>
      <c r="F75" s="58"/>
      <c r="G75" s="59"/>
      <c r="H75" s="59"/>
      <c r="I75" s="59"/>
      <c r="J75" s="59"/>
      <c r="K75" s="59"/>
      <c r="L75" s="59"/>
      <c r="M75" s="59"/>
      <c r="N75" s="59"/>
      <c r="O75" s="59"/>
      <c r="P75" s="59"/>
      <c r="Q75" s="59"/>
      <c r="R75" s="59"/>
      <c r="S75" s="59"/>
      <c r="T75" s="59"/>
      <c r="U75" s="59"/>
      <c r="V75" s="59"/>
      <c r="W75" s="59"/>
      <c r="X75" s="59"/>
      <c r="Y75" s="59"/>
      <c r="Z75" s="59"/>
      <c r="AA75" s="59"/>
      <c r="AB75" s="59"/>
      <c r="AC75" s="59"/>
      <c r="AD75" s="59"/>
      <c r="AE75" s="59"/>
      <c r="AF75" s="59"/>
      <c r="AG75" s="59"/>
      <c r="AH75" s="59"/>
      <c r="AI75" s="59"/>
      <c r="AJ75" s="59"/>
      <c r="AK75" s="59"/>
      <c r="AL75" s="59"/>
      <c r="AM75" s="59"/>
      <c r="AN75" s="59"/>
      <c r="AO75" s="59"/>
      <c r="AP75" s="59"/>
      <c r="AQ75" s="59"/>
      <c r="AR75" s="59"/>
      <c r="AS75" s="59"/>
      <c r="AT75" s="59"/>
      <c r="AU75" s="59"/>
      <c r="AV75" s="59"/>
      <c r="AW75" s="59"/>
      <c r="AX75" s="59"/>
      <c r="AY75" s="59"/>
      <c r="AZ75" s="59"/>
      <c r="BA75" s="59"/>
      <c r="BB75" s="59"/>
      <c r="BC75" s="59"/>
      <c r="BD75" s="59"/>
      <c r="BE75" s="59"/>
      <c r="BF75" s="59"/>
      <c r="BG75" s="59"/>
      <c r="BH75" s="59"/>
      <c r="BI75" s="59"/>
      <c r="BJ75" s="59"/>
      <c r="BK75" s="59"/>
      <c r="BL75" s="59"/>
      <c r="BM75" s="59"/>
      <c r="BN75" s="59"/>
      <c r="BO75" s="59"/>
      <c r="BP75" s="59"/>
      <c r="BQ75" s="59"/>
      <c r="BR75" s="59"/>
      <c r="BS75" s="59"/>
      <c r="BT75" s="59"/>
      <c r="BU75" s="59"/>
      <c r="BV75" s="59"/>
      <c r="BW75" s="59"/>
      <c r="BX75" s="59"/>
      <c r="BY75" s="59"/>
      <c r="BZ75" s="60"/>
    </row>
    <row r="76" spans="1:78" x14ac:dyDescent="0.25">
      <c r="A76" s="196"/>
      <c r="B76" s="192"/>
      <c r="C76" s="193"/>
      <c r="D76" s="193"/>
      <c r="E76" s="194"/>
      <c r="F76" s="44"/>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c r="BF76" s="45"/>
      <c r="BG76" s="45"/>
      <c r="BH76" s="45"/>
      <c r="BI76" s="45"/>
      <c r="BJ76" s="45"/>
      <c r="BK76" s="45"/>
      <c r="BL76" s="45"/>
      <c r="BM76" s="45"/>
      <c r="BN76" s="45"/>
      <c r="BO76" s="45"/>
      <c r="BP76" s="45"/>
      <c r="BQ76" s="45"/>
      <c r="BR76" s="45"/>
      <c r="BS76" s="45"/>
      <c r="BT76" s="45"/>
      <c r="BU76" s="45"/>
      <c r="BV76" s="45"/>
      <c r="BW76" s="45"/>
      <c r="BX76" s="45"/>
      <c r="BY76" s="45"/>
      <c r="BZ76" s="46"/>
    </row>
    <row r="77" spans="1:78" x14ac:dyDescent="0.25">
      <c r="A77" s="196"/>
      <c r="B77" s="192"/>
      <c r="C77" s="193"/>
      <c r="D77" s="193"/>
      <c r="E77" s="194"/>
      <c r="F77" s="44"/>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c r="BF77" s="45"/>
      <c r="BG77" s="45"/>
      <c r="BH77" s="45"/>
      <c r="BI77" s="45"/>
      <c r="BJ77" s="45"/>
      <c r="BK77" s="45"/>
      <c r="BL77" s="45"/>
      <c r="BM77" s="45"/>
      <c r="BN77" s="45"/>
      <c r="BO77" s="45"/>
      <c r="BP77" s="45"/>
      <c r="BQ77" s="45"/>
      <c r="BR77" s="45"/>
      <c r="BS77" s="45"/>
      <c r="BT77" s="45"/>
      <c r="BU77" s="45"/>
      <c r="BV77" s="45"/>
      <c r="BW77" s="45"/>
      <c r="BX77" s="45"/>
      <c r="BY77" s="45"/>
      <c r="BZ77" s="46"/>
    </row>
    <row r="78" spans="1:78" x14ac:dyDescent="0.25">
      <c r="A78" s="196"/>
      <c r="B78" s="192"/>
      <c r="C78" s="193"/>
      <c r="D78" s="193"/>
      <c r="E78" s="206"/>
      <c r="F78" s="41"/>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c r="BF78" s="45"/>
      <c r="BG78" s="45"/>
      <c r="BH78" s="45"/>
      <c r="BI78" s="45"/>
      <c r="BJ78" s="45"/>
      <c r="BK78" s="45"/>
      <c r="BL78" s="45"/>
      <c r="BM78" s="45"/>
      <c r="BN78" s="45"/>
      <c r="BO78" s="45"/>
      <c r="BP78" s="45"/>
      <c r="BQ78" s="42"/>
      <c r="BR78" s="42"/>
      <c r="BS78" s="42"/>
      <c r="BT78" s="42"/>
      <c r="BU78" s="42"/>
      <c r="BV78" s="42"/>
      <c r="BW78" s="42"/>
      <c r="BX78" s="42"/>
      <c r="BY78" s="42"/>
      <c r="BZ78" s="43"/>
    </row>
    <row r="79" spans="1:78" x14ac:dyDescent="0.25">
      <c r="A79" s="207"/>
      <c r="B79" s="192"/>
      <c r="C79" s="193"/>
      <c r="D79" s="193"/>
      <c r="E79" s="194"/>
      <c r="F79" s="44"/>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c r="BF79" s="45"/>
      <c r="BG79" s="45"/>
      <c r="BH79" s="45"/>
      <c r="BI79" s="45"/>
      <c r="BJ79" s="45"/>
      <c r="BK79" s="45"/>
      <c r="BL79" s="45"/>
      <c r="BM79" s="45"/>
      <c r="BN79" s="45"/>
      <c r="BO79" s="45"/>
      <c r="BP79" s="45"/>
      <c r="BQ79" s="45"/>
      <c r="BR79" s="45"/>
      <c r="BS79" s="45"/>
      <c r="BT79" s="45"/>
      <c r="BU79" s="45"/>
      <c r="BV79" s="45"/>
      <c r="BW79" s="45"/>
      <c r="BX79" s="45"/>
      <c r="BY79" s="45"/>
      <c r="BZ79" s="46"/>
    </row>
    <row r="80" spans="1:78" x14ac:dyDescent="0.25">
      <c r="A80" s="196"/>
      <c r="B80" s="192"/>
      <c r="C80" s="193"/>
      <c r="D80" s="193"/>
      <c r="E80" s="194"/>
      <c r="F80" s="41"/>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3"/>
    </row>
    <row r="81" spans="1:78" x14ac:dyDescent="0.25">
      <c r="A81" s="197"/>
      <c r="B81" s="192"/>
      <c r="C81" s="193"/>
      <c r="D81" s="193"/>
      <c r="E81" s="194"/>
      <c r="F81" s="44"/>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c r="BF81" s="45"/>
      <c r="BG81" s="45"/>
      <c r="BH81" s="45"/>
      <c r="BI81" s="45"/>
      <c r="BJ81" s="45"/>
      <c r="BK81" s="45"/>
      <c r="BL81" s="45"/>
      <c r="BM81" s="45"/>
      <c r="BN81" s="45"/>
      <c r="BO81" s="45"/>
      <c r="BP81" s="45"/>
      <c r="BQ81" s="45"/>
      <c r="BR81" s="45"/>
      <c r="BS81" s="45"/>
      <c r="BT81" s="45"/>
      <c r="BU81" s="45"/>
      <c r="BV81" s="45"/>
      <c r="BW81" s="45"/>
      <c r="BX81" s="45"/>
      <c r="BY81" s="45"/>
      <c r="BZ81" s="46"/>
    </row>
    <row r="82" spans="1:78" x14ac:dyDescent="0.25">
      <c r="A82" s="197"/>
      <c r="B82" s="192"/>
      <c r="C82" s="193"/>
      <c r="D82" s="193"/>
      <c r="E82" s="194"/>
      <c r="F82" s="44"/>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c r="BF82" s="45"/>
      <c r="BG82" s="45"/>
      <c r="BH82" s="45"/>
      <c r="BI82" s="45"/>
      <c r="BJ82" s="45"/>
      <c r="BK82" s="45"/>
      <c r="BL82" s="45"/>
      <c r="BM82" s="45"/>
      <c r="BN82" s="45"/>
      <c r="BO82" s="45"/>
      <c r="BP82" s="45"/>
      <c r="BQ82" s="45"/>
      <c r="BR82" s="45"/>
      <c r="BS82" s="45"/>
      <c r="BT82" s="45"/>
      <c r="BU82" s="45"/>
      <c r="BV82" s="45"/>
      <c r="BW82" s="45"/>
      <c r="BX82" s="45"/>
      <c r="BY82" s="45"/>
      <c r="BZ82" s="46"/>
    </row>
    <row r="83" spans="1:78" x14ac:dyDescent="0.25">
      <c r="A83" s="197"/>
      <c r="B83" s="192"/>
      <c r="C83" s="193"/>
      <c r="D83" s="193"/>
      <c r="E83" s="194"/>
      <c r="F83" s="44"/>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c r="BF83" s="45"/>
      <c r="BG83" s="45"/>
      <c r="BH83" s="45"/>
      <c r="BI83" s="45"/>
      <c r="BJ83" s="45"/>
      <c r="BK83" s="45"/>
      <c r="BL83" s="45"/>
      <c r="BM83" s="45"/>
      <c r="BN83" s="45"/>
      <c r="BO83" s="45"/>
      <c r="BP83" s="45"/>
      <c r="BQ83" s="45"/>
      <c r="BR83" s="45"/>
      <c r="BS83" s="45"/>
      <c r="BT83" s="45"/>
      <c r="BU83" s="45"/>
      <c r="BV83" s="45"/>
      <c r="BW83" s="45"/>
      <c r="BX83" s="45"/>
      <c r="BY83" s="45"/>
      <c r="BZ83" s="46"/>
    </row>
    <row r="84" spans="1:78" x14ac:dyDescent="0.25">
      <c r="A84" s="196"/>
      <c r="B84" s="192"/>
      <c r="C84" s="193"/>
      <c r="D84" s="193"/>
      <c r="E84" s="194"/>
      <c r="F84" s="44"/>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c r="BF84" s="45"/>
      <c r="BG84" s="45"/>
      <c r="BH84" s="45"/>
      <c r="BI84" s="45"/>
      <c r="BJ84" s="45"/>
      <c r="BK84" s="45"/>
      <c r="BL84" s="45"/>
      <c r="BM84" s="45"/>
      <c r="BN84" s="45"/>
      <c r="BO84" s="45"/>
      <c r="BP84" s="45"/>
      <c r="BQ84" s="45"/>
      <c r="BR84" s="45"/>
      <c r="BS84" s="45"/>
      <c r="BT84" s="45"/>
      <c r="BU84" s="45"/>
      <c r="BV84" s="45"/>
      <c r="BW84" s="45"/>
      <c r="BX84" s="45"/>
      <c r="BY84" s="45"/>
      <c r="BZ84" s="46"/>
    </row>
    <row r="85" spans="1:78" x14ac:dyDescent="0.25">
      <c r="A85" s="197"/>
      <c r="B85" s="192"/>
      <c r="C85" s="193"/>
      <c r="D85" s="193"/>
      <c r="E85" s="194"/>
      <c r="F85" s="44"/>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c r="BF85" s="45"/>
      <c r="BG85" s="45"/>
      <c r="BH85" s="45"/>
      <c r="BI85" s="45"/>
      <c r="BJ85" s="45"/>
      <c r="BK85" s="45"/>
      <c r="BL85" s="45"/>
      <c r="BM85" s="45"/>
      <c r="BN85" s="45"/>
      <c r="BO85" s="45"/>
      <c r="BP85" s="45"/>
      <c r="BQ85" s="45"/>
      <c r="BR85" s="45"/>
      <c r="BS85" s="45"/>
      <c r="BT85" s="45"/>
      <c r="BU85" s="45"/>
      <c r="BV85" s="45"/>
      <c r="BW85" s="45"/>
      <c r="BX85" s="45"/>
      <c r="BY85" s="45"/>
      <c r="BZ85" s="46"/>
    </row>
    <row r="86" spans="1:78" x14ac:dyDescent="0.25">
      <c r="A86" s="197"/>
      <c r="B86" s="192"/>
      <c r="C86" s="193"/>
      <c r="D86" s="193"/>
      <c r="E86" s="194"/>
      <c r="F86" s="44"/>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c r="BF86" s="45"/>
      <c r="BG86" s="45"/>
      <c r="BH86" s="45"/>
      <c r="BI86" s="45"/>
      <c r="BJ86" s="45"/>
      <c r="BK86" s="45"/>
      <c r="BL86" s="45"/>
      <c r="BM86" s="45"/>
      <c r="BN86" s="45"/>
      <c r="BO86" s="45"/>
      <c r="BP86" s="45"/>
      <c r="BQ86" s="45"/>
      <c r="BR86" s="45"/>
      <c r="BS86" s="45"/>
      <c r="BT86" s="45"/>
      <c r="BU86" s="45"/>
      <c r="BV86" s="45"/>
      <c r="BW86" s="45"/>
      <c r="BX86" s="45"/>
      <c r="BY86" s="45"/>
      <c r="BZ86" s="46"/>
    </row>
    <row r="87" spans="1:78" x14ac:dyDescent="0.25">
      <c r="A87" s="197"/>
      <c r="B87" s="192"/>
      <c r="C87" s="193"/>
      <c r="D87" s="193"/>
      <c r="E87" s="194"/>
      <c r="F87" s="44"/>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c r="BF87" s="45"/>
      <c r="BG87" s="45"/>
      <c r="BH87" s="45"/>
      <c r="BI87" s="45"/>
      <c r="BJ87" s="45"/>
      <c r="BK87" s="45"/>
      <c r="BL87" s="45"/>
      <c r="BM87" s="45"/>
      <c r="BN87" s="45"/>
      <c r="BO87" s="45"/>
      <c r="BP87" s="45"/>
      <c r="BQ87" s="45"/>
      <c r="BR87" s="45"/>
      <c r="BS87" s="45"/>
      <c r="BT87" s="45"/>
      <c r="BU87" s="45"/>
      <c r="BV87" s="45"/>
      <c r="BW87" s="45"/>
      <c r="BX87" s="45"/>
      <c r="BY87" s="45"/>
      <c r="BZ87" s="46"/>
    </row>
    <row r="88" spans="1:78" x14ac:dyDescent="0.25">
      <c r="A88" s="196"/>
      <c r="B88" s="192"/>
      <c r="C88" s="193"/>
      <c r="D88" s="193"/>
      <c r="E88" s="194"/>
      <c r="F88" s="44"/>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c r="BF88" s="45"/>
      <c r="BG88" s="45"/>
      <c r="BH88" s="45"/>
      <c r="BI88" s="45"/>
      <c r="BJ88" s="45"/>
      <c r="BK88" s="45"/>
      <c r="BL88" s="45"/>
      <c r="BM88" s="45"/>
      <c r="BN88" s="45"/>
      <c r="BO88" s="45"/>
      <c r="BP88" s="45"/>
      <c r="BQ88" s="45"/>
      <c r="BR88" s="45"/>
      <c r="BS88" s="45"/>
      <c r="BT88" s="45"/>
      <c r="BU88" s="45"/>
      <c r="BV88" s="45"/>
      <c r="BW88" s="45"/>
      <c r="BX88" s="45"/>
      <c r="BY88" s="45"/>
      <c r="BZ88" s="46"/>
    </row>
    <row r="89" spans="1:78" x14ac:dyDescent="0.25">
      <c r="A89" s="196"/>
      <c r="B89" s="192"/>
      <c r="C89" s="193"/>
      <c r="D89" s="193"/>
      <c r="E89" s="194"/>
      <c r="F89" s="44"/>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c r="BF89" s="45"/>
      <c r="BG89" s="45"/>
      <c r="BH89" s="45"/>
      <c r="BI89" s="45"/>
      <c r="BJ89" s="45"/>
      <c r="BK89" s="45"/>
      <c r="BL89" s="45"/>
      <c r="BM89" s="45"/>
      <c r="BN89" s="45"/>
      <c r="BO89" s="45"/>
      <c r="BP89" s="45"/>
      <c r="BQ89" s="45"/>
      <c r="BR89" s="45"/>
      <c r="BS89" s="45"/>
      <c r="BT89" s="45"/>
      <c r="BU89" s="45"/>
      <c r="BV89" s="45"/>
      <c r="BW89" s="45"/>
      <c r="BX89" s="45"/>
      <c r="BY89" s="45"/>
      <c r="BZ89" s="46"/>
    </row>
    <row r="90" spans="1:78" x14ac:dyDescent="0.25">
      <c r="A90" s="196"/>
      <c r="B90" s="192"/>
      <c r="C90" s="193"/>
      <c r="D90" s="193"/>
      <c r="E90" s="199"/>
      <c r="F90" s="44"/>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c r="BF90" s="45"/>
      <c r="BG90" s="45"/>
      <c r="BH90" s="45"/>
      <c r="BI90" s="45"/>
      <c r="BJ90" s="45"/>
      <c r="BK90" s="45"/>
      <c r="BL90" s="45"/>
      <c r="BM90" s="45"/>
      <c r="BN90" s="45"/>
      <c r="BO90" s="45"/>
      <c r="BP90" s="45"/>
      <c r="BQ90" s="45"/>
      <c r="BR90" s="45"/>
      <c r="BS90" s="45"/>
      <c r="BT90" s="45"/>
      <c r="BU90" s="45"/>
      <c r="BV90" s="45"/>
      <c r="BW90" s="45"/>
      <c r="BX90" s="45"/>
      <c r="BY90" s="45"/>
      <c r="BZ90" s="46"/>
    </row>
    <row r="91" spans="1:78" x14ac:dyDescent="0.25">
      <c r="A91" s="196"/>
      <c r="B91" s="192"/>
      <c r="C91" s="193"/>
      <c r="D91" s="193"/>
      <c r="E91" s="194"/>
      <c r="F91" s="58"/>
      <c r="G91" s="59"/>
      <c r="H91" s="59"/>
      <c r="I91" s="59"/>
      <c r="J91" s="59"/>
      <c r="K91" s="59"/>
      <c r="L91" s="59"/>
      <c r="M91" s="59"/>
      <c r="N91" s="59"/>
      <c r="O91" s="59"/>
      <c r="P91" s="59"/>
      <c r="Q91" s="59"/>
      <c r="R91" s="59"/>
      <c r="S91" s="59"/>
      <c r="T91" s="59"/>
      <c r="U91" s="59"/>
      <c r="V91" s="59"/>
      <c r="W91" s="59"/>
      <c r="X91" s="59"/>
      <c r="Y91" s="59"/>
      <c r="Z91" s="59"/>
      <c r="AA91" s="59"/>
      <c r="AB91" s="59"/>
      <c r="AC91" s="59"/>
      <c r="AD91" s="59"/>
      <c r="AE91" s="59"/>
      <c r="AF91" s="59"/>
      <c r="AG91" s="59"/>
      <c r="AH91" s="59"/>
      <c r="AI91" s="59"/>
      <c r="AJ91" s="59"/>
      <c r="AK91" s="59"/>
      <c r="AL91" s="59"/>
      <c r="AM91" s="59"/>
      <c r="AN91" s="59"/>
      <c r="AO91" s="59"/>
      <c r="AP91" s="59"/>
      <c r="AQ91" s="59"/>
      <c r="AR91" s="59"/>
      <c r="AS91" s="59"/>
      <c r="AT91" s="59"/>
      <c r="AU91" s="59"/>
      <c r="AV91" s="59"/>
      <c r="AW91" s="59"/>
      <c r="AX91" s="59"/>
      <c r="AY91" s="59"/>
      <c r="AZ91" s="59"/>
      <c r="BA91" s="59"/>
      <c r="BB91" s="59"/>
      <c r="BC91" s="59"/>
      <c r="BD91" s="59"/>
      <c r="BE91" s="59"/>
      <c r="BF91" s="59"/>
      <c r="BG91" s="59"/>
      <c r="BH91" s="59"/>
      <c r="BI91" s="59"/>
      <c r="BJ91" s="59"/>
      <c r="BK91" s="59"/>
      <c r="BL91" s="59"/>
      <c r="BM91" s="59"/>
      <c r="BN91" s="59"/>
      <c r="BO91" s="59"/>
      <c r="BP91" s="59"/>
      <c r="BQ91" s="59"/>
      <c r="BR91" s="59"/>
      <c r="BS91" s="59"/>
      <c r="BT91" s="59"/>
      <c r="BU91" s="59"/>
      <c r="BV91" s="59"/>
      <c r="BW91" s="59"/>
      <c r="BX91" s="59"/>
      <c r="BY91" s="59"/>
      <c r="BZ91" s="60"/>
    </row>
    <row r="92" spans="1:78" x14ac:dyDescent="0.25">
      <c r="A92" s="196"/>
      <c r="B92" s="192"/>
      <c r="C92" s="193"/>
      <c r="D92" s="193"/>
      <c r="E92" s="194"/>
      <c r="F92" s="44"/>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c r="BF92" s="45"/>
      <c r="BG92" s="45"/>
      <c r="BH92" s="45"/>
      <c r="BI92" s="45"/>
      <c r="BJ92" s="45"/>
      <c r="BK92" s="45"/>
      <c r="BL92" s="45"/>
      <c r="BM92" s="45"/>
      <c r="BN92" s="45"/>
      <c r="BO92" s="45"/>
      <c r="BP92" s="45"/>
      <c r="BQ92" s="45"/>
      <c r="BR92" s="45"/>
      <c r="BS92" s="45"/>
      <c r="BT92" s="45"/>
      <c r="BU92" s="45"/>
      <c r="BV92" s="45"/>
      <c r="BW92" s="45"/>
      <c r="BX92" s="45"/>
      <c r="BY92" s="45"/>
      <c r="BZ92" s="46"/>
    </row>
    <row r="93" spans="1:78" x14ac:dyDescent="0.25">
      <c r="A93" s="197"/>
      <c r="B93" s="192"/>
      <c r="C93" s="193"/>
      <c r="D93" s="193"/>
      <c r="E93" s="199"/>
      <c r="F93" s="44"/>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c r="BF93" s="45"/>
      <c r="BG93" s="45"/>
      <c r="BH93" s="45"/>
      <c r="BI93" s="45"/>
      <c r="BJ93" s="45"/>
      <c r="BK93" s="45"/>
      <c r="BL93" s="45"/>
      <c r="BM93" s="45"/>
      <c r="BN93" s="45"/>
      <c r="BO93" s="45"/>
      <c r="BP93" s="45"/>
      <c r="BQ93" s="45"/>
      <c r="BR93" s="45"/>
      <c r="BS93" s="45"/>
      <c r="BT93" s="45"/>
      <c r="BU93" s="45"/>
      <c r="BV93" s="45"/>
      <c r="BW93" s="45"/>
      <c r="BX93" s="45"/>
      <c r="BY93" s="45"/>
      <c r="BZ93" s="46"/>
    </row>
    <row r="94" spans="1:78" x14ac:dyDescent="0.25">
      <c r="A94" s="196"/>
      <c r="B94" s="192"/>
      <c r="C94" s="193"/>
      <c r="D94" s="193"/>
      <c r="E94" s="194"/>
      <c r="F94" s="44"/>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c r="BF94" s="45"/>
      <c r="BG94" s="45"/>
      <c r="BH94" s="45"/>
      <c r="BI94" s="45"/>
      <c r="BJ94" s="45"/>
      <c r="BK94" s="45"/>
      <c r="BL94" s="45"/>
      <c r="BM94" s="45"/>
      <c r="BN94" s="45"/>
      <c r="BO94" s="45"/>
      <c r="BP94" s="45"/>
      <c r="BQ94" s="45"/>
      <c r="BR94" s="45"/>
      <c r="BS94" s="45"/>
      <c r="BT94" s="45"/>
      <c r="BU94" s="45"/>
      <c r="BV94" s="45"/>
      <c r="BW94" s="45"/>
      <c r="BX94" s="45"/>
      <c r="BY94" s="45"/>
      <c r="BZ94" s="46"/>
    </row>
    <row r="95" spans="1:78" x14ac:dyDescent="0.25">
      <c r="A95" s="197"/>
      <c r="B95" s="192"/>
      <c r="C95" s="193"/>
      <c r="D95" s="193"/>
      <c r="E95" s="194"/>
      <c r="F95" s="44"/>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c r="BF95" s="45"/>
      <c r="BG95" s="45"/>
      <c r="BH95" s="45"/>
      <c r="BI95" s="45"/>
      <c r="BJ95" s="45"/>
      <c r="BK95" s="45"/>
      <c r="BL95" s="45"/>
      <c r="BM95" s="45"/>
      <c r="BN95" s="45"/>
      <c r="BO95" s="45"/>
      <c r="BP95" s="45"/>
      <c r="BQ95" s="45"/>
      <c r="BR95" s="45"/>
      <c r="BS95" s="45"/>
      <c r="BT95" s="45"/>
      <c r="BU95" s="45"/>
      <c r="BV95" s="45"/>
      <c r="BW95" s="45"/>
      <c r="BX95" s="45"/>
      <c r="BY95" s="45"/>
      <c r="BZ95" s="46"/>
    </row>
    <row r="96" spans="1:78" x14ac:dyDescent="0.25">
      <c r="A96" s="191"/>
      <c r="B96" s="192"/>
      <c r="C96" s="193"/>
      <c r="D96" s="193"/>
      <c r="E96" s="194"/>
      <c r="F96" s="44"/>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c r="BF96" s="45"/>
      <c r="BG96" s="45"/>
      <c r="BH96" s="45"/>
      <c r="BI96" s="45"/>
      <c r="BJ96" s="45"/>
      <c r="BK96" s="45"/>
      <c r="BL96" s="45"/>
      <c r="BM96" s="45"/>
      <c r="BN96" s="45"/>
      <c r="BO96" s="45"/>
      <c r="BP96" s="45"/>
      <c r="BQ96" s="45"/>
      <c r="BR96" s="45"/>
      <c r="BS96" s="45"/>
      <c r="BT96" s="45"/>
      <c r="BU96" s="45"/>
      <c r="BV96" s="45"/>
      <c r="BW96" s="45"/>
      <c r="BX96" s="45"/>
      <c r="BY96" s="45"/>
      <c r="BZ96" s="46"/>
    </row>
    <row r="97" spans="1:78" x14ac:dyDescent="0.25">
      <c r="A97" s="195"/>
      <c r="B97" s="192"/>
      <c r="C97" s="193"/>
      <c r="D97" s="193"/>
      <c r="E97" s="194"/>
      <c r="F97" s="44"/>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c r="BF97" s="45"/>
      <c r="BG97" s="45"/>
      <c r="BH97" s="45"/>
      <c r="BI97" s="45"/>
      <c r="BJ97" s="45"/>
      <c r="BK97" s="45"/>
      <c r="BL97" s="45"/>
      <c r="BM97" s="45"/>
      <c r="BN97" s="45"/>
      <c r="BO97" s="45"/>
      <c r="BP97" s="45"/>
      <c r="BQ97" s="45"/>
      <c r="BR97" s="45"/>
      <c r="BS97" s="45"/>
      <c r="BT97" s="45"/>
      <c r="BU97" s="45"/>
      <c r="BV97" s="45"/>
      <c r="BW97" s="45"/>
      <c r="BX97" s="45"/>
      <c r="BY97" s="45"/>
      <c r="BZ97" s="46"/>
    </row>
    <row r="98" spans="1:78" x14ac:dyDescent="0.25">
      <c r="A98" s="196"/>
      <c r="B98" s="192"/>
      <c r="C98" s="193"/>
      <c r="D98" s="193"/>
      <c r="E98" s="194"/>
      <c r="F98" s="44"/>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c r="BF98" s="45"/>
      <c r="BG98" s="45"/>
      <c r="BH98" s="45"/>
      <c r="BI98" s="45"/>
      <c r="BJ98" s="45"/>
      <c r="BK98" s="45"/>
      <c r="BL98" s="45"/>
      <c r="BM98" s="45"/>
      <c r="BN98" s="45"/>
      <c r="BO98" s="45"/>
      <c r="BP98" s="45"/>
      <c r="BQ98" s="45"/>
      <c r="BR98" s="45"/>
      <c r="BS98" s="45"/>
      <c r="BT98" s="45"/>
      <c r="BU98" s="45"/>
      <c r="BV98" s="45"/>
      <c r="BW98" s="45"/>
      <c r="BX98" s="45"/>
      <c r="BY98" s="45"/>
      <c r="BZ98" s="46"/>
    </row>
    <row r="99" spans="1:78" x14ac:dyDescent="0.25">
      <c r="A99" s="196"/>
      <c r="B99" s="192"/>
      <c r="C99" s="193"/>
      <c r="D99" s="193"/>
      <c r="E99" s="194"/>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6"/>
    </row>
    <row r="100" spans="1:78" x14ac:dyDescent="0.25">
      <c r="A100" s="196"/>
      <c r="B100" s="192"/>
      <c r="C100" s="193"/>
      <c r="D100" s="193"/>
      <c r="E100" s="194"/>
      <c r="F100" s="44"/>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c r="BF100" s="45"/>
      <c r="BG100" s="45"/>
      <c r="BH100" s="45"/>
      <c r="BI100" s="45"/>
      <c r="BJ100" s="45"/>
      <c r="BK100" s="45"/>
      <c r="BL100" s="45"/>
      <c r="BM100" s="45"/>
      <c r="BN100" s="45"/>
      <c r="BO100" s="45"/>
      <c r="BP100" s="45"/>
      <c r="BQ100" s="45"/>
      <c r="BR100" s="45"/>
      <c r="BS100" s="45"/>
      <c r="BT100" s="45"/>
      <c r="BU100" s="45"/>
      <c r="BV100" s="45"/>
      <c r="BW100" s="45"/>
      <c r="BX100" s="45"/>
      <c r="BY100" s="45"/>
      <c r="BZ100" s="46"/>
    </row>
    <row r="101" spans="1:78" x14ac:dyDescent="0.25">
      <c r="A101" s="196"/>
      <c r="B101" s="192"/>
      <c r="C101" s="193"/>
      <c r="D101" s="193"/>
      <c r="E101" s="194"/>
      <c r="F101" s="44"/>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c r="BF101" s="45"/>
      <c r="BG101" s="45"/>
      <c r="BH101" s="45"/>
      <c r="BI101" s="45"/>
      <c r="BJ101" s="45"/>
      <c r="BK101" s="45"/>
      <c r="BL101" s="45"/>
      <c r="BM101" s="45"/>
      <c r="BN101" s="45"/>
      <c r="BO101" s="45"/>
      <c r="BP101" s="45"/>
      <c r="BQ101" s="45"/>
      <c r="BR101" s="45"/>
      <c r="BS101" s="45"/>
      <c r="BT101" s="45"/>
      <c r="BU101" s="45"/>
      <c r="BV101" s="45"/>
      <c r="BW101" s="45"/>
      <c r="BX101" s="45"/>
      <c r="BY101" s="45"/>
      <c r="BZ101" s="46"/>
    </row>
    <row r="102" spans="1:78" x14ac:dyDescent="0.25">
      <c r="A102" s="196"/>
      <c r="B102" s="192"/>
      <c r="C102" s="193"/>
      <c r="D102" s="193"/>
      <c r="E102" s="194"/>
      <c r="F102" s="44"/>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c r="BF102" s="45"/>
      <c r="BG102" s="45"/>
      <c r="BH102" s="45"/>
      <c r="BI102" s="45"/>
      <c r="BJ102" s="45"/>
      <c r="BK102" s="45"/>
      <c r="BL102" s="45"/>
      <c r="BM102" s="45"/>
      <c r="BN102" s="45"/>
      <c r="BO102" s="45"/>
      <c r="BP102" s="45"/>
      <c r="BQ102" s="45"/>
      <c r="BR102" s="45"/>
      <c r="BS102" s="45"/>
      <c r="BT102" s="45"/>
      <c r="BU102" s="45"/>
      <c r="BV102" s="45"/>
      <c r="BW102" s="45"/>
      <c r="BX102" s="45"/>
      <c r="BY102" s="45"/>
      <c r="BZ102" s="46"/>
    </row>
    <row r="103" spans="1:78" x14ac:dyDescent="0.25">
      <c r="A103" s="196"/>
      <c r="B103" s="192"/>
      <c r="C103" s="193"/>
      <c r="D103" s="193"/>
      <c r="E103" s="194"/>
      <c r="F103" s="44"/>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c r="BF103" s="45"/>
      <c r="BG103" s="45"/>
      <c r="BH103" s="45"/>
      <c r="BI103" s="45"/>
      <c r="BJ103" s="45"/>
      <c r="BK103" s="45"/>
      <c r="BL103" s="45"/>
      <c r="BM103" s="45"/>
      <c r="BN103" s="45"/>
      <c r="BO103" s="45"/>
      <c r="BP103" s="45"/>
      <c r="BQ103" s="45"/>
      <c r="BR103" s="45"/>
      <c r="BS103" s="45"/>
      <c r="BT103" s="45"/>
      <c r="BU103" s="45"/>
      <c r="BV103" s="45"/>
      <c r="BW103" s="45"/>
      <c r="BX103" s="45"/>
      <c r="BY103" s="45"/>
      <c r="BZ103" s="46"/>
    </row>
    <row r="104" spans="1:78" x14ac:dyDescent="0.25">
      <c r="A104" s="196"/>
      <c r="B104" s="192"/>
      <c r="C104" s="193"/>
      <c r="D104" s="193"/>
      <c r="E104" s="208"/>
      <c r="F104" s="41"/>
      <c r="G104" s="42"/>
      <c r="H104" s="42"/>
      <c r="I104" s="42"/>
      <c r="J104" s="42"/>
      <c r="K104" s="42"/>
      <c r="L104" s="42"/>
      <c r="M104" s="42"/>
      <c r="N104" s="42"/>
      <c r="O104" s="42"/>
      <c r="P104" s="42"/>
      <c r="Q104" s="42"/>
      <c r="R104" s="42"/>
      <c r="S104" s="42"/>
      <c r="T104" s="42"/>
      <c r="U104" s="42"/>
      <c r="V104" s="42"/>
      <c r="W104" s="42"/>
      <c r="X104" s="42"/>
      <c r="Y104" s="42"/>
      <c r="Z104" s="42"/>
      <c r="AA104" s="42"/>
      <c r="AB104" s="42"/>
      <c r="AC104" s="42"/>
      <c r="AD104" s="42"/>
      <c r="AE104" s="42"/>
      <c r="AF104" s="42"/>
      <c r="AG104" s="42"/>
      <c r="AH104" s="42"/>
      <c r="AI104" s="42"/>
      <c r="AJ104" s="42"/>
      <c r="AK104" s="42"/>
      <c r="AL104" s="42"/>
      <c r="AM104" s="42"/>
      <c r="AN104" s="42"/>
      <c r="AO104" s="42"/>
      <c r="AP104" s="42"/>
      <c r="AQ104" s="42"/>
      <c r="AR104" s="42"/>
      <c r="AS104" s="42"/>
      <c r="AT104" s="42"/>
      <c r="AU104" s="42"/>
      <c r="AV104" s="42"/>
      <c r="AW104" s="42"/>
      <c r="AX104" s="42"/>
      <c r="AY104" s="42"/>
      <c r="AZ104" s="42"/>
      <c r="BA104" s="42"/>
      <c r="BB104" s="42"/>
      <c r="BC104" s="42"/>
      <c r="BD104" s="42"/>
      <c r="BE104" s="42"/>
      <c r="BF104" s="42"/>
      <c r="BG104" s="42"/>
      <c r="BH104" s="42"/>
      <c r="BI104" s="42"/>
      <c r="BJ104" s="42"/>
      <c r="BK104" s="42"/>
      <c r="BL104" s="42"/>
      <c r="BM104" s="42"/>
      <c r="BN104" s="42"/>
      <c r="BO104" s="42"/>
      <c r="BP104" s="42"/>
      <c r="BQ104" s="42"/>
      <c r="BR104" s="42"/>
      <c r="BS104" s="42"/>
      <c r="BT104" s="42"/>
      <c r="BU104" s="42"/>
      <c r="BV104" s="42"/>
      <c r="BW104" s="42"/>
      <c r="BX104" s="42"/>
      <c r="BY104" s="42"/>
      <c r="BZ104" s="43"/>
    </row>
    <row r="105" spans="1:78" x14ac:dyDescent="0.25">
      <c r="A105" s="197"/>
      <c r="B105" s="192"/>
      <c r="C105" s="193"/>
      <c r="D105" s="193"/>
      <c r="E105" s="194"/>
      <c r="F105" s="44"/>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c r="BF105" s="45"/>
      <c r="BG105" s="45"/>
      <c r="BH105" s="45"/>
      <c r="BI105" s="45"/>
      <c r="BJ105" s="45"/>
      <c r="BK105" s="45"/>
      <c r="BL105" s="45"/>
      <c r="BM105" s="45"/>
      <c r="BN105" s="45"/>
      <c r="BO105" s="45"/>
      <c r="BP105" s="45"/>
      <c r="BQ105" s="45"/>
      <c r="BR105" s="45"/>
      <c r="BS105" s="45"/>
      <c r="BT105" s="45"/>
      <c r="BU105" s="45"/>
      <c r="BV105" s="45"/>
      <c r="BW105" s="45"/>
      <c r="BX105" s="45"/>
      <c r="BY105" s="45"/>
      <c r="BZ105" s="46"/>
    </row>
    <row r="106" spans="1:78" x14ac:dyDescent="0.25">
      <c r="A106" s="209"/>
      <c r="B106" s="192"/>
      <c r="C106" s="193"/>
      <c r="D106" s="193"/>
      <c r="E106" s="194"/>
      <c r="F106" s="44"/>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c r="BF106" s="45"/>
      <c r="BG106" s="45"/>
      <c r="BH106" s="45"/>
      <c r="BI106" s="45"/>
      <c r="BJ106" s="45"/>
      <c r="BK106" s="45"/>
      <c r="BL106" s="45"/>
      <c r="BM106" s="45"/>
      <c r="BN106" s="45"/>
      <c r="BO106" s="45"/>
      <c r="BP106" s="45"/>
      <c r="BQ106" s="45"/>
      <c r="BR106" s="45"/>
      <c r="BS106" s="45"/>
      <c r="BT106" s="45"/>
      <c r="BU106" s="45"/>
      <c r="BV106" s="45"/>
      <c r="BW106" s="45"/>
      <c r="BX106" s="45"/>
      <c r="BY106" s="45"/>
      <c r="BZ106" s="46"/>
    </row>
    <row r="107" spans="1:78" x14ac:dyDescent="0.25">
      <c r="A107" s="210"/>
      <c r="B107" s="192"/>
      <c r="C107" s="193"/>
      <c r="D107" s="193"/>
      <c r="E107" s="194"/>
      <c r="F107" s="44"/>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c r="BF107" s="45"/>
      <c r="BG107" s="45"/>
      <c r="BH107" s="45"/>
      <c r="BI107" s="45"/>
      <c r="BJ107" s="45"/>
      <c r="BK107" s="45"/>
      <c r="BL107" s="45"/>
      <c r="BM107" s="45"/>
      <c r="BN107" s="45"/>
      <c r="BO107" s="45"/>
      <c r="BP107" s="45"/>
      <c r="BQ107" s="45"/>
      <c r="BR107" s="45"/>
      <c r="BS107" s="45"/>
      <c r="BT107" s="45"/>
      <c r="BU107" s="45"/>
      <c r="BV107" s="45"/>
      <c r="BW107" s="45"/>
      <c r="BX107" s="45"/>
      <c r="BY107" s="45"/>
      <c r="BZ107" s="46"/>
    </row>
    <row r="108" spans="1:78" x14ac:dyDescent="0.25">
      <c r="A108" s="210"/>
      <c r="B108" s="192"/>
      <c r="C108" s="193"/>
      <c r="D108" s="193"/>
      <c r="E108" s="194"/>
      <c r="F108" s="44"/>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c r="BF108" s="45"/>
      <c r="BG108" s="45"/>
      <c r="BH108" s="45"/>
      <c r="BI108" s="45"/>
      <c r="BJ108" s="45"/>
      <c r="BK108" s="45"/>
      <c r="BL108" s="45"/>
      <c r="BM108" s="45"/>
      <c r="BN108" s="45"/>
      <c r="BO108" s="45"/>
      <c r="BP108" s="45"/>
      <c r="BQ108" s="45"/>
      <c r="BR108" s="45"/>
      <c r="BS108" s="45"/>
      <c r="BT108" s="45"/>
      <c r="BU108" s="45"/>
      <c r="BV108" s="45"/>
      <c r="BW108" s="45"/>
      <c r="BX108" s="45"/>
      <c r="BY108" s="45"/>
      <c r="BZ108" s="46"/>
    </row>
    <row r="109" spans="1:78" x14ac:dyDescent="0.25">
      <c r="A109" s="210"/>
      <c r="B109" s="192"/>
      <c r="C109" s="193"/>
      <c r="D109" s="193"/>
      <c r="E109" s="194"/>
      <c r="F109" s="44"/>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c r="BF109" s="45"/>
      <c r="BG109" s="45"/>
      <c r="BH109" s="45"/>
      <c r="BI109" s="45"/>
      <c r="BJ109" s="45"/>
      <c r="BK109" s="45"/>
      <c r="BL109" s="45"/>
      <c r="BM109" s="45"/>
      <c r="BN109" s="45"/>
      <c r="BO109" s="45"/>
      <c r="BP109" s="45"/>
      <c r="BQ109" s="45"/>
      <c r="BR109" s="45"/>
      <c r="BS109" s="45"/>
      <c r="BT109" s="45"/>
      <c r="BU109" s="45"/>
      <c r="BV109" s="45"/>
      <c r="BW109" s="45"/>
      <c r="BX109" s="45"/>
      <c r="BY109" s="45"/>
      <c r="BZ109" s="46"/>
    </row>
    <row r="110" spans="1:78" x14ac:dyDescent="0.25">
      <c r="A110" s="196"/>
      <c r="B110" s="192"/>
      <c r="C110" s="193"/>
      <c r="D110" s="193"/>
      <c r="E110" s="194"/>
      <c r="F110" s="44"/>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c r="BF110" s="45"/>
      <c r="BG110" s="45"/>
      <c r="BH110" s="45"/>
      <c r="BI110" s="45"/>
      <c r="BJ110" s="45"/>
      <c r="BK110" s="45"/>
      <c r="BL110" s="45"/>
      <c r="BM110" s="45"/>
      <c r="BN110" s="45"/>
      <c r="BO110" s="45"/>
      <c r="BP110" s="45"/>
      <c r="BQ110" s="45"/>
      <c r="BR110" s="45"/>
      <c r="BS110" s="45"/>
      <c r="BT110" s="45"/>
      <c r="BU110" s="45"/>
      <c r="BV110" s="45"/>
      <c r="BW110" s="45"/>
      <c r="BX110" s="45"/>
      <c r="BY110" s="45"/>
      <c r="BZ110" s="46"/>
    </row>
    <row r="111" spans="1:78" x14ac:dyDescent="0.25">
      <c r="A111" s="196"/>
      <c r="B111" s="192"/>
      <c r="C111" s="193"/>
      <c r="D111" s="193"/>
      <c r="E111" s="194"/>
      <c r="F111" s="44"/>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c r="BF111" s="45"/>
      <c r="BG111" s="45"/>
      <c r="BH111" s="45"/>
      <c r="BI111" s="45"/>
      <c r="BJ111" s="45"/>
      <c r="BK111" s="45"/>
      <c r="BL111" s="45"/>
      <c r="BM111" s="45"/>
      <c r="BN111" s="45"/>
      <c r="BO111" s="45"/>
      <c r="BP111" s="45"/>
      <c r="BQ111" s="45"/>
      <c r="BR111" s="45"/>
      <c r="BS111" s="45"/>
      <c r="BT111" s="45"/>
      <c r="BU111" s="45"/>
      <c r="BV111" s="45"/>
      <c r="BW111" s="45"/>
      <c r="BX111" s="45"/>
      <c r="BY111" s="45"/>
      <c r="BZ111" s="46"/>
    </row>
    <row r="112" spans="1:78" x14ac:dyDescent="0.25">
      <c r="A112" s="197"/>
      <c r="B112" s="192"/>
      <c r="C112" s="193"/>
      <c r="D112" s="193"/>
      <c r="E112" s="194"/>
      <c r="F112" s="44"/>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c r="BF112" s="45"/>
      <c r="BG112" s="45"/>
      <c r="BH112" s="45"/>
      <c r="BI112" s="45"/>
      <c r="BJ112" s="45"/>
      <c r="BK112" s="45"/>
      <c r="BL112" s="45"/>
      <c r="BM112" s="45"/>
      <c r="BN112" s="45"/>
      <c r="BO112" s="45"/>
      <c r="BP112" s="45"/>
      <c r="BQ112" s="45"/>
      <c r="BR112" s="45"/>
      <c r="BS112" s="45"/>
      <c r="BT112" s="45"/>
      <c r="BU112" s="45"/>
      <c r="BV112" s="45"/>
      <c r="BW112" s="45"/>
      <c r="BX112" s="45"/>
      <c r="BY112" s="45"/>
      <c r="BZ112" s="46"/>
    </row>
    <row r="113" spans="1:78" x14ac:dyDescent="0.25">
      <c r="A113" s="197"/>
      <c r="B113" s="192"/>
      <c r="C113" s="193"/>
      <c r="D113" s="193"/>
      <c r="E113" s="194"/>
      <c r="F113" s="44"/>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c r="BF113" s="45"/>
      <c r="BG113" s="45"/>
      <c r="BH113" s="45"/>
      <c r="BI113" s="45"/>
      <c r="BJ113" s="45"/>
      <c r="BK113" s="45"/>
      <c r="BL113" s="45"/>
      <c r="BM113" s="45"/>
      <c r="BN113" s="45"/>
      <c r="BO113" s="45"/>
      <c r="BP113" s="45"/>
      <c r="BQ113" s="45"/>
      <c r="BR113" s="45"/>
      <c r="BS113" s="45"/>
      <c r="BT113" s="45"/>
      <c r="BU113" s="45"/>
      <c r="BV113" s="45"/>
      <c r="BW113" s="45"/>
      <c r="BX113" s="45"/>
      <c r="BY113" s="45"/>
      <c r="BZ113" s="46"/>
    </row>
    <row r="114" spans="1:78" x14ac:dyDescent="0.25">
      <c r="A114" s="197"/>
      <c r="B114" s="192"/>
      <c r="C114" s="193"/>
      <c r="D114" s="193"/>
      <c r="E114" s="194"/>
      <c r="F114" s="44"/>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c r="BF114" s="45"/>
      <c r="BG114" s="45"/>
      <c r="BH114" s="45"/>
      <c r="BI114" s="45"/>
      <c r="BJ114" s="45"/>
      <c r="BK114" s="45"/>
      <c r="BL114" s="45"/>
      <c r="BM114" s="45"/>
      <c r="BN114" s="45"/>
      <c r="BO114" s="45"/>
      <c r="BP114" s="45"/>
      <c r="BQ114" s="45"/>
      <c r="BR114" s="45"/>
      <c r="BS114" s="45"/>
      <c r="BT114" s="45"/>
      <c r="BU114" s="45"/>
      <c r="BV114" s="45"/>
      <c r="BW114" s="45"/>
      <c r="BX114" s="45"/>
      <c r="BY114" s="45"/>
      <c r="BZ114" s="46"/>
    </row>
    <row r="115" spans="1:78" x14ac:dyDescent="0.25">
      <c r="A115" s="197"/>
      <c r="B115" s="192"/>
      <c r="C115" s="193"/>
      <c r="D115" s="193"/>
      <c r="E115" s="194"/>
      <c r="F115" s="44"/>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c r="BF115" s="45"/>
      <c r="BG115" s="45"/>
      <c r="BH115" s="45"/>
      <c r="BI115" s="45"/>
      <c r="BJ115" s="45"/>
      <c r="BK115" s="45"/>
      <c r="BL115" s="45"/>
      <c r="BM115" s="45"/>
      <c r="BN115" s="45"/>
      <c r="BO115" s="45"/>
      <c r="BP115" s="45"/>
      <c r="BQ115" s="45"/>
      <c r="BR115" s="45"/>
      <c r="BS115" s="45"/>
      <c r="BT115" s="45"/>
      <c r="BU115" s="45"/>
      <c r="BV115" s="45"/>
      <c r="BW115" s="45"/>
      <c r="BX115" s="45"/>
      <c r="BY115" s="45"/>
      <c r="BZ115" s="46"/>
    </row>
    <row r="116" spans="1:78" x14ac:dyDescent="0.25">
      <c r="A116" s="197"/>
      <c r="B116" s="192"/>
      <c r="C116" s="193"/>
      <c r="D116" s="193"/>
      <c r="E116" s="194"/>
      <c r="F116" s="44"/>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c r="BF116" s="45"/>
      <c r="BG116" s="45"/>
      <c r="BH116" s="45"/>
      <c r="BI116" s="45"/>
      <c r="BJ116" s="45"/>
      <c r="BK116" s="45"/>
      <c r="BL116" s="45"/>
      <c r="BM116" s="45"/>
      <c r="BN116" s="45"/>
      <c r="BO116" s="45"/>
      <c r="BP116" s="45"/>
      <c r="BQ116" s="45"/>
      <c r="BR116" s="45"/>
      <c r="BS116" s="45"/>
      <c r="BT116" s="45"/>
      <c r="BU116" s="45"/>
      <c r="BV116" s="45"/>
      <c r="BW116" s="45"/>
      <c r="BX116" s="45"/>
      <c r="BY116" s="45"/>
      <c r="BZ116" s="46"/>
    </row>
    <row r="117" spans="1:78" x14ac:dyDescent="0.25">
      <c r="A117" s="197"/>
      <c r="B117" s="192"/>
      <c r="C117" s="193"/>
      <c r="D117" s="193"/>
      <c r="E117" s="194"/>
      <c r="F117" s="44"/>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c r="BF117" s="45"/>
      <c r="BG117" s="45"/>
      <c r="BH117" s="45"/>
      <c r="BI117" s="45"/>
      <c r="BJ117" s="45"/>
      <c r="BK117" s="45"/>
      <c r="BL117" s="45"/>
      <c r="BM117" s="45"/>
      <c r="BN117" s="45"/>
      <c r="BO117" s="45"/>
      <c r="BP117" s="45"/>
      <c r="BQ117" s="45"/>
      <c r="BR117" s="45"/>
      <c r="BS117" s="45"/>
      <c r="BT117" s="45"/>
      <c r="BU117" s="45"/>
      <c r="BV117" s="45"/>
      <c r="BW117" s="45"/>
      <c r="BX117" s="45"/>
      <c r="BY117" s="45"/>
      <c r="BZ117" s="46"/>
    </row>
    <row r="118" spans="1:78" x14ac:dyDescent="0.25">
      <c r="A118" s="197"/>
      <c r="B118" s="192"/>
      <c r="C118" s="193"/>
      <c r="D118" s="193"/>
      <c r="E118" s="194"/>
      <c r="F118" s="44"/>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c r="BF118" s="45"/>
      <c r="BG118" s="45"/>
      <c r="BH118" s="45"/>
      <c r="BI118" s="45"/>
      <c r="BJ118" s="45"/>
      <c r="BK118" s="45"/>
      <c r="BL118" s="45"/>
      <c r="BM118" s="45"/>
      <c r="BN118" s="45"/>
      <c r="BO118" s="45"/>
      <c r="BP118" s="45"/>
      <c r="BQ118" s="45"/>
      <c r="BR118" s="45"/>
      <c r="BS118" s="45"/>
      <c r="BT118" s="45"/>
      <c r="BU118" s="45"/>
      <c r="BV118" s="45"/>
      <c r="BW118" s="45"/>
      <c r="BX118" s="45"/>
      <c r="BY118" s="45"/>
      <c r="BZ118" s="46"/>
    </row>
    <row r="119" spans="1:78" x14ac:dyDescent="0.25">
      <c r="A119" s="197"/>
      <c r="B119" s="192"/>
      <c r="C119" s="193"/>
      <c r="D119" s="193"/>
      <c r="E119" s="194"/>
      <c r="F119" s="44"/>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c r="BF119" s="45"/>
      <c r="BG119" s="45"/>
      <c r="BH119" s="45"/>
      <c r="BI119" s="45"/>
      <c r="BJ119" s="45"/>
      <c r="BK119" s="45"/>
      <c r="BL119" s="45"/>
      <c r="BM119" s="45"/>
      <c r="BN119" s="45"/>
      <c r="BO119" s="45"/>
      <c r="BP119" s="45"/>
      <c r="BQ119" s="45"/>
      <c r="BR119" s="45"/>
      <c r="BS119" s="45"/>
      <c r="BT119" s="45"/>
      <c r="BU119" s="45"/>
      <c r="BV119" s="45"/>
      <c r="BW119" s="45"/>
      <c r="BX119" s="45"/>
      <c r="BY119" s="45"/>
      <c r="BZ119" s="46"/>
    </row>
    <row r="120" spans="1:78" x14ac:dyDescent="0.25">
      <c r="A120" s="197"/>
      <c r="B120" s="192"/>
      <c r="C120" s="193"/>
      <c r="D120" s="193"/>
      <c r="E120" s="194"/>
      <c r="F120" s="44"/>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c r="BF120" s="45"/>
      <c r="BG120" s="45"/>
      <c r="BH120" s="45"/>
      <c r="BI120" s="45"/>
      <c r="BJ120" s="45"/>
      <c r="BK120" s="45"/>
      <c r="BL120" s="45"/>
      <c r="BM120" s="45"/>
      <c r="BN120" s="45"/>
      <c r="BO120" s="45"/>
      <c r="BP120" s="45"/>
      <c r="BQ120" s="45"/>
      <c r="BR120" s="45"/>
      <c r="BS120" s="45"/>
      <c r="BT120" s="45"/>
      <c r="BU120" s="45"/>
      <c r="BV120" s="45"/>
      <c r="BW120" s="45"/>
      <c r="BX120" s="45"/>
      <c r="BY120" s="45"/>
      <c r="BZ120" s="46"/>
    </row>
    <row r="121" spans="1:78" x14ac:dyDescent="0.25">
      <c r="A121" s="197"/>
      <c r="B121" s="192"/>
      <c r="C121" s="193"/>
      <c r="D121" s="193"/>
      <c r="E121" s="194"/>
      <c r="F121" s="44"/>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c r="BF121" s="45"/>
      <c r="BG121" s="45"/>
      <c r="BH121" s="45"/>
      <c r="BI121" s="45"/>
      <c r="BJ121" s="45"/>
      <c r="BK121" s="45"/>
      <c r="BL121" s="45"/>
      <c r="BM121" s="45"/>
      <c r="BN121" s="45"/>
      <c r="BO121" s="45"/>
      <c r="BP121" s="45"/>
      <c r="BQ121" s="45"/>
      <c r="BR121" s="45"/>
      <c r="BS121" s="45"/>
      <c r="BT121" s="45"/>
      <c r="BU121" s="45"/>
      <c r="BV121" s="45"/>
      <c r="BW121" s="45"/>
      <c r="BX121" s="45"/>
      <c r="BY121" s="45"/>
      <c r="BZ121" s="46"/>
    </row>
    <row r="122" spans="1:78" x14ac:dyDescent="0.25">
      <c r="A122" s="197"/>
      <c r="B122" s="192"/>
      <c r="C122" s="193"/>
      <c r="D122" s="193"/>
      <c r="E122" s="194"/>
      <c r="F122" s="44"/>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c r="BF122" s="45"/>
      <c r="BG122" s="45"/>
      <c r="BH122" s="45"/>
      <c r="BI122" s="45"/>
      <c r="BJ122" s="45"/>
      <c r="BK122" s="45"/>
      <c r="BL122" s="45"/>
      <c r="BM122" s="45"/>
      <c r="BN122" s="45"/>
      <c r="BO122" s="45"/>
      <c r="BP122" s="45"/>
      <c r="BQ122" s="45"/>
      <c r="BR122" s="45"/>
      <c r="BS122" s="45"/>
      <c r="BT122" s="45"/>
      <c r="BU122" s="45"/>
      <c r="BV122" s="45"/>
      <c r="BW122" s="45"/>
      <c r="BX122" s="45"/>
      <c r="BY122" s="45"/>
      <c r="BZ122" s="46"/>
    </row>
    <row r="123" spans="1:78" x14ac:dyDescent="0.25">
      <c r="A123" s="196"/>
      <c r="B123" s="192"/>
      <c r="C123" s="193"/>
      <c r="D123" s="193"/>
      <c r="E123" s="194"/>
      <c r="F123" s="44"/>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c r="BF123" s="45"/>
      <c r="BG123" s="45"/>
      <c r="BH123" s="45"/>
      <c r="BI123" s="45"/>
      <c r="BJ123" s="45"/>
      <c r="BK123" s="45"/>
      <c r="BL123" s="45"/>
      <c r="BM123" s="45"/>
      <c r="BN123" s="45"/>
      <c r="BO123" s="45"/>
      <c r="BP123" s="45"/>
      <c r="BQ123" s="45"/>
      <c r="BR123" s="45"/>
      <c r="BS123" s="45"/>
      <c r="BT123" s="45"/>
      <c r="BU123" s="45"/>
      <c r="BV123" s="45"/>
      <c r="BW123" s="45"/>
      <c r="BX123" s="45"/>
      <c r="BY123" s="45"/>
      <c r="BZ123" s="46"/>
    </row>
    <row r="124" spans="1:78" x14ac:dyDescent="0.25">
      <c r="A124" s="196"/>
      <c r="B124" s="192"/>
      <c r="C124" s="193"/>
      <c r="D124" s="193"/>
      <c r="E124" s="194"/>
      <c r="F124" s="44"/>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c r="BB124" s="45"/>
      <c r="BC124" s="45"/>
      <c r="BD124" s="45"/>
      <c r="BE124" s="45"/>
      <c r="BF124" s="45"/>
      <c r="BG124" s="45"/>
      <c r="BH124" s="45"/>
      <c r="BI124" s="45"/>
      <c r="BJ124" s="45"/>
      <c r="BK124" s="45"/>
      <c r="BL124" s="45"/>
      <c r="BM124" s="45"/>
      <c r="BN124" s="45"/>
      <c r="BO124" s="45"/>
      <c r="BP124" s="45"/>
      <c r="BQ124" s="45"/>
      <c r="BR124" s="45"/>
      <c r="BS124" s="45"/>
      <c r="BT124" s="45"/>
      <c r="BU124" s="45"/>
      <c r="BV124" s="45"/>
      <c r="BW124" s="45"/>
      <c r="BX124" s="45"/>
      <c r="BY124" s="45"/>
      <c r="BZ124" s="46"/>
    </row>
    <row r="125" spans="1:78" x14ac:dyDescent="0.25">
      <c r="A125" s="196"/>
      <c r="B125" s="192"/>
      <c r="C125" s="193"/>
      <c r="D125" s="193"/>
      <c r="E125" s="194"/>
      <c r="F125" s="44"/>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c r="BB125" s="45"/>
      <c r="BC125" s="45"/>
      <c r="BD125" s="45"/>
      <c r="BE125" s="45"/>
      <c r="BF125" s="45"/>
      <c r="BG125" s="45"/>
      <c r="BH125" s="45"/>
      <c r="BI125" s="45"/>
      <c r="BJ125" s="45"/>
      <c r="BK125" s="45"/>
      <c r="BL125" s="45"/>
      <c r="BM125" s="45"/>
      <c r="BN125" s="45"/>
      <c r="BO125" s="45"/>
      <c r="BP125" s="45"/>
      <c r="BQ125" s="45"/>
      <c r="BR125" s="45"/>
      <c r="BS125" s="45"/>
      <c r="BT125" s="45"/>
      <c r="BU125" s="45"/>
      <c r="BV125" s="45"/>
      <c r="BW125" s="45"/>
      <c r="BX125" s="45"/>
      <c r="BY125" s="45"/>
      <c r="BZ125" s="46"/>
    </row>
    <row r="126" spans="1:78" x14ac:dyDescent="0.25">
      <c r="A126" s="211"/>
      <c r="B126" s="192"/>
      <c r="C126" s="193"/>
      <c r="D126" s="193"/>
      <c r="E126" s="194"/>
      <c r="F126" s="44"/>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c r="BB126" s="45"/>
      <c r="BC126" s="45"/>
      <c r="BD126" s="45"/>
      <c r="BE126" s="45"/>
      <c r="BF126" s="45"/>
      <c r="BG126" s="45"/>
      <c r="BH126" s="45"/>
      <c r="BI126" s="45"/>
      <c r="BJ126" s="45"/>
      <c r="BK126" s="45"/>
      <c r="BL126" s="45"/>
      <c r="BM126" s="45"/>
      <c r="BN126" s="45"/>
      <c r="BO126" s="45"/>
      <c r="BP126" s="45"/>
      <c r="BQ126" s="45"/>
      <c r="BR126" s="45"/>
      <c r="BS126" s="45"/>
      <c r="BT126" s="45"/>
      <c r="BU126" s="45"/>
      <c r="BV126" s="45"/>
      <c r="BW126" s="45"/>
      <c r="BX126" s="45"/>
      <c r="BY126" s="45"/>
      <c r="BZ126" s="46"/>
    </row>
    <row r="127" spans="1:78" x14ac:dyDescent="0.25">
      <c r="A127" s="196"/>
      <c r="B127" s="200"/>
      <c r="C127" s="212"/>
      <c r="D127" s="193"/>
      <c r="E127" s="194"/>
      <c r="F127" s="44"/>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c r="BB127" s="45"/>
      <c r="BC127" s="45"/>
      <c r="BD127" s="45"/>
      <c r="BE127" s="45"/>
      <c r="BF127" s="45"/>
      <c r="BG127" s="45"/>
      <c r="BH127" s="45"/>
      <c r="BI127" s="45"/>
      <c r="BJ127" s="45"/>
      <c r="BK127" s="45"/>
      <c r="BL127" s="45"/>
      <c r="BM127" s="45"/>
      <c r="BN127" s="45"/>
      <c r="BO127" s="45"/>
      <c r="BP127" s="45"/>
      <c r="BQ127" s="45"/>
      <c r="BR127" s="45"/>
      <c r="BS127" s="45"/>
      <c r="BT127" s="45"/>
      <c r="BU127" s="45"/>
      <c r="BV127" s="45"/>
      <c r="BW127" s="45"/>
      <c r="BX127" s="45"/>
      <c r="BY127" s="45"/>
      <c r="BZ127" s="46"/>
    </row>
    <row r="128" spans="1:78" x14ac:dyDescent="0.25">
      <c r="A128" s="196"/>
      <c r="B128" s="192"/>
      <c r="C128" s="193"/>
      <c r="D128" s="193"/>
      <c r="E128" s="194"/>
      <c r="F128" s="44"/>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c r="BB128" s="45"/>
      <c r="BC128" s="45"/>
      <c r="BD128" s="45"/>
      <c r="BE128" s="45"/>
      <c r="BF128" s="45"/>
      <c r="BG128" s="45"/>
      <c r="BH128" s="45"/>
      <c r="BI128" s="45"/>
      <c r="BJ128" s="45"/>
      <c r="BK128" s="45"/>
      <c r="BL128" s="45"/>
      <c r="BM128" s="45"/>
      <c r="BN128" s="45"/>
      <c r="BO128" s="45"/>
      <c r="BP128" s="45"/>
      <c r="BQ128" s="45"/>
      <c r="BR128" s="45"/>
      <c r="BS128" s="45"/>
      <c r="BT128" s="45"/>
      <c r="BU128" s="45"/>
      <c r="BV128" s="45"/>
      <c r="BW128" s="45"/>
      <c r="BX128" s="45"/>
      <c r="BY128" s="45"/>
      <c r="BZ128" s="46"/>
    </row>
    <row r="129" spans="1:78" x14ac:dyDescent="0.25">
      <c r="A129" s="196"/>
      <c r="B129" s="200"/>
      <c r="C129" s="212"/>
      <c r="D129" s="193"/>
      <c r="E129" s="194"/>
      <c r="F129" s="44"/>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c r="BB129" s="45"/>
      <c r="BC129" s="45"/>
      <c r="BD129" s="45"/>
      <c r="BE129" s="45"/>
      <c r="BF129" s="45"/>
      <c r="BG129" s="45"/>
      <c r="BH129" s="45"/>
      <c r="BI129" s="45"/>
      <c r="BJ129" s="45"/>
      <c r="BK129" s="45"/>
      <c r="BL129" s="45"/>
      <c r="BM129" s="45"/>
      <c r="BN129" s="45"/>
      <c r="BO129" s="45"/>
      <c r="BP129" s="45"/>
      <c r="BQ129" s="45"/>
      <c r="BR129" s="45"/>
      <c r="BS129" s="45"/>
      <c r="BT129" s="45"/>
      <c r="BU129" s="45"/>
      <c r="BV129" s="45"/>
      <c r="BW129" s="45"/>
      <c r="BX129" s="45"/>
      <c r="BY129" s="45"/>
      <c r="BZ129" s="46"/>
    </row>
    <row r="130" spans="1:78" x14ac:dyDescent="0.25">
      <c r="A130" s="197"/>
      <c r="B130" s="192"/>
      <c r="C130" s="193"/>
      <c r="D130" s="193"/>
      <c r="E130" s="194"/>
      <c r="F130" s="44"/>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c r="BB130" s="45"/>
      <c r="BC130" s="45"/>
      <c r="BD130" s="45"/>
      <c r="BE130" s="45"/>
      <c r="BF130" s="45"/>
      <c r="BG130" s="45"/>
      <c r="BH130" s="45"/>
      <c r="BI130" s="45"/>
      <c r="BJ130" s="45"/>
      <c r="BK130" s="45"/>
      <c r="BL130" s="45"/>
      <c r="BM130" s="45"/>
      <c r="BN130" s="45"/>
      <c r="BO130" s="45"/>
      <c r="BP130" s="45"/>
      <c r="BQ130" s="45"/>
      <c r="BR130" s="45"/>
      <c r="BS130" s="45"/>
      <c r="BT130" s="45"/>
      <c r="BU130" s="45"/>
      <c r="BV130" s="45"/>
      <c r="BW130" s="45"/>
      <c r="BX130" s="45"/>
      <c r="BY130" s="45"/>
      <c r="BZ130" s="46"/>
    </row>
    <row r="131" spans="1:78" x14ac:dyDescent="0.25">
      <c r="A131" s="196"/>
      <c r="B131" s="200"/>
      <c r="C131" s="212"/>
      <c r="D131" s="193"/>
      <c r="E131" s="194"/>
      <c r="F131" s="44"/>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c r="BB131" s="45"/>
      <c r="BC131" s="45"/>
      <c r="BD131" s="45"/>
      <c r="BE131" s="45"/>
      <c r="BF131" s="45"/>
      <c r="BG131" s="45"/>
      <c r="BH131" s="45"/>
      <c r="BI131" s="45"/>
      <c r="BJ131" s="45"/>
      <c r="BK131" s="45"/>
      <c r="BL131" s="45"/>
      <c r="BM131" s="45"/>
      <c r="BN131" s="45"/>
      <c r="BO131" s="45"/>
      <c r="BP131" s="45"/>
      <c r="BQ131" s="45"/>
      <c r="BR131" s="45"/>
      <c r="BS131" s="45"/>
      <c r="BT131" s="45"/>
      <c r="BU131" s="45"/>
      <c r="BV131" s="45"/>
      <c r="BW131" s="45"/>
      <c r="BX131" s="45"/>
      <c r="BY131" s="45"/>
      <c r="BZ131" s="46"/>
    </row>
    <row r="132" spans="1:78" x14ac:dyDescent="0.25">
      <c r="A132" s="197"/>
      <c r="B132" s="200"/>
      <c r="C132" s="212"/>
      <c r="D132" s="193"/>
      <c r="E132" s="194"/>
      <c r="F132" s="44"/>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c r="BB132" s="45"/>
      <c r="BC132" s="45"/>
      <c r="BD132" s="45"/>
      <c r="BE132" s="45"/>
      <c r="BF132" s="45"/>
      <c r="BG132" s="45"/>
      <c r="BH132" s="45"/>
      <c r="BI132" s="45"/>
      <c r="BJ132" s="45"/>
      <c r="BK132" s="45"/>
      <c r="BL132" s="45"/>
      <c r="BM132" s="45"/>
      <c r="BN132" s="45"/>
      <c r="BO132" s="45"/>
      <c r="BP132" s="45"/>
      <c r="BQ132" s="45"/>
      <c r="BR132" s="45"/>
      <c r="BS132" s="45"/>
      <c r="BT132" s="45"/>
      <c r="BU132" s="45"/>
      <c r="BV132" s="45"/>
      <c r="BW132" s="45"/>
      <c r="BX132" s="45"/>
      <c r="BY132" s="45"/>
      <c r="BZ132" s="46"/>
    </row>
    <row r="133" spans="1:78" x14ac:dyDescent="0.25">
      <c r="A133" s="197"/>
      <c r="B133" s="192"/>
      <c r="C133" s="193"/>
      <c r="D133" s="193"/>
      <c r="E133" s="194"/>
      <c r="F133" s="44"/>
      <c r="G133" s="45"/>
      <c r="H133" s="45"/>
      <c r="I133" s="45"/>
      <c r="J133" s="45"/>
      <c r="K133" s="45"/>
      <c r="L133" s="45"/>
      <c r="M133" s="45"/>
      <c r="N133" s="45"/>
      <c r="O133" s="45"/>
      <c r="P133" s="45"/>
      <c r="Q133" s="45"/>
      <c r="R133" s="45"/>
      <c r="S133" s="45"/>
      <c r="T133" s="45"/>
      <c r="U133" s="45"/>
      <c r="V133" s="45"/>
      <c r="W133" s="45"/>
      <c r="X133" s="45"/>
      <c r="Y133" s="45"/>
      <c r="Z133" s="45"/>
      <c r="AA133" s="45"/>
      <c r="AB133" s="45"/>
      <c r="AC133" s="45"/>
      <c r="AD133" s="45"/>
      <c r="AE133" s="45"/>
      <c r="AF133" s="45"/>
      <c r="AG133" s="45"/>
      <c r="AH133" s="45"/>
      <c r="AI133" s="45"/>
      <c r="AJ133" s="45"/>
      <c r="AK133" s="45"/>
      <c r="AL133" s="45"/>
      <c r="AM133" s="45"/>
      <c r="AN133" s="45"/>
      <c r="AO133" s="45"/>
      <c r="AP133" s="45"/>
      <c r="AQ133" s="45"/>
      <c r="AR133" s="45"/>
      <c r="AS133" s="45"/>
      <c r="AT133" s="45"/>
      <c r="AU133" s="45"/>
      <c r="AV133" s="45"/>
      <c r="AW133" s="45"/>
      <c r="AX133" s="45"/>
      <c r="AY133" s="45"/>
      <c r="AZ133" s="45"/>
      <c r="BA133" s="45"/>
      <c r="BB133" s="45"/>
      <c r="BC133" s="45"/>
      <c r="BD133" s="45"/>
      <c r="BE133" s="45"/>
      <c r="BF133" s="45"/>
      <c r="BG133" s="45"/>
      <c r="BH133" s="45"/>
      <c r="BI133" s="45"/>
      <c r="BJ133" s="45"/>
      <c r="BK133" s="45"/>
      <c r="BL133" s="45"/>
      <c r="BM133" s="45"/>
      <c r="BN133" s="45"/>
      <c r="BO133" s="45"/>
      <c r="BP133" s="45"/>
      <c r="BQ133" s="45"/>
      <c r="BR133" s="45"/>
      <c r="BS133" s="45"/>
      <c r="BT133" s="45"/>
      <c r="BU133" s="45"/>
      <c r="BV133" s="45"/>
      <c r="BW133" s="45"/>
      <c r="BX133" s="45"/>
      <c r="BY133" s="45"/>
      <c r="BZ133" s="46"/>
    </row>
    <row r="134" spans="1:78" x14ac:dyDescent="0.25">
      <c r="A134" s="197"/>
      <c r="B134" s="192"/>
      <c r="C134" s="193"/>
      <c r="D134" s="193"/>
      <c r="E134" s="194"/>
      <c r="F134" s="44"/>
      <c r="G134" s="45"/>
      <c r="H134" s="45"/>
      <c r="I134" s="45"/>
      <c r="J134" s="45"/>
      <c r="K134" s="45"/>
      <c r="L134" s="45"/>
      <c r="M134" s="45"/>
      <c r="N134" s="45"/>
      <c r="O134" s="45"/>
      <c r="P134" s="45"/>
      <c r="Q134" s="45"/>
      <c r="R134" s="45"/>
      <c r="S134" s="45"/>
      <c r="T134" s="45"/>
      <c r="U134" s="45"/>
      <c r="V134" s="45"/>
      <c r="W134" s="45"/>
      <c r="X134" s="45"/>
      <c r="Y134" s="45"/>
      <c r="Z134" s="45"/>
      <c r="AA134" s="45"/>
      <c r="AB134" s="45"/>
      <c r="AC134" s="45"/>
      <c r="AD134" s="45"/>
      <c r="AE134" s="45"/>
      <c r="AF134" s="45"/>
      <c r="AG134" s="45"/>
      <c r="AH134" s="45"/>
      <c r="AI134" s="45"/>
      <c r="AJ134" s="45"/>
      <c r="AK134" s="45"/>
      <c r="AL134" s="45"/>
      <c r="AM134" s="45"/>
      <c r="AN134" s="45"/>
      <c r="AO134" s="45"/>
      <c r="AP134" s="45"/>
      <c r="AQ134" s="45"/>
      <c r="AR134" s="45"/>
      <c r="AS134" s="45"/>
      <c r="AT134" s="45"/>
      <c r="AU134" s="45"/>
      <c r="AV134" s="45"/>
      <c r="AW134" s="45"/>
      <c r="AX134" s="45"/>
      <c r="AY134" s="45"/>
      <c r="AZ134" s="45"/>
      <c r="BA134" s="45"/>
      <c r="BB134" s="45"/>
      <c r="BC134" s="45"/>
      <c r="BD134" s="45"/>
      <c r="BE134" s="45"/>
      <c r="BF134" s="45"/>
      <c r="BG134" s="45"/>
      <c r="BH134" s="45"/>
      <c r="BI134" s="45"/>
      <c r="BJ134" s="45"/>
      <c r="BK134" s="45"/>
      <c r="BL134" s="45"/>
      <c r="BM134" s="45"/>
      <c r="BN134" s="45"/>
      <c r="BO134" s="45"/>
      <c r="BP134" s="45"/>
      <c r="BQ134" s="45"/>
      <c r="BR134" s="45"/>
      <c r="BS134" s="45"/>
      <c r="BT134" s="45"/>
      <c r="BU134" s="45"/>
      <c r="BV134" s="45"/>
      <c r="BW134" s="45"/>
      <c r="BX134" s="45"/>
      <c r="BY134" s="45"/>
      <c r="BZ134" s="46"/>
    </row>
    <row r="135" spans="1:78" x14ac:dyDescent="0.25">
      <c r="A135" s="196"/>
      <c r="B135" s="192"/>
      <c r="C135" s="193"/>
      <c r="D135" s="193"/>
      <c r="E135" s="194"/>
      <c r="F135" s="44"/>
      <c r="G135" s="45"/>
      <c r="H135" s="45"/>
      <c r="I135" s="45"/>
      <c r="J135" s="45"/>
      <c r="K135" s="45"/>
      <c r="L135" s="45"/>
      <c r="M135" s="45"/>
      <c r="N135" s="45"/>
      <c r="O135" s="45"/>
      <c r="P135" s="45"/>
      <c r="Q135" s="45"/>
      <c r="R135" s="45"/>
      <c r="S135" s="45"/>
      <c r="T135" s="45"/>
      <c r="U135" s="45"/>
      <c r="V135" s="45"/>
      <c r="W135" s="45"/>
      <c r="X135" s="45"/>
      <c r="Y135" s="45"/>
      <c r="Z135" s="45"/>
      <c r="AA135" s="45"/>
      <c r="AB135" s="45"/>
      <c r="AC135" s="45"/>
      <c r="AD135" s="45"/>
      <c r="AE135" s="45"/>
      <c r="AF135" s="45"/>
      <c r="AG135" s="45"/>
      <c r="AH135" s="45"/>
      <c r="AI135" s="45"/>
      <c r="AJ135" s="45"/>
      <c r="AK135" s="45"/>
      <c r="AL135" s="45"/>
      <c r="AM135" s="45"/>
      <c r="AN135" s="45"/>
      <c r="AO135" s="45"/>
      <c r="AP135" s="45"/>
      <c r="AQ135" s="45"/>
      <c r="AR135" s="45"/>
      <c r="AS135" s="45"/>
      <c r="AT135" s="45"/>
      <c r="AU135" s="45"/>
      <c r="AV135" s="45"/>
      <c r="AW135" s="45"/>
      <c r="AX135" s="45"/>
      <c r="AY135" s="45"/>
      <c r="AZ135" s="45"/>
      <c r="BA135" s="45"/>
      <c r="BB135" s="45"/>
      <c r="BC135" s="45"/>
      <c r="BD135" s="45"/>
      <c r="BE135" s="45"/>
      <c r="BF135" s="45"/>
      <c r="BG135" s="45"/>
      <c r="BH135" s="45"/>
      <c r="BI135" s="45"/>
      <c r="BJ135" s="45"/>
      <c r="BK135" s="45"/>
      <c r="BL135" s="45"/>
      <c r="BM135" s="45"/>
      <c r="BN135" s="45"/>
      <c r="BO135" s="45"/>
      <c r="BP135" s="45"/>
      <c r="BQ135" s="45"/>
      <c r="BR135" s="45"/>
      <c r="BS135" s="45"/>
      <c r="BT135" s="45"/>
      <c r="BU135" s="45"/>
      <c r="BV135" s="45"/>
      <c r="BW135" s="45"/>
      <c r="BX135" s="45"/>
      <c r="BY135" s="45"/>
      <c r="BZ135" s="46"/>
    </row>
    <row r="136" spans="1:78" x14ac:dyDescent="0.25">
      <c r="A136" s="196"/>
      <c r="B136" s="192"/>
      <c r="C136" s="193"/>
      <c r="D136" s="193"/>
      <c r="E136" s="194"/>
      <c r="F136" s="58"/>
      <c r="G136" s="59"/>
      <c r="H136" s="59"/>
      <c r="I136" s="59"/>
      <c r="J136" s="59"/>
      <c r="K136" s="59"/>
      <c r="L136" s="59"/>
      <c r="M136" s="59"/>
      <c r="N136" s="59"/>
      <c r="O136" s="59"/>
      <c r="P136" s="59"/>
      <c r="Q136" s="59"/>
      <c r="R136" s="59"/>
      <c r="S136" s="59"/>
      <c r="T136" s="59"/>
      <c r="U136" s="59"/>
      <c r="V136" s="59"/>
      <c r="W136" s="59"/>
      <c r="X136" s="59"/>
      <c r="Y136" s="59"/>
      <c r="Z136" s="59"/>
      <c r="AA136" s="59"/>
      <c r="AB136" s="59"/>
      <c r="AC136" s="59"/>
      <c r="AD136" s="59"/>
      <c r="AE136" s="59"/>
      <c r="AF136" s="59"/>
      <c r="AG136" s="59"/>
      <c r="AH136" s="59"/>
      <c r="AI136" s="59"/>
      <c r="AJ136" s="59"/>
      <c r="AK136" s="59"/>
      <c r="AL136" s="59"/>
      <c r="AM136" s="59"/>
      <c r="AN136" s="59"/>
      <c r="AO136" s="59"/>
      <c r="AP136" s="59"/>
      <c r="AQ136" s="59"/>
      <c r="AR136" s="59"/>
      <c r="AS136" s="59"/>
      <c r="AT136" s="59"/>
      <c r="AU136" s="59"/>
      <c r="AV136" s="59"/>
      <c r="AW136" s="59"/>
      <c r="AX136" s="59"/>
      <c r="AY136" s="59"/>
      <c r="AZ136" s="59"/>
      <c r="BA136" s="59"/>
      <c r="BB136" s="59"/>
      <c r="BC136" s="59"/>
      <c r="BD136" s="59"/>
      <c r="BE136" s="59"/>
      <c r="BF136" s="59"/>
      <c r="BG136" s="59"/>
      <c r="BH136" s="59"/>
      <c r="BI136" s="59"/>
      <c r="BJ136" s="59"/>
      <c r="BK136" s="59"/>
      <c r="BL136" s="59"/>
      <c r="BM136" s="59"/>
      <c r="BN136" s="59"/>
      <c r="BO136" s="59"/>
      <c r="BP136" s="59"/>
      <c r="BQ136" s="59"/>
      <c r="BR136" s="59"/>
      <c r="BS136" s="59"/>
      <c r="BT136" s="59"/>
      <c r="BU136" s="59"/>
      <c r="BV136" s="59"/>
      <c r="BW136" s="59"/>
      <c r="BX136" s="59"/>
      <c r="BY136" s="59"/>
      <c r="BZ136" s="60"/>
    </row>
    <row r="137" spans="1:78" x14ac:dyDescent="0.25">
      <c r="A137" s="196"/>
      <c r="B137" s="192"/>
      <c r="C137" s="193"/>
      <c r="D137" s="193"/>
      <c r="E137" s="194"/>
      <c r="F137" s="58"/>
      <c r="G137" s="59"/>
      <c r="H137" s="59"/>
      <c r="I137" s="59"/>
      <c r="J137" s="59"/>
      <c r="K137" s="59"/>
      <c r="L137" s="59"/>
      <c r="M137" s="59"/>
      <c r="N137" s="59"/>
      <c r="O137" s="59"/>
      <c r="P137" s="59"/>
      <c r="Q137" s="59"/>
      <c r="R137" s="59"/>
      <c r="S137" s="59"/>
      <c r="T137" s="59"/>
      <c r="U137" s="59"/>
      <c r="V137" s="59"/>
      <c r="W137" s="59"/>
      <c r="X137" s="59"/>
      <c r="Y137" s="59"/>
      <c r="Z137" s="59"/>
      <c r="AA137" s="59"/>
      <c r="AB137" s="59"/>
      <c r="AC137" s="59"/>
      <c r="AD137" s="59"/>
      <c r="AE137" s="59"/>
      <c r="AF137" s="59"/>
      <c r="AG137" s="59"/>
      <c r="AH137" s="59"/>
      <c r="AI137" s="59"/>
      <c r="AJ137" s="59"/>
      <c r="AK137" s="59"/>
      <c r="AL137" s="59"/>
      <c r="AM137" s="59"/>
      <c r="AN137" s="59"/>
      <c r="AO137" s="59"/>
      <c r="AP137" s="59"/>
      <c r="AQ137" s="59"/>
      <c r="AR137" s="59"/>
      <c r="AS137" s="59"/>
      <c r="AT137" s="59"/>
      <c r="AU137" s="59"/>
      <c r="AV137" s="59"/>
      <c r="AW137" s="59"/>
      <c r="AX137" s="59"/>
      <c r="AY137" s="59"/>
      <c r="AZ137" s="59"/>
      <c r="BA137" s="59"/>
      <c r="BB137" s="59"/>
      <c r="BC137" s="59"/>
      <c r="BD137" s="59"/>
      <c r="BE137" s="59"/>
      <c r="BF137" s="59"/>
      <c r="BG137" s="59"/>
      <c r="BH137" s="59"/>
      <c r="BI137" s="59"/>
      <c r="BJ137" s="59"/>
      <c r="BK137" s="59"/>
      <c r="BL137" s="59"/>
      <c r="BM137" s="59"/>
      <c r="BN137" s="59"/>
      <c r="BO137" s="59"/>
      <c r="BP137" s="59"/>
      <c r="BQ137" s="59"/>
      <c r="BR137" s="59"/>
      <c r="BS137" s="59"/>
      <c r="BT137" s="59"/>
      <c r="BU137" s="59"/>
      <c r="BV137" s="59"/>
      <c r="BW137" s="59"/>
      <c r="BX137" s="59"/>
      <c r="BY137" s="59"/>
      <c r="BZ137" s="60"/>
    </row>
    <row r="138" spans="1:78" x14ac:dyDescent="0.25">
      <c r="A138" s="196"/>
      <c r="B138" s="192"/>
      <c r="C138" s="193"/>
      <c r="D138" s="193"/>
      <c r="E138" s="194"/>
      <c r="F138" s="58"/>
      <c r="G138" s="59"/>
      <c r="H138" s="59"/>
      <c r="I138" s="59"/>
      <c r="J138" s="59"/>
      <c r="K138" s="59"/>
      <c r="L138" s="59"/>
      <c r="M138" s="59"/>
      <c r="N138" s="59"/>
      <c r="O138" s="59"/>
      <c r="P138" s="59"/>
      <c r="Q138" s="59"/>
      <c r="R138" s="59"/>
      <c r="S138" s="59"/>
      <c r="T138" s="59"/>
      <c r="U138" s="59"/>
      <c r="V138" s="59"/>
      <c r="W138" s="59"/>
      <c r="X138" s="59"/>
      <c r="Y138" s="59"/>
      <c r="Z138" s="59"/>
      <c r="AA138" s="59"/>
      <c r="AB138" s="59"/>
      <c r="AC138" s="59"/>
      <c r="AD138" s="59"/>
      <c r="AE138" s="59"/>
      <c r="AF138" s="59"/>
      <c r="AG138" s="59"/>
      <c r="AH138" s="59"/>
      <c r="AI138" s="59"/>
      <c r="AJ138" s="59"/>
      <c r="AK138" s="59"/>
      <c r="AL138" s="59"/>
      <c r="AM138" s="59"/>
      <c r="AN138" s="59"/>
      <c r="AO138" s="59"/>
      <c r="AP138" s="59"/>
      <c r="AQ138" s="59"/>
      <c r="AR138" s="59"/>
      <c r="AS138" s="59"/>
      <c r="AT138" s="59"/>
      <c r="AU138" s="59"/>
      <c r="AV138" s="59"/>
      <c r="AW138" s="59"/>
      <c r="AX138" s="59"/>
      <c r="AY138" s="59"/>
      <c r="AZ138" s="59"/>
      <c r="BA138" s="59"/>
      <c r="BB138" s="59"/>
      <c r="BC138" s="59"/>
      <c r="BD138" s="59"/>
      <c r="BE138" s="59"/>
      <c r="BF138" s="59"/>
      <c r="BG138" s="59"/>
      <c r="BH138" s="59"/>
      <c r="BI138" s="59"/>
      <c r="BJ138" s="59"/>
      <c r="BK138" s="59"/>
      <c r="BL138" s="59"/>
      <c r="BM138" s="59"/>
      <c r="BN138" s="59"/>
      <c r="BO138" s="59"/>
      <c r="BP138" s="59"/>
      <c r="BQ138" s="59"/>
      <c r="BR138" s="59"/>
      <c r="BS138" s="59"/>
      <c r="BT138" s="59"/>
      <c r="BU138" s="59"/>
      <c r="BV138" s="59"/>
      <c r="BW138" s="59"/>
      <c r="BX138" s="59"/>
      <c r="BY138" s="59"/>
      <c r="BZ138" s="60"/>
    </row>
    <row r="139" spans="1:78" x14ac:dyDescent="0.25">
      <c r="A139" s="196"/>
      <c r="B139" s="192"/>
      <c r="C139" s="193"/>
      <c r="D139" s="193"/>
      <c r="E139" s="194"/>
      <c r="F139" s="58"/>
      <c r="G139" s="59"/>
      <c r="H139" s="59"/>
      <c r="I139" s="59"/>
      <c r="J139" s="59"/>
      <c r="K139" s="59"/>
      <c r="L139" s="59"/>
      <c r="M139" s="59"/>
      <c r="N139" s="59"/>
      <c r="O139" s="59"/>
      <c r="P139" s="59"/>
      <c r="Q139" s="59"/>
      <c r="R139" s="59"/>
      <c r="S139" s="59"/>
      <c r="T139" s="59"/>
      <c r="U139" s="59"/>
      <c r="V139" s="59"/>
      <c r="W139" s="59"/>
      <c r="X139" s="59"/>
      <c r="Y139" s="59"/>
      <c r="Z139" s="59"/>
      <c r="AA139" s="59"/>
      <c r="AB139" s="59"/>
      <c r="AC139" s="59"/>
      <c r="AD139" s="59"/>
      <c r="AE139" s="59"/>
      <c r="AF139" s="59"/>
      <c r="AG139" s="59"/>
      <c r="AH139" s="59"/>
      <c r="AI139" s="59"/>
      <c r="AJ139" s="59"/>
      <c r="AK139" s="59"/>
      <c r="AL139" s="59"/>
      <c r="AM139" s="59"/>
      <c r="AN139" s="59"/>
      <c r="AO139" s="59"/>
      <c r="AP139" s="59"/>
      <c r="AQ139" s="59"/>
      <c r="AR139" s="59"/>
      <c r="AS139" s="59"/>
      <c r="AT139" s="59"/>
      <c r="AU139" s="59"/>
      <c r="AV139" s="59"/>
      <c r="AW139" s="59"/>
      <c r="AX139" s="59"/>
      <c r="AY139" s="59"/>
      <c r="AZ139" s="59"/>
      <c r="BA139" s="59"/>
      <c r="BB139" s="59"/>
      <c r="BC139" s="59"/>
      <c r="BD139" s="59"/>
      <c r="BE139" s="59"/>
      <c r="BF139" s="59"/>
      <c r="BG139" s="59"/>
      <c r="BH139" s="59"/>
      <c r="BI139" s="59"/>
      <c r="BJ139" s="59"/>
      <c r="BK139" s="59"/>
      <c r="BL139" s="59"/>
      <c r="BM139" s="59"/>
      <c r="BN139" s="59"/>
      <c r="BO139" s="59"/>
      <c r="BP139" s="59"/>
      <c r="BQ139" s="59"/>
      <c r="BR139" s="59"/>
      <c r="BS139" s="59"/>
      <c r="BT139" s="59"/>
      <c r="BU139" s="59"/>
      <c r="BV139" s="59"/>
      <c r="BW139" s="59"/>
      <c r="BX139" s="59"/>
      <c r="BY139" s="59"/>
      <c r="BZ139" s="60"/>
    </row>
    <row r="140" spans="1:78" x14ac:dyDescent="0.25">
      <c r="A140" s="196"/>
      <c r="B140" s="192"/>
      <c r="C140" s="193"/>
      <c r="D140" s="193"/>
      <c r="E140" s="194"/>
      <c r="F140" s="58"/>
      <c r="G140" s="59"/>
      <c r="H140" s="59"/>
      <c r="I140" s="59"/>
      <c r="J140" s="59"/>
      <c r="K140" s="59"/>
      <c r="L140" s="59"/>
      <c r="M140" s="59"/>
      <c r="N140" s="59"/>
      <c r="O140" s="59"/>
      <c r="P140" s="59"/>
      <c r="Q140" s="59"/>
      <c r="R140" s="59"/>
      <c r="S140" s="59"/>
      <c r="T140" s="59"/>
      <c r="U140" s="59"/>
      <c r="V140" s="59"/>
      <c r="W140" s="59"/>
      <c r="X140" s="59"/>
      <c r="Y140" s="59"/>
      <c r="Z140" s="59"/>
      <c r="AA140" s="59"/>
      <c r="AB140" s="59"/>
      <c r="AC140" s="59"/>
      <c r="AD140" s="59"/>
      <c r="AE140" s="59"/>
      <c r="AF140" s="59"/>
      <c r="AG140" s="59"/>
      <c r="AH140" s="59"/>
      <c r="AI140" s="59"/>
      <c r="AJ140" s="59"/>
      <c r="AK140" s="59"/>
      <c r="AL140" s="59"/>
      <c r="AM140" s="59"/>
      <c r="AN140" s="59"/>
      <c r="AO140" s="59"/>
      <c r="AP140" s="59"/>
      <c r="AQ140" s="59"/>
      <c r="AR140" s="59"/>
      <c r="AS140" s="59"/>
      <c r="AT140" s="59"/>
      <c r="AU140" s="59"/>
      <c r="AV140" s="59"/>
      <c r="AW140" s="59"/>
      <c r="AX140" s="59"/>
      <c r="AY140" s="59"/>
      <c r="AZ140" s="59"/>
      <c r="BA140" s="59"/>
      <c r="BB140" s="59"/>
      <c r="BC140" s="59"/>
      <c r="BD140" s="59"/>
      <c r="BE140" s="59"/>
      <c r="BF140" s="59"/>
      <c r="BG140" s="59"/>
      <c r="BH140" s="59"/>
      <c r="BI140" s="59"/>
      <c r="BJ140" s="59"/>
      <c r="BK140" s="59"/>
      <c r="BL140" s="59"/>
      <c r="BM140" s="59"/>
      <c r="BN140" s="59"/>
      <c r="BO140" s="59"/>
      <c r="BP140" s="59"/>
      <c r="BQ140" s="59"/>
      <c r="BR140" s="59"/>
      <c r="BS140" s="59"/>
      <c r="BT140" s="59"/>
      <c r="BU140" s="59"/>
      <c r="BV140" s="59"/>
      <c r="BW140" s="59"/>
      <c r="BX140" s="59"/>
      <c r="BY140" s="59"/>
      <c r="BZ140" s="60"/>
    </row>
    <row r="141" spans="1:78" x14ac:dyDescent="0.25">
      <c r="A141" s="196"/>
      <c r="B141" s="192"/>
      <c r="C141" s="193"/>
      <c r="D141" s="193"/>
      <c r="E141" s="194"/>
      <c r="F141" s="58"/>
      <c r="G141" s="59"/>
      <c r="H141" s="59"/>
      <c r="I141" s="59"/>
      <c r="J141" s="59"/>
      <c r="K141" s="59"/>
      <c r="L141" s="59"/>
      <c r="M141" s="59"/>
      <c r="N141" s="59"/>
      <c r="O141" s="59"/>
      <c r="P141" s="59"/>
      <c r="Q141" s="59"/>
      <c r="R141" s="59"/>
      <c r="S141" s="59"/>
      <c r="T141" s="59"/>
      <c r="U141" s="59"/>
      <c r="V141" s="59"/>
      <c r="W141" s="59"/>
      <c r="X141" s="59"/>
      <c r="Y141" s="59"/>
      <c r="Z141" s="59"/>
      <c r="AA141" s="59"/>
      <c r="AB141" s="59"/>
      <c r="AC141" s="59"/>
      <c r="AD141" s="59"/>
      <c r="AE141" s="59"/>
      <c r="AF141" s="59"/>
      <c r="AG141" s="59"/>
      <c r="AH141" s="59"/>
      <c r="AI141" s="59"/>
      <c r="AJ141" s="59"/>
      <c r="AK141" s="59"/>
      <c r="AL141" s="59"/>
      <c r="AM141" s="59"/>
      <c r="AN141" s="59"/>
      <c r="AO141" s="59"/>
      <c r="AP141" s="59"/>
      <c r="AQ141" s="59"/>
      <c r="AR141" s="59"/>
      <c r="AS141" s="59"/>
      <c r="AT141" s="59"/>
      <c r="AU141" s="59"/>
      <c r="AV141" s="59"/>
      <c r="AW141" s="59"/>
      <c r="AX141" s="59"/>
      <c r="AY141" s="59"/>
      <c r="AZ141" s="59"/>
      <c r="BA141" s="59"/>
      <c r="BB141" s="59"/>
      <c r="BC141" s="59"/>
      <c r="BD141" s="59"/>
      <c r="BE141" s="59"/>
      <c r="BF141" s="59"/>
      <c r="BG141" s="59"/>
      <c r="BH141" s="59"/>
      <c r="BI141" s="59"/>
      <c r="BJ141" s="59"/>
      <c r="BK141" s="59"/>
      <c r="BL141" s="59"/>
      <c r="BM141" s="59"/>
      <c r="BN141" s="59"/>
      <c r="BO141" s="59"/>
      <c r="BP141" s="59"/>
      <c r="BQ141" s="59"/>
      <c r="BR141" s="59"/>
      <c r="BS141" s="59"/>
      <c r="BT141" s="59"/>
      <c r="BU141" s="59"/>
      <c r="BV141" s="59"/>
      <c r="BW141" s="59"/>
      <c r="BX141" s="59"/>
      <c r="BY141" s="59"/>
      <c r="BZ141" s="60"/>
    </row>
    <row r="142" spans="1:78" x14ac:dyDescent="0.25">
      <c r="A142" s="196"/>
      <c r="B142" s="192"/>
      <c r="C142" s="193"/>
      <c r="D142" s="193"/>
      <c r="E142" s="194"/>
      <c r="F142" s="44"/>
      <c r="G142" s="45"/>
      <c r="H142" s="45"/>
      <c r="I142" s="45"/>
      <c r="J142" s="45"/>
      <c r="K142" s="45"/>
      <c r="L142" s="45"/>
      <c r="M142" s="45"/>
      <c r="N142" s="45"/>
      <c r="O142" s="45"/>
      <c r="P142" s="45"/>
      <c r="Q142" s="45"/>
      <c r="R142" s="45"/>
      <c r="S142" s="45"/>
      <c r="T142" s="45"/>
      <c r="U142" s="45"/>
      <c r="V142" s="45"/>
      <c r="W142" s="45"/>
      <c r="X142" s="45"/>
      <c r="Y142" s="45"/>
      <c r="Z142" s="45"/>
      <c r="AA142" s="45"/>
      <c r="AB142" s="45"/>
      <c r="AC142" s="45"/>
      <c r="AD142" s="45"/>
      <c r="AE142" s="45"/>
      <c r="AF142" s="45"/>
      <c r="AG142" s="45"/>
      <c r="AH142" s="45"/>
      <c r="AI142" s="45"/>
      <c r="AJ142" s="45"/>
      <c r="AK142" s="45"/>
      <c r="AL142" s="45"/>
      <c r="AM142" s="45"/>
      <c r="AN142" s="45"/>
      <c r="AO142" s="45"/>
      <c r="AP142" s="45"/>
      <c r="AQ142" s="45"/>
      <c r="AR142" s="45"/>
      <c r="AS142" s="45"/>
      <c r="AT142" s="45"/>
      <c r="AU142" s="45"/>
      <c r="AV142" s="45"/>
      <c r="AW142" s="45"/>
      <c r="AX142" s="45"/>
      <c r="AY142" s="45"/>
      <c r="AZ142" s="45"/>
      <c r="BA142" s="45"/>
      <c r="BB142" s="45"/>
      <c r="BC142" s="45"/>
      <c r="BD142" s="45"/>
      <c r="BE142" s="45"/>
      <c r="BF142" s="45"/>
      <c r="BG142" s="45"/>
      <c r="BH142" s="45"/>
      <c r="BI142" s="45"/>
      <c r="BJ142" s="45"/>
      <c r="BK142" s="45"/>
      <c r="BL142" s="45"/>
      <c r="BM142" s="45"/>
      <c r="BN142" s="45"/>
      <c r="BO142" s="45"/>
      <c r="BP142" s="45"/>
      <c r="BQ142" s="45"/>
      <c r="BR142" s="45"/>
      <c r="BS142" s="45"/>
      <c r="BT142" s="45"/>
      <c r="BU142" s="45"/>
      <c r="BV142" s="45"/>
      <c r="BW142" s="45"/>
      <c r="BX142" s="45"/>
      <c r="BY142" s="45"/>
      <c r="BZ142" s="46"/>
    </row>
    <row r="143" spans="1:78" x14ac:dyDescent="0.25">
      <c r="A143" s="196"/>
      <c r="B143" s="192"/>
      <c r="C143" s="193"/>
      <c r="D143" s="193"/>
      <c r="E143" s="194"/>
      <c r="F143" s="44"/>
      <c r="G143" s="45"/>
      <c r="H143" s="45"/>
      <c r="I143" s="45"/>
      <c r="J143" s="45"/>
      <c r="K143" s="45"/>
      <c r="L143" s="45"/>
      <c r="M143" s="45"/>
      <c r="N143" s="45"/>
      <c r="O143" s="45"/>
      <c r="P143" s="45"/>
      <c r="Q143" s="45"/>
      <c r="R143" s="45"/>
      <c r="S143" s="45"/>
      <c r="T143" s="45"/>
      <c r="U143" s="45"/>
      <c r="V143" s="45"/>
      <c r="W143" s="45"/>
      <c r="X143" s="45"/>
      <c r="Y143" s="45"/>
      <c r="Z143" s="45"/>
      <c r="AA143" s="45"/>
      <c r="AB143" s="45"/>
      <c r="AC143" s="45"/>
      <c r="AD143" s="45"/>
      <c r="AE143" s="45"/>
      <c r="AF143" s="45"/>
      <c r="AG143" s="45"/>
      <c r="AH143" s="45"/>
      <c r="AI143" s="45"/>
      <c r="AJ143" s="45"/>
      <c r="AK143" s="45"/>
      <c r="AL143" s="45"/>
      <c r="AM143" s="45"/>
      <c r="AN143" s="45"/>
      <c r="AO143" s="45"/>
      <c r="AP143" s="45"/>
      <c r="AQ143" s="45"/>
      <c r="AR143" s="45"/>
      <c r="AS143" s="45"/>
      <c r="AT143" s="45"/>
      <c r="AU143" s="45"/>
      <c r="AV143" s="45"/>
      <c r="AW143" s="45"/>
      <c r="AX143" s="45"/>
      <c r="AY143" s="45"/>
      <c r="AZ143" s="45"/>
      <c r="BA143" s="45"/>
      <c r="BB143" s="45"/>
      <c r="BC143" s="45"/>
      <c r="BD143" s="45"/>
      <c r="BE143" s="45"/>
      <c r="BF143" s="45"/>
      <c r="BG143" s="45"/>
      <c r="BH143" s="45"/>
      <c r="BI143" s="45"/>
      <c r="BJ143" s="45"/>
      <c r="BK143" s="45"/>
      <c r="BL143" s="45"/>
      <c r="BM143" s="45"/>
      <c r="BN143" s="45"/>
      <c r="BO143" s="45"/>
      <c r="BP143" s="45"/>
      <c r="BQ143" s="45"/>
      <c r="BR143" s="45"/>
      <c r="BS143" s="45"/>
      <c r="BT143" s="45"/>
      <c r="BU143" s="45"/>
      <c r="BV143" s="45"/>
      <c r="BW143" s="45"/>
      <c r="BX143" s="45"/>
      <c r="BY143" s="45"/>
      <c r="BZ143" s="46"/>
    </row>
    <row r="144" spans="1:78" x14ac:dyDescent="0.25">
      <c r="A144" s="196"/>
      <c r="B144" s="192"/>
      <c r="C144" s="193"/>
      <c r="D144" s="193"/>
      <c r="E144" s="194"/>
      <c r="F144" s="58"/>
      <c r="G144" s="59"/>
      <c r="H144" s="59"/>
      <c r="I144" s="59"/>
      <c r="J144" s="59"/>
      <c r="K144" s="59"/>
      <c r="L144" s="59"/>
      <c r="M144" s="59"/>
      <c r="N144" s="59"/>
      <c r="O144" s="59"/>
      <c r="P144" s="59"/>
      <c r="Q144" s="59"/>
      <c r="R144" s="59"/>
      <c r="S144" s="59"/>
      <c r="T144" s="59"/>
      <c r="U144" s="59"/>
      <c r="V144" s="59"/>
      <c r="W144" s="59"/>
      <c r="X144" s="59"/>
      <c r="Y144" s="59"/>
      <c r="Z144" s="59"/>
      <c r="AA144" s="59"/>
      <c r="AB144" s="59"/>
      <c r="AC144" s="59"/>
      <c r="AD144" s="59"/>
      <c r="AE144" s="59"/>
      <c r="AF144" s="59"/>
      <c r="AG144" s="59"/>
      <c r="AH144" s="59"/>
      <c r="AI144" s="59"/>
      <c r="AJ144" s="59"/>
      <c r="AK144" s="59"/>
      <c r="AL144" s="59"/>
      <c r="AM144" s="59"/>
      <c r="AN144" s="59"/>
      <c r="AO144" s="59"/>
      <c r="AP144" s="59"/>
      <c r="AQ144" s="59"/>
      <c r="AR144" s="59"/>
      <c r="AS144" s="59"/>
      <c r="AT144" s="59"/>
      <c r="AU144" s="59"/>
      <c r="AV144" s="59"/>
      <c r="AW144" s="59"/>
      <c r="AX144" s="59"/>
      <c r="AY144" s="59"/>
      <c r="AZ144" s="59"/>
      <c r="BA144" s="59"/>
      <c r="BB144" s="59"/>
      <c r="BC144" s="59"/>
      <c r="BD144" s="59"/>
      <c r="BE144" s="59"/>
      <c r="BF144" s="59"/>
      <c r="BG144" s="59"/>
      <c r="BH144" s="59"/>
      <c r="BI144" s="59"/>
      <c r="BJ144" s="59"/>
      <c r="BK144" s="59"/>
      <c r="BL144" s="59"/>
      <c r="BM144" s="59"/>
      <c r="BN144" s="59"/>
      <c r="BO144" s="59"/>
      <c r="BP144" s="59"/>
      <c r="BQ144" s="59"/>
      <c r="BR144" s="59"/>
      <c r="BS144" s="59"/>
      <c r="BT144" s="59"/>
      <c r="BU144" s="59"/>
      <c r="BV144" s="59"/>
      <c r="BW144" s="59"/>
      <c r="BX144" s="59"/>
      <c r="BY144" s="59"/>
      <c r="BZ144" s="60"/>
    </row>
    <row r="145" spans="1:78" x14ac:dyDescent="0.25">
      <c r="A145" s="196"/>
      <c r="B145" s="192"/>
      <c r="C145" s="193"/>
      <c r="D145" s="193"/>
      <c r="E145" s="194"/>
      <c r="F145" s="58"/>
      <c r="G145" s="59"/>
      <c r="H145" s="59"/>
      <c r="I145" s="59"/>
      <c r="J145" s="59"/>
      <c r="K145" s="59"/>
      <c r="L145" s="59"/>
      <c r="M145" s="59"/>
      <c r="N145" s="59"/>
      <c r="O145" s="59"/>
      <c r="P145" s="59"/>
      <c r="Q145" s="59"/>
      <c r="R145" s="59"/>
      <c r="S145" s="59"/>
      <c r="T145" s="59"/>
      <c r="U145" s="59"/>
      <c r="V145" s="59"/>
      <c r="W145" s="59"/>
      <c r="X145" s="59"/>
      <c r="Y145" s="59"/>
      <c r="Z145" s="59"/>
      <c r="AA145" s="59"/>
      <c r="AB145" s="59"/>
      <c r="AC145" s="59"/>
      <c r="AD145" s="59"/>
      <c r="AE145" s="59"/>
      <c r="AF145" s="59"/>
      <c r="AG145" s="59"/>
      <c r="AH145" s="59"/>
      <c r="AI145" s="59"/>
      <c r="AJ145" s="59"/>
      <c r="AK145" s="59"/>
      <c r="AL145" s="59"/>
      <c r="AM145" s="59"/>
      <c r="AN145" s="59"/>
      <c r="AO145" s="59"/>
      <c r="AP145" s="59"/>
      <c r="AQ145" s="59"/>
      <c r="AR145" s="59"/>
      <c r="AS145" s="59"/>
      <c r="AT145" s="59"/>
      <c r="AU145" s="59"/>
      <c r="AV145" s="59"/>
      <c r="AW145" s="59"/>
      <c r="AX145" s="59"/>
      <c r="AY145" s="59"/>
      <c r="AZ145" s="59"/>
      <c r="BA145" s="59"/>
      <c r="BB145" s="59"/>
      <c r="BC145" s="59"/>
      <c r="BD145" s="59"/>
      <c r="BE145" s="59"/>
      <c r="BF145" s="59"/>
      <c r="BG145" s="59"/>
      <c r="BH145" s="59"/>
      <c r="BI145" s="59"/>
      <c r="BJ145" s="59"/>
      <c r="BK145" s="59"/>
      <c r="BL145" s="59"/>
      <c r="BM145" s="59"/>
      <c r="BN145" s="59"/>
      <c r="BO145" s="59"/>
      <c r="BP145" s="59"/>
      <c r="BQ145" s="59"/>
      <c r="BR145" s="59"/>
      <c r="BS145" s="59"/>
      <c r="BT145" s="59"/>
      <c r="BU145" s="59"/>
      <c r="BV145" s="59"/>
      <c r="BW145" s="59"/>
      <c r="BX145" s="59"/>
      <c r="BY145" s="59"/>
      <c r="BZ145" s="60"/>
    </row>
    <row r="146" spans="1:78" x14ac:dyDescent="0.25">
      <c r="A146" s="196"/>
      <c r="B146" s="192"/>
      <c r="C146" s="193"/>
      <c r="D146" s="193"/>
      <c r="E146" s="194"/>
      <c r="F146" s="58"/>
      <c r="G146" s="59"/>
      <c r="H146" s="59"/>
      <c r="I146" s="59"/>
      <c r="J146" s="59"/>
      <c r="K146" s="59"/>
      <c r="L146" s="59"/>
      <c r="M146" s="59"/>
      <c r="N146" s="59"/>
      <c r="O146" s="59"/>
      <c r="P146" s="59"/>
      <c r="Q146" s="59"/>
      <c r="R146" s="59"/>
      <c r="S146" s="59"/>
      <c r="T146" s="59"/>
      <c r="U146" s="59"/>
      <c r="V146" s="59"/>
      <c r="W146" s="59"/>
      <c r="X146" s="59"/>
      <c r="Y146" s="59"/>
      <c r="Z146" s="59"/>
      <c r="AA146" s="59"/>
      <c r="AB146" s="59"/>
      <c r="AC146" s="59"/>
      <c r="AD146" s="59"/>
      <c r="AE146" s="59"/>
      <c r="AF146" s="59"/>
      <c r="AG146" s="59"/>
      <c r="AH146" s="59"/>
      <c r="AI146" s="59"/>
      <c r="AJ146" s="59"/>
      <c r="AK146" s="59"/>
      <c r="AL146" s="59"/>
      <c r="AM146" s="59"/>
      <c r="AN146" s="59"/>
      <c r="AO146" s="59"/>
      <c r="AP146" s="59"/>
      <c r="AQ146" s="59"/>
      <c r="AR146" s="59"/>
      <c r="AS146" s="59"/>
      <c r="AT146" s="59"/>
      <c r="AU146" s="59"/>
      <c r="AV146" s="59"/>
      <c r="AW146" s="59"/>
      <c r="AX146" s="59"/>
      <c r="AY146" s="59"/>
      <c r="AZ146" s="59"/>
      <c r="BA146" s="59"/>
      <c r="BB146" s="59"/>
      <c r="BC146" s="59"/>
      <c r="BD146" s="59"/>
      <c r="BE146" s="59"/>
      <c r="BF146" s="59"/>
      <c r="BG146" s="59"/>
      <c r="BH146" s="59"/>
      <c r="BI146" s="59"/>
      <c r="BJ146" s="59"/>
      <c r="BK146" s="59"/>
      <c r="BL146" s="59"/>
      <c r="BM146" s="59"/>
      <c r="BN146" s="59"/>
      <c r="BO146" s="59"/>
      <c r="BP146" s="59"/>
      <c r="BQ146" s="59"/>
      <c r="BR146" s="59"/>
      <c r="BS146" s="59"/>
      <c r="BT146" s="59"/>
      <c r="BU146" s="59"/>
      <c r="BV146" s="59"/>
      <c r="BW146" s="59"/>
      <c r="BX146" s="59"/>
      <c r="BY146" s="59"/>
      <c r="BZ146" s="60"/>
    </row>
    <row r="147" spans="1:78" x14ac:dyDescent="0.25">
      <c r="A147" s="196"/>
      <c r="B147" s="192"/>
      <c r="C147" s="193"/>
      <c r="D147" s="193"/>
      <c r="E147" s="194"/>
      <c r="F147" s="58"/>
      <c r="G147" s="59"/>
      <c r="H147" s="59"/>
      <c r="I147" s="59"/>
      <c r="J147" s="59"/>
      <c r="K147" s="59"/>
      <c r="L147" s="59"/>
      <c r="M147" s="59"/>
      <c r="N147" s="59"/>
      <c r="O147" s="59"/>
      <c r="P147" s="59"/>
      <c r="Q147" s="59"/>
      <c r="R147" s="59"/>
      <c r="S147" s="59"/>
      <c r="T147" s="59"/>
      <c r="U147" s="59"/>
      <c r="V147" s="59"/>
      <c r="W147" s="59"/>
      <c r="X147" s="59"/>
      <c r="Y147" s="59"/>
      <c r="Z147" s="59"/>
      <c r="AA147" s="59"/>
      <c r="AB147" s="59"/>
      <c r="AC147" s="59"/>
      <c r="AD147" s="59"/>
      <c r="AE147" s="59"/>
      <c r="AF147" s="59"/>
      <c r="AG147" s="59"/>
      <c r="AH147" s="59"/>
      <c r="AI147" s="59"/>
      <c r="AJ147" s="59"/>
      <c r="AK147" s="59"/>
      <c r="AL147" s="59"/>
      <c r="AM147" s="59"/>
      <c r="AN147" s="59"/>
      <c r="AO147" s="59"/>
      <c r="AP147" s="59"/>
      <c r="AQ147" s="59"/>
      <c r="AR147" s="59"/>
      <c r="AS147" s="59"/>
      <c r="AT147" s="59"/>
      <c r="AU147" s="59"/>
      <c r="AV147" s="59"/>
      <c r="AW147" s="59"/>
      <c r="AX147" s="59"/>
      <c r="AY147" s="59"/>
      <c r="AZ147" s="59"/>
      <c r="BA147" s="59"/>
      <c r="BB147" s="59"/>
      <c r="BC147" s="59"/>
      <c r="BD147" s="59"/>
      <c r="BE147" s="59"/>
      <c r="BF147" s="59"/>
      <c r="BG147" s="59"/>
      <c r="BH147" s="59"/>
      <c r="BI147" s="59"/>
      <c r="BJ147" s="59"/>
      <c r="BK147" s="59"/>
      <c r="BL147" s="59"/>
      <c r="BM147" s="59"/>
      <c r="BN147" s="59"/>
      <c r="BO147" s="59"/>
      <c r="BP147" s="59"/>
      <c r="BQ147" s="59"/>
      <c r="BR147" s="59"/>
      <c r="BS147" s="59"/>
      <c r="BT147" s="59"/>
      <c r="BU147" s="59"/>
      <c r="BV147" s="59"/>
      <c r="BW147" s="59"/>
      <c r="BX147" s="59"/>
      <c r="BY147" s="59"/>
      <c r="BZ147" s="60"/>
    </row>
    <row r="148" spans="1:78" x14ac:dyDescent="0.25">
      <c r="A148" s="196"/>
      <c r="B148" s="192"/>
      <c r="C148" s="193"/>
      <c r="D148" s="193"/>
      <c r="E148" s="194"/>
      <c r="F148" s="58"/>
      <c r="G148" s="59"/>
      <c r="H148" s="59"/>
      <c r="I148" s="59"/>
      <c r="J148" s="59"/>
      <c r="K148" s="59"/>
      <c r="L148" s="59"/>
      <c r="M148" s="59"/>
      <c r="N148" s="59"/>
      <c r="O148" s="59"/>
      <c r="P148" s="59"/>
      <c r="Q148" s="59"/>
      <c r="R148" s="59"/>
      <c r="S148" s="59"/>
      <c r="T148" s="59"/>
      <c r="U148" s="59"/>
      <c r="V148" s="59"/>
      <c r="W148" s="59"/>
      <c r="X148" s="59"/>
      <c r="Y148" s="59"/>
      <c r="Z148" s="59"/>
      <c r="AA148" s="59"/>
      <c r="AB148" s="59"/>
      <c r="AC148" s="59"/>
      <c r="AD148" s="59"/>
      <c r="AE148" s="59"/>
      <c r="AF148" s="59"/>
      <c r="AG148" s="59"/>
      <c r="AH148" s="59"/>
      <c r="AI148" s="59"/>
      <c r="AJ148" s="59"/>
      <c r="AK148" s="59"/>
      <c r="AL148" s="59"/>
      <c r="AM148" s="59"/>
      <c r="AN148" s="59"/>
      <c r="AO148" s="59"/>
      <c r="AP148" s="59"/>
      <c r="AQ148" s="59"/>
      <c r="AR148" s="59"/>
      <c r="AS148" s="59"/>
      <c r="AT148" s="59"/>
      <c r="AU148" s="59"/>
      <c r="AV148" s="59"/>
      <c r="AW148" s="59"/>
      <c r="AX148" s="59"/>
      <c r="AY148" s="59"/>
      <c r="AZ148" s="59"/>
      <c r="BA148" s="59"/>
      <c r="BB148" s="59"/>
      <c r="BC148" s="59"/>
      <c r="BD148" s="59"/>
      <c r="BE148" s="59"/>
      <c r="BF148" s="59"/>
      <c r="BG148" s="59"/>
      <c r="BH148" s="59"/>
      <c r="BI148" s="59"/>
      <c r="BJ148" s="59"/>
      <c r="BK148" s="59"/>
      <c r="BL148" s="59"/>
      <c r="BM148" s="59"/>
      <c r="BN148" s="59"/>
      <c r="BO148" s="59"/>
      <c r="BP148" s="59"/>
      <c r="BQ148" s="59"/>
      <c r="BR148" s="59"/>
      <c r="BS148" s="59"/>
      <c r="BT148" s="59"/>
      <c r="BU148" s="59"/>
      <c r="BV148" s="59"/>
      <c r="BW148" s="59"/>
      <c r="BX148" s="59"/>
      <c r="BY148" s="59"/>
      <c r="BZ148" s="60"/>
    </row>
    <row r="149" spans="1:78" x14ac:dyDescent="0.25">
      <c r="A149" s="196"/>
      <c r="B149" s="192"/>
      <c r="C149" s="193"/>
      <c r="D149" s="193"/>
      <c r="E149" s="194"/>
      <c r="F149" s="58"/>
      <c r="G149" s="59"/>
      <c r="H149" s="59"/>
      <c r="I149" s="59"/>
      <c r="J149" s="59"/>
      <c r="K149" s="59"/>
      <c r="L149" s="59"/>
      <c r="M149" s="59"/>
      <c r="N149" s="59"/>
      <c r="O149" s="59"/>
      <c r="P149" s="59"/>
      <c r="Q149" s="59"/>
      <c r="R149" s="59"/>
      <c r="S149" s="59"/>
      <c r="T149" s="59"/>
      <c r="U149" s="59"/>
      <c r="V149" s="59"/>
      <c r="W149" s="59"/>
      <c r="X149" s="59"/>
      <c r="Y149" s="59"/>
      <c r="Z149" s="59"/>
      <c r="AA149" s="59"/>
      <c r="AB149" s="59"/>
      <c r="AC149" s="59"/>
      <c r="AD149" s="59"/>
      <c r="AE149" s="59"/>
      <c r="AF149" s="59"/>
      <c r="AG149" s="59"/>
      <c r="AH149" s="59"/>
      <c r="AI149" s="59"/>
      <c r="AJ149" s="59"/>
      <c r="AK149" s="59"/>
      <c r="AL149" s="59"/>
      <c r="AM149" s="59"/>
      <c r="AN149" s="59"/>
      <c r="AO149" s="59"/>
      <c r="AP149" s="59"/>
      <c r="AQ149" s="59"/>
      <c r="AR149" s="59"/>
      <c r="AS149" s="59"/>
      <c r="AT149" s="59"/>
      <c r="AU149" s="59"/>
      <c r="AV149" s="59"/>
      <c r="AW149" s="59"/>
      <c r="AX149" s="59"/>
      <c r="AY149" s="59"/>
      <c r="AZ149" s="59"/>
      <c r="BA149" s="59"/>
      <c r="BB149" s="59"/>
      <c r="BC149" s="59"/>
      <c r="BD149" s="59"/>
      <c r="BE149" s="59"/>
      <c r="BF149" s="59"/>
      <c r="BG149" s="59"/>
      <c r="BH149" s="59"/>
      <c r="BI149" s="59"/>
      <c r="BJ149" s="59"/>
      <c r="BK149" s="59"/>
      <c r="BL149" s="59"/>
      <c r="BM149" s="59"/>
      <c r="BN149" s="59"/>
      <c r="BO149" s="59"/>
      <c r="BP149" s="59"/>
      <c r="BQ149" s="59"/>
      <c r="BR149" s="59"/>
      <c r="BS149" s="59"/>
      <c r="BT149" s="59"/>
      <c r="BU149" s="59"/>
      <c r="BV149" s="59"/>
      <c r="BW149" s="59"/>
      <c r="BX149" s="59"/>
      <c r="BY149" s="59"/>
      <c r="BZ149" s="60"/>
    </row>
    <row r="150" spans="1:78" x14ac:dyDescent="0.25">
      <c r="A150" s="196"/>
      <c r="B150" s="192"/>
      <c r="C150" s="193"/>
      <c r="D150" s="193"/>
      <c r="E150" s="194"/>
      <c r="F150" s="58"/>
      <c r="G150" s="59"/>
      <c r="H150" s="59"/>
      <c r="I150" s="59"/>
      <c r="J150" s="59"/>
      <c r="K150" s="59"/>
      <c r="L150" s="59"/>
      <c r="M150" s="59"/>
      <c r="N150" s="59"/>
      <c r="O150" s="59"/>
      <c r="P150" s="59"/>
      <c r="Q150" s="59"/>
      <c r="R150" s="59"/>
      <c r="S150" s="59"/>
      <c r="T150" s="59"/>
      <c r="U150" s="59"/>
      <c r="V150" s="59"/>
      <c r="W150" s="59"/>
      <c r="X150" s="59"/>
      <c r="Y150" s="59"/>
      <c r="Z150" s="59"/>
      <c r="AA150" s="59"/>
      <c r="AB150" s="59"/>
      <c r="AC150" s="59"/>
      <c r="AD150" s="59"/>
      <c r="AE150" s="59"/>
      <c r="AF150" s="59"/>
      <c r="AG150" s="59"/>
      <c r="AH150" s="59"/>
      <c r="AI150" s="59"/>
      <c r="AJ150" s="59"/>
      <c r="AK150" s="59"/>
      <c r="AL150" s="59"/>
      <c r="AM150" s="59"/>
      <c r="AN150" s="59"/>
      <c r="AO150" s="59"/>
      <c r="AP150" s="59"/>
      <c r="AQ150" s="59"/>
      <c r="AR150" s="59"/>
      <c r="AS150" s="59"/>
      <c r="AT150" s="59"/>
      <c r="AU150" s="59"/>
      <c r="AV150" s="59"/>
      <c r="AW150" s="59"/>
      <c r="AX150" s="59"/>
      <c r="AY150" s="59"/>
      <c r="AZ150" s="59"/>
      <c r="BA150" s="59"/>
      <c r="BB150" s="59"/>
      <c r="BC150" s="59"/>
      <c r="BD150" s="59"/>
      <c r="BE150" s="59"/>
      <c r="BF150" s="59"/>
      <c r="BG150" s="59"/>
      <c r="BH150" s="59"/>
      <c r="BI150" s="59"/>
      <c r="BJ150" s="59"/>
      <c r="BK150" s="59"/>
      <c r="BL150" s="59"/>
      <c r="BM150" s="59"/>
      <c r="BN150" s="59"/>
      <c r="BO150" s="59"/>
      <c r="BP150" s="59"/>
      <c r="BQ150" s="59"/>
      <c r="BR150" s="59"/>
      <c r="BS150" s="59"/>
      <c r="BT150" s="59"/>
      <c r="BU150" s="59"/>
      <c r="BV150" s="59"/>
      <c r="BW150" s="59"/>
      <c r="BX150" s="59"/>
      <c r="BY150" s="59"/>
      <c r="BZ150" s="60"/>
    </row>
    <row r="151" spans="1:78" x14ac:dyDescent="0.25">
      <c r="A151" s="196"/>
      <c r="B151" s="192"/>
      <c r="C151" s="193"/>
      <c r="D151" s="193"/>
      <c r="E151" s="194"/>
      <c r="F151" s="58"/>
      <c r="G151" s="59"/>
      <c r="H151" s="59"/>
      <c r="I151" s="59"/>
      <c r="J151" s="59"/>
      <c r="K151" s="59"/>
      <c r="L151" s="59"/>
      <c r="M151" s="59"/>
      <c r="N151" s="59"/>
      <c r="O151" s="59"/>
      <c r="P151" s="59"/>
      <c r="Q151" s="59"/>
      <c r="R151" s="59"/>
      <c r="S151" s="59"/>
      <c r="T151" s="59"/>
      <c r="U151" s="59"/>
      <c r="V151" s="59"/>
      <c r="W151" s="59"/>
      <c r="X151" s="59"/>
      <c r="Y151" s="59"/>
      <c r="Z151" s="59"/>
      <c r="AA151" s="59"/>
      <c r="AB151" s="59"/>
      <c r="AC151" s="59"/>
      <c r="AD151" s="59"/>
      <c r="AE151" s="59"/>
      <c r="AF151" s="59"/>
      <c r="AG151" s="59"/>
      <c r="AH151" s="59"/>
      <c r="AI151" s="59"/>
      <c r="AJ151" s="59"/>
      <c r="AK151" s="59"/>
      <c r="AL151" s="59"/>
      <c r="AM151" s="59"/>
      <c r="AN151" s="59"/>
      <c r="AO151" s="59"/>
      <c r="AP151" s="59"/>
      <c r="AQ151" s="59"/>
      <c r="AR151" s="59"/>
      <c r="AS151" s="59"/>
      <c r="AT151" s="59"/>
      <c r="AU151" s="59"/>
      <c r="AV151" s="59"/>
      <c r="AW151" s="59"/>
      <c r="AX151" s="59"/>
      <c r="AY151" s="59"/>
      <c r="AZ151" s="59"/>
      <c r="BA151" s="59"/>
      <c r="BB151" s="59"/>
      <c r="BC151" s="59"/>
      <c r="BD151" s="59"/>
      <c r="BE151" s="59"/>
      <c r="BF151" s="59"/>
      <c r="BG151" s="59"/>
      <c r="BH151" s="59"/>
      <c r="BI151" s="59"/>
      <c r="BJ151" s="59"/>
      <c r="BK151" s="59"/>
      <c r="BL151" s="59"/>
      <c r="BM151" s="59"/>
      <c r="BN151" s="59"/>
      <c r="BO151" s="59"/>
      <c r="BP151" s="59"/>
      <c r="BQ151" s="59"/>
      <c r="BR151" s="59"/>
      <c r="BS151" s="59"/>
      <c r="BT151" s="59"/>
      <c r="BU151" s="59"/>
      <c r="BV151" s="59"/>
      <c r="BW151" s="59"/>
      <c r="BX151" s="59"/>
      <c r="BY151" s="59"/>
      <c r="BZ151" s="60"/>
    </row>
    <row r="152" spans="1:78" x14ac:dyDescent="0.25">
      <c r="A152" s="196"/>
      <c r="B152" s="192"/>
      <c r="C152" s="193"/>
      <c r="D152" s="193"/>
      <c r="E152" s="194"/>
      <c r="F152" s="58"/>
      <c r="G152" s="59"/>
      <c r="H152" s="59"/>
      <c r="I152" s="59"/>
      <c r="J152" s="59"/>
      <c r="K152" s="59"/>
      <c r="L152" s="59"/>
      <c r="M152" s="59"/>
      <c r="N152" s="59"/>
      <c r="O152" s="59"/>
      <c r="P152" s="59"/>
      <c r="Q152" s="59"/>
      <c r="R152" s="59"/>
      <c r="S152" s="59"/>
      <c r="T152" s="59"/>
      <c r="U152" s="59"/>
      <c r="V152" s="59"/>
      <c r="W152" s="59"/>
      <c r="X152" s="59"/>
      <c r="Y152" s="59"/>
      <c r="Z152" s="59"/>
      <c r="AA152" s="59"/>
      <c r="AB152" s="59"/>
      <c r="AC152" s="59"/>
      <c r="AD152" s="59"/>
      <c r="AE152" s="59"/>
      <c r="AF152" s="59"/>
      <c r="AG152" s="59"/>
      <c r="AH152" s="59"/>
      <c r="AI152" s="59"/>
      <c r="AJ152" s="59"/>
      <c r="AK152" s="59"/>
      <c r="AL152" s="59"/>
      <c r="AM152" s="59"/>
      <c r="AN152" s="59"/>
      <c r="AO152" s="59"/>
      <c r="AP152" s="59"/>
      <c r="AQ152" s="59"/>
      <c r="AR152" s="59"/>
      <c r="AS152" s="59"/>
      <c r="AT152" s="59"/>
      <c r="AU152" s="59"/>
      <c r="AV152" s="59"/>
      <c r="AW152" s="59"/>
      <c r="AX152" s="59"/>
      <c r="AY152" s="59"/>
      <c r="AZ152" s="59"/>
      <c r="BA152" s="59"/>
      <c r="BB152" s="59"/>
      <c r="BC152" s="59"/>
      <c r="BD152" s="59"/>
      <c r="BE152" s="59"/>
      <c r="BF152" s="59"/>
      <c r="BG152" s="59"/>
      <c r="BH152" s="59"/>
      <c r="BI152" s="59"/>
      <c r="BJ152" s="59"/>
      <c r="BK152" s="59"/>
      <c r="BL152" s="59"/>
      <c r="BM152" s="59"/>
      <c r="BN152" s="59"/>
      <c r="BO152" s="59"/>
      <c r="BP152" s="59"/>
      <c r="BQ152" s="59"/>
      <c r="BR152" s="59"/>
      <c r="BS152" s="59"/>
      <c r="BT152" s="59"/>
      <c r="BU152" s="59"/>
      <c r="BV152" s="59"/>
      <c r="BW152" s="59"/>
      <c r="BX152" s="59"/>
      <c r="BY152" s="59"/>
      <c r="BZ152" s="60"/>
    </row>
    <row r="153" spans="1:78" x14ac:dyDescent="0.25">
      <c r="A153" s="196"/>
      <c r="B153" s="192"/>
      <c r="C153" s="193"/>
      <c r="D153" s="193"/>
      <c r="E153" s="194"/>
      <c r="F153" s="58"/>
      <c r="G153" s="59"/>
      <c r="H153" s="59"/>
      <c r="I153" s="59"/>
      <c r="J153" s="59"/>
      <c r="K153" s="59"/>
      <c r="L153" s="59"/>
      <c r="M153" s="59"/>
      <c r="N153" s="59"/>
      <c r="O153" s="59"/>
      <c r="P153" s="59"/>
      <c r="Q153" s="59"/>
      <c r="R153" s="59"/>
      <c r="S153" s="59"/>
      <c r="T153" s="59"/>
      <c r="U153" s="59"/>
      <c r="V153" s="59"/>
      <c r="W153" s="59"/>
      <c r="X153" s="59"/>
      <c r="Y153" s="59"/>
      <c r="Z153" s="59"/>
      <c r="AA153" s="59"/>
      <c r="AB153" s="59"/>
      <c r="AC153" s="59"/>
      <c r="AD153" s="59"/>
      <c r="AE153" s="59"/>
      <c r="AF153" s="59"/>
      <c r="AG153" s="59"/>
      <c r="AH153" s="59"/>
      <c r="AI153" s="59"/>
      <c r="AJ153" s="59"/>
      <c r="AK153" s="59"/>
      <c r="AL153" s="59"/>
      <c r="AM153" s="59"/>
      <c r="AN153" s="59"/>
      <c r="AO153" s="59"/>
      <c r="AP153" s="59"/>
      <c r="AQ153" s="59"/>
      <c r="AR153" s="59"/>
      <c r="AS153" s="59"/>
      <c r="AT153" s="59"/>
      <c r="AU153" s="59"/>
      <c r="AV153" s="59"/>
      <c r="AW153" s="59"/>
      <c r="AX153" s="59"/>
      <c r="AY153" s="59"/>
      <c r="AZ153" s="59"/>
      <c r="BA153" s="59"/>
      <c r="BB153" s="59"/>
      <c r="BC153" s="59"/>
      <c r="BD153" s="59"/>
      <c r="BE153" s="59"/>
      <c r="BF153" s="59"/>
      <c r="BG153" s="59"/>
      <c r="BH153" s="59"/>
      <c r="BI153" s="59"/>
      <c r="BJ153" s="59"/>
      <c r="BK153" s="59"/>
      <c r="BL153" s="59"/>
      <c r="BM153" s="59"/>
      <c r="BN153" s="59"/>
      <c r="BO153" s="59"/>
      <c r="BP153" s="59"/>
      <c r="BQ153" s="59"/>
      <c r="BR153" s="59"/>
      <c r="BS153" s="59"/>
      <c r="BT153" s="59"/>
      <c r="BU153" s="59"/>
      <c r="BV153" s="59"/>
      <c r="BW153" s="59"/>
      <c r="BX153" s="59"/>
      <c r="BY153" s="59"/>
      <c r="BZ153" s="60"/>
    </row>
    <row r="154" spans="1:78" x14ac:dyDescent="0.25">
      <c r="A154" s="196"/>
      <c r="B154" s="192"/>
      <c r="C154" s="193"/>
      <c r="D154" s="193"/>
      <c r="E154" s="194"/>
      <c r="F154" s="58"/>
      <c r="G154" s="59"/>
      <c r="H154" s="59"/>
      <c r="I154" s="59"/>
      <c r="J154" s="59"/>
      <c r="K154" s="59"/>
      <c r="L154" s="59"/>
      <c r="M154" s="59"/>
      <c r="N154" s="59"/>
      <c r="O154" s="59"/>
      <c r="P154" s="59"/>
      <c r="Q154" s="59"/>
      <c r="R154" s="59"/>
      <c r="S154" s="59"/>
      <c r="T154" s="59"/>
      <c r="U154" s="59"/>
      <c r="V154" s="59"/>
      <c r="W154" s="59"/>
      <c r="X154" s="59"/>
      <c r="Y154" s="59"/>
      <c r="Z154" s="59"/>
      <c r="AA154" s="59"/>
      <c r="AB154" s="59"/>
      <c r="AC154" s="59"/>
      <c r="AD154" s="59"/>
      <c r="AE154" s="59"/>
      <c r="AF154" s="59"/>
      <c r="AG154" s="59"/>
      <c r="AH154" s="59"/>
      <c r="AI154" s="59"/>
      <c r="AJ154" s="59"/>
      <c r="AK154" s="59"/>
      <c r="AL154" s="59"/>
      <c r="AM154" s="59"/>
      <c r="AN154" s="59"/>
      <c r="AO154" s="59"/>
      <c r="AP154" s="59"/>
      <c r="AQ154" s="59"/>
      <c r="AR154" s="59"/>
      <c r="AS154" s="59"/>
      <c r="AT154" s="59"/>
      <c r="AU154" s="59"/>
      <c r="AV154" s="59"/>
      <c r="AW154" s="59"/>
      <c r="AX154" s="59"/>
      <c r="AY154" s="59"/>
      <c r="AZ154" s="59"/>
      <c r="BA154" s="59"/>
      <c r="BB154" s="59"/>
      <c r="BC154" s="59"/>
      <c r="BD154" s="59"/>
      <c r="BE154" s="59"/>
      <c r="BF154" s="59"/>
      <c r="BG154" s="59"/>
      <c r="BH154" s="59"/>
      <c r="BI154" s="59"/>
      <c r="BJ154" s="59"/>
      <c r="BK154" s="59"/>
      <c r="BL154" s="59"/>
      <c r="BM154" s="59"/>
      <c r="BN154" s="59"/>
      <c r="BO154" s="59"/>
      <c r="BP154" s="59"/>
      <c r="BQ154" s="59"/>
      <c r="BR154" s="59"/>
      <c r="BS154" s="59"/>
      <c r="BT154" s="59"/>
      <c r="BU154" s="59"/>
      <c r="BV154" s="59"/>
      <c r="BW154" s="59"/>
      <c r="BX154" s="59"/>
      <c r="BY154" s="59"/>
      <c r="BZ154" s="60"/>
    </row>
    <row r="155" spans="1:78" x14ac:dyDescent="0.25">
      <c r="A155" s="196"/>
      <c r="B155" s="192"/>
      <c r="C155" s="193"/>
      <c r="D155" s="193"/>
      <c r="E155" s="194"/>
      <c r="F155" s="58"/>
      <c r="G155" s="59"/>
      <c r="H155" s="59"/>
      <c r="I155" s="59"/>
      <c r="J155" s="59"/>
      <c r="K155" s="59"/>
      <c r="L155" s="59"/>
      <c r="M155" s="59"/>
      <c r="N155" s="59"/>
      <c r="O155" s="59"/>
      <c r="P155" s="59"/>
      <c r="Q155" s="59"/>
      <c r="R155" s="59"/>
      <c r="S155" s="59"/>
      <c r="T155" s="59"/>
      <c r="U155" s="59"/>
      <c r="V155" s="59"/>
      <c r="W155" s="59"/>
      <c r="X155" s="59"/>
      <c r="Y155" s="59"/>
      <c r="Z155" s="59"/>
      <c r="AA155" s="59"/>
      <c r="AB155" s="59"/>
      <c r="AC155" s="59"/>
      <c r="AD155" s="59"/>
      <c r="AE155" s="59"/>
      <c r="AF155" s="59"/>
      <c r="AG155" s="59"/>
      <c r="AH155" s="59"/>
      <c r="AI155" s="59"/>
      <c r="AJ155" s="59"/>
      <c r="AK155" s="59"/>
      <c r="AL155" s="59"/>
      <c r="AM155" s="59"/>
      <c r="AN155" s="59"/>
      <c r="AO155" s="59"/>
      <c r="AP155" s="59"/>
      <c r="AQ155" s="59"/>
      <c r="AR155" s="59"/>
      <c r="AS155" s="59"/>
      <c r="AT155" s="59"/>
      <c r="AU155" s="59"/>
      <c r="AV155" s="59"/>
      <c r="AW155" s="59"/>
      <c r="AX155" s="59"/>
      <c r="AY155" s="59"/>
      <c r="AZ155" s="59"/>
      <c r="BA155" s="59"/>
      <c r="BB155" s="59"/>
      <c r="BC155" s="59"/>
      <c r="BD155" s="59"/>
      <c r="BE155" s="59"/>
      <c r="BF155" s="59"/>
      <c r="BG155" s="59"/>
      <c r="BH155" s="59"/>
      <c r="BI155" s="59"/>
      <c r="BJ155" s="59"/>
      <c r="BK155" s="59"/>
      <c r="BL155" s="59"/>
      <c r="BM155" s="59"/>
      <c r="BN155" s="59"/>
      <c r="BO155" s="59"/>
      <c r="BP155" s="59"/>
      <c r="BQ155" s="59"/>
      <c r="BR155" s="59"/>
      <c r="BS155" s="59"/>
      <c r="BT155" s="59"/>
      <c r="BU155" s="59"/>
      <c r="BV155" s="59"/>
      <c r="BW155" s="59"/>
      <c r="BX155" s="59"/>
      <c r="BY155" s="59"/>
      <c r="BZ155" s="60"/>
    </row>
    <row r="156" spans="1:78" x14ac:dyDescent="0.25">
      <c r="A156" s="196"/>
      <c r="B156" s="192"/>
      <c r="C156" s="193"/>
      <c r="D156" s="193"/>
      <c r="E156" s="194"/>
      <c r="F156" s="58"/>
      <c r="G156" s="59"/>
      <c r="H156" s="59"/>
      <c r="I156" s="59"/>
      <c r="J156" s="59"/>
      <c r="K156" s="59"/>
      <c r="L156" s="59"/>
      <c r="M156" s="59"/>
      <c r="N156" s="59"/>
      <c r="O156" s="59"/>
      <c r="P156" s="59"/>
      <c r="Q156" s="59"/>
      <c r="R156" s="59"/>
      <c r="S156" s="59"/>
      <c r="T156" s="59"/>
      <c r="U156" s="59"/>
      <c r="V156" s="59"/>
      <c r="W156" s="59"/>
      <c r="X156" s="59"/>
      <c r="Y156" s="59"/>
      <c r="Z156" s="59"/>
      <c r="AA156" s="59"/>
      <c r="AB156" s="59"/>
      <c r="AC156" s="59"/>
      <c r="AD156" s="59"/>
      <c r="AE156" s="59"/>
      <c r="AF156" s="59"/>
      <c r="AG156" s="59"/>
      <c r="AH156" s="59"/>
      <c r="AI156" s="59"/>
      <c r="AJ156" s="59"/>
      <c r="AK156" s="59"/>
      <c r="AL156" s="59"/>
      <c r="AM156" s="59"/>
      <c r="AN156" s="59"/>
      <c r="AO156" s="59"/>
      <c r="AP156" s="59"/>
      <c r="AQ156" s="59"/>
      <c r="AR156" s="59"/>
      <c r="AS156" s="59"/>
      <c r="AT156" s="59"/>
      <c r="AU156" s="59"/>
      <c r="AV156" s="59"/>
      <c r="AW156" s="59"/>
      <c r="AX156" s="59"/>
      <c r="AY156" s="59"/>
      <c r="AZ156" s="59"/>
      <c r="BA156" s="59"/>
      <c r="BB156" s="59"/>
      <c r="BC156" s="59"/>
      <c r="BD156" s="59"/>
      <c r="BE156" s="59"/>
      <c r="BF156" s="59"/>
      <c r="BG156" s="59"/>
      <c r="BH156" s="59"/>
      <c r="BI156" s="59"/>
      <c r="BJ156" s="59"/>
      <c r="BK156" s="59"/>
      <c r="BL156" s="59"/>
      <c r="BM156" s="59"/>
      <c r="BN156" s="59"/>
      <c r="BO156" s="59"/>
      <c r="BP156" s="59"/>
      <c r="BQ156" s="59"/>
      <c r="BR156" s="59"/>
      <c r="BS156" s="59"/>
      <c r="BT156" s="59"/>
      <c r="BU156" s="59"/>
      <c r="BV156" s="59"/>
      <c r="BW156" s="59"/>
      <c r="BX156" s="59"/>
      <c r="BY156" s="59"/>
      <c r="BZ156" s="60"/>
    </row>
    <row r="157" spans="1:78" x14ac:dyDescent="0.25">
      <c r="A157" s="196"/>
      <c r="B157" s="192"/>
      <c r="C157" s="193"/>
      <c r="D157" s="193"/>
      <c r="E157" s="194"/>
      <c r="F157" s="58"/>
      <c r="G157" s="59"/>
      <c r="H157" s="59"/>
      <c r="I157" s="59"/>
      <c r="J157" s="59"/>
      <c r="K157" s="59"/>
      <c r="L157" s="59"/>
      <c r="M157" s="59"/>
      <c r="N157" s="59"/>
      <c r="O157" s="59"/>
      <c r="P157" s="59"/>
      <c r="Q157" s="59"/>
      <c r="R157" s="59"/>
      <c r="S157" s="59"/>
      <c r="T157" s="59"/>
      <c r="U157" s="59"/>
      <c r="V157" s="59"/>
      <c r="W157" s="59"/>
      <c r="X157" s="59"/>
      <c r="Y157" s="59"/>
      <c r="Z157" s="59"/>
      <c r="AA157" s="59"/>
      <c r="AB157" s="59"/>
      <c r="AC157" s="59"/>
      <c r="AD157" s="59"/>
      <c r="AE157" s="59"/>
      <c r="AF157" s="59"/>
      <c r="AG157" s="59"/>
      <c r="AH157" s="59"/>
      <c r="AI157" s="59"/>
      <c r="AJ157" s="59"/>
      <c r="AK157" s="59"/>
      <c r="AL157" s="59"/>
      <c r="AM157" s="59"/>
      <c r="AN157" s="59"/>
      <c r="AO157" s="59"/>
      <c r="AP157" s="59"/>
      <c r="AQ157" s="59"/>
      <c r="AR157" s="59"/>
      <c r="AS157" s="59"/>
      <c r="AT157" s="59"/>
      <c r="AU157" s="59"/>
      <c r="AV157" s="59"/>
      <c r="AW157" s="59"/>
      <c r="AX157" s="59"/>
      <c r="AY157" s="59"/>
      <c r="AZ157" s="59"/>
      <c r="BA157" s="59"/>
      <c r="BB157" s="59"/>
      <c r="BC157" s="59"/>
      <c r="BD157" s="59"/>
      <c r="BE157" s="59"/>
      <c r="BF157" s="59"/>
      <c r="BG157" s="59"/>
      <c r="BH157" s="59"/>
      <c r="BI157" s="59"/>
      <c r="BJ157" s="59"/>
      <c r="BK157" s="59"/>
      <c r="BL157" s="59"/>
      <c r="BM157" s="59"/>
      <c r="BN157" s="59"/>
      <c r="BO157" s="59"/>
      <c r="BP157" s="59"/>
      <c r="BQ157" s="59"/>
      <c r="BR157" s="59"/>
      <c r="BS157" s="59"/>
      <c r="BT157" s="59"/>
      <c r="BU157" s="59"/>
      <c r="BV157" s="59"/>
      <c r="BW157" s="59"/>
      <c r="BX157" s="59"/>
      <c r="BY157" s="59"/>
      <c r="BZ157" s="60"/>
    </row>
    <row r="158" spans="1:78" x14ac:dyDescent="0.25">
      <c r="A158" s="196"/>
      <c r="B158" s="192"/>
      <c r="C158" s="193"/>
      <c r="D158" s="193"/>
      <c r="E158" s="194"/>
      <c r="F158" s="58"/>
      <c r="G158" s="59"/>
      <c r="H158" s="59"/>
      <c r="I158" s="59"/>
      <c r="J158" s="59"/>
      <c r="K158" s="59"/>
      <c r="L158" s="59"/>
      <c r="M158" s="59"/>
      <c r="N158" s="59"/>
      <c r="O158" s="59"/>
      <c r="P158" s="59"/>
      <c r="Q158" s="59"/>
      <c r="R158" s="59"/>
      <c r="S158" s="59"/>
      <c r="T158" s="59"/>
      <c r="U158" s="59"/>
      <c r="V158" s="59"/>
      <c r="W158" s="59"/>
      <c r="X158" s="59"/>
      <c r="Y158" s="59"/>
      <c r="Z158" s="59"/>
      <c r="AA158" s="59"/>
      <c r="AB158" s="59"/>
      <c r="AC158" s="59"/>
      <c r="AD158" s="59"/>
      <c r="AE158" s="59"/>
      <c r="AF158" s="59"/>
      <c r="AG158" s="59"/>
      <c r="AH158" s="59"/>
      <c r="AI158" s="59"/>
      <c r="AJ158" s="59"/>
      <c r="AK158" s="59"/>
      <c r="AL158" s="59"/>
      <c r="AM158" s="59"/>
      <c r="AN158" s="59"/>
      <c r="AO158" s="59"/>
      <c r="AP158" s="59"/>
      <c r="AQ158" s="59"/>
      <c r="AR158" s="59"/>
      <c r="AS158" s="59"/>
      <c r="AT158" s="59"/>
      <c r="AU158" s="59"/>
      <c r="AV158" s="59"/>
      <c r="AW158" s="59"/>
      <c r="AX158" s="59"/>
      <c r="AY158" s="59"/>
      <c r="AZ158" s="59"/>
      <c r="BA158" s="59"/>
      <c r="BB158" s="59"/>
      <c r="BC158" s="59"/>
      <c r="BD158" s="59"/>
      <c r="BE158" s="59"/>
      <c r="BF158" s="59"/>
      <c r="BG158" s="59"/>
      <c r="BH158" s="59"/>
      <c r="BI158" s="59"/>
      <c r="BJ158" s="59"/>
      <c r="BK158" s="59"/>
      <c r="BL158" s="59"/>
      <c r="BM158" s="59"/>
      <c r="BN158" s="59"/>
      <c r="BO158" s="59"/>
      <c r="BP158" s="59"/>
      <c r="BQ158" s="59"/>
      <c r="BR158" s="59"/>
      <c r="BS158" s="59"/>
      <c r="BT158" s="59"/>
      <c r="BU158" s="59"/>
      <c r="BV158" s="59"/>
      <c r="BW158" s="59"/>
      <c r="BX158" s="59"/>
      <c r="BY158" s="59"/>
      <c r="BZ158" s="60"/>
    </row>
    <row r="159" spans="1:78" x14ac:dyDescent="0.25">
      <c r="A159" s="196"/>
      <c r="B159" s="192"/>
      <c r="C159" s="193"/>
      <c r="D159" s="193"/>
      <c r="E159" s="194"/>
      <c r="F159" s="58"/>
      <c r="G159" s="59"/>
      <c r="H159" s="59"/>
      <c r="I159" s="59"/>
      <c r="J159" s="59"/>
      <c r="K159" s="59"/>
      <c r="L159" s="59"/>
      <c r="M159" s="59"/>
      <c r="N159" s="59"/>
      <c r="O159" s="59"/>
      <c r="P159" s="59"/>
      <c r="Q159" s="59"/>
      <c r="R159" s="59"/>
      <c r="S159" s="59"/>
      <c r="T159" s="59"/>
      <c r="U159" s="59"/>
      <c r="V159" s="59"/>
      <c r="W159" s="59"/>
      <c r="X159" s="59"/>
      <c r="Y159" s="59"/>
      <c r="Z159" s="59"/>
      <c r="AA159" s="59"/>
      <c r="AB159" s="59"/>
      <c r="AC159" s="59"/>
      <c r="AD159" s="59"/>
      <c r="AE159" s="59"/>
      <c r="AF159" s="59"/>
      <c r="AG159" s="59"/>
      <c r="AH159" s="59"/>
      <c r="AI159" s="59"/>
      <c r="AJ159" s="59"/>
      <c r="AK159" s="59"/>
      <c r="AL159" s="59"/>
      <c r="AM159" s="59"/>
      <c r="AN159" s="59"/>
      <c r="AO159" s="59"/>
      <c r="AP159" s="59"/>
      <c r="AQ159" s="59"/>
      <c r="AR159" s="59"/>
      <c r="AS159" s="59"/>
      <c r="AT159" s="59"/>
      <c r="AU159" s="59"/>
      <c r="AV159" s="59"/>
      <c r="AW159" s="59"/>
      <c r="AX159" s="59"/>
      <c r="AY159" s="59"/>
      <c r="AZ159" s="59"/>
      <c r="BA159" s="59"/>
      <c r="BB159" s="59"/>
      <c r="BC159" s="59"/>
      <c r="BD159" s="59"/>
      <c r="BE159" s="59"/>
      <c r="BF159" s="59"/>
      <c r="BG159" s="59"/>
      <c r="BH159" s="59"/>
      <c r="BI159" s="59"/>
      <c r="BJ159" s="59"/>
      <c r="BK159" s="59"/>
      <c r="BL159" s="59"/>
      <c r="BM159" s="59"/>
      <c r="BN159" s="59"/>
      <c r="BO159" s="59"/>
      <c r="BP159" s="59"/>
      <c r="BQ159" s="59"/>
      <c r="BR159" s="59"/>
      <c r="BS159" s="59"/>
      <c r="BT159" s="59"/>
      <c r="BU159" s="59"/>
      <c r="BV159" s="59"/>
      <c r="BW159" s="59"/>
      <c r="BX159" s="59"/>
      <c r="BY159" s="59"/>
      <c r="BZ159" s="60"/>
    </row>
    <row r="160" spans="1:78" x14ac:dyDescent="0.25">
      <c r="A160" s="196"/>
      <c r="B160" s="192"/>
      <c r="C160" s="193"/>
      <c r="D160" s="193"/>
      <c r="E160" s="194"/>
      <c r="F160" s="58"/>
      <c r="G160" s="59"/>
      <c r="H160" s="59"/>
      <c r="I160" s="59"/>
      <c r="J160" s="59"/>
      <c r="K160" s="59"/>
      <c r="L160" s="59"/>
      <c r="M160" s="59"/>
      <c r="N160" s="59"/>
      <c r="O160" s="59"/>
      <c r="P160" s="59"/>
      <c r="Q160" s="59"/>
      <c r="R160" s="59"/>
      <c r="S160" s="59"/>
      <c r="T160" s="59"/>
      <c r="U160" s="59"/>
      <c r="V160" s="59"/>
      <c r="W160" s="59"/>
      <c r="X160" s="59"/>
      <c r="Y160" s="59"/>
      <c r="Z160" s="59"/>
      <c r="AA160" s="59"/>
      <c r="AB160" s="59"/>
      <c r="AC160" s="59"/>
      <c r="AD160" s="59"/>
      <c r="AE160" s="59"/>
      <c r="AF160" s="59"/>
      <c r="AG160" s="59"/>
      <c r="AH160" s="59"/>
      <c r="AI160" s="59"/>
      <c r="AJ160" s="59"/>
      <c r="AK160" s="59"/>
      <c r="AL160" s="59"/>
      <c r="AM160" s="59"/>
      <c r="AN160" s="59"/>
      <c r="AO160" s="59"/>
      <c r="AP160" s="59"/>
      <c r="AQ160" s="59"/>
      <c r="AR160" s="59"/>
      <c r="AS160" s="59"/>
      <c r="AT160" s="59"/>
      <c r="AU160" s="59"/>
      <c r="AV160" s="59"/>
      <c r="AW160" s="59"/>
      <c r="AX160" s="59"/>
      <c r="AY160" s="59"/>
      <c r="AZ160" s="59"/>
      <c r="BA160" s="59"/>
      <c r="BB160" s="59"/>
      <c r="BC160" s="59"/>
      <c r="BD160" s="59"/>
      <c r="BE160" s="59"/>
      <c r="BF160" s="59"/>
      <c r="BG160" s="59"/>
      <c r="BH160" s="59"/>
      <c r="BI160" s="59"/>
      <c r="BJ160" s="59"/>
      <c r="BK160" s="59"/>
      <c r="BL160" s="59"/>
      <c r="BM160" s="59"/>
      <c r="BN160" s="59"/>
      <c r="BO160" s="59"/>
      <c r="BP160" s="59"/>
      <c r="BQ160" s="59"/>
      <c r="BR160" s="59"/>
      <c r="BS160" s="59"/>
      <c r="BT160" s="59"/>
      <c r="BU160" s="59"/>
      <c r="BV160" s="59"/>
      <c r="BW160" s="59"/>
      <c r="BX160" s="59"/>
      <c r="BY160" s="59"/>
      <c r="BZ160" s="60"/>
    </row>
    <row r="161" spans="1:78" x14ac:dyDescent="0.25">
      <c r="A161" s="196"/>
      <c r="B161" s="192"/>
      <c r="C161" s="193"/>
      <c r="D161" s="193"/>
      <c r="E161" s="194"/>
      <c r="F161" s="58"/>
      <c r="G161" s="59"/>
      <c r="H161" s="59"/>
      <c r="I161" s="59"/>
      <c r="J161" s="59"/>
      <c r="K161" s="59"/>
      <c r="L161" s="59"/>
      <c r="M161" s="59"/>
      <c r="N161" s="59"/>
      <c r="O161" s="59"/>
      <c r="P161" s="59"/>
      <c r="Q161" s="59"/>
      <c r="R161" s="59"/>
      <c r="S161" s="59"/>
      <c r="T161" s="59"/>
      <c r="U161" s="59"/>
      <c r="V161" s="59"/>
      <c r="W161" s="59"/>
      <c r="X161" s="59"/>
      <c r="Y161" s="59"/>
      <c r="Z161" s="59"/>
      <c r="AA161" s="59"/>
      <c r="AB161" s="59"/>
      <c r="AC161" s="59"/>
      <c r="AD161" s="59"/>
      <c r="AE161" s="59"/>
      <c r="AF161" s="59"/>
      <c r="AG161" s="59"/>
      <c r="AH161" s="59"/>
      <c r="AI161" s="59"/>
      <c r="AJ161" s="59"/>
      <c r="AK161" s="59"/>
      <c r="AL161" s="59"/>
      <c r="AM161" s="59"/>
      <c r="AN161" s="59"/>
      <c r="AO161" s="59"/>
      <c r="AP161" s="59"/>
      <c r="AQ161" s="59"/>
      <c r="AR161" s="59"/>
      <c r="AS161" s="59"/>
      <c r="AT161" s="59"/>
      <c r="AU161" s="59"/>
      <c r="AV161" s="59"/>
      <c r="AW161" s="59"/>
      <c r="AX161" s="59"/>
      <c r="AY161" s="59"/>
      <c r="AZ161" s="59"/>
      <c r="BA161" s="59"/>
      <c r="BB161" s="59"/>
      <c r="BC161" s="59"/>
      <c r="BD161" s="59"/>
      <c r="BE161" s="59"/>
      <c r="BF161" s="59"/>
      <c r="BG161" s="59"/>
      <c r="BH161" s="59"/>
      <c r="BI161" s="59"/>
      <c r="BJ161" s="59"/>
      <c r="BK161" s="59"/>
      <c r="BL161" s="59"/>
      <c r="BM161" s="59"/>
      <c r="BN161" s="59"/>
      <c r="BO161" s="59"/>
      <c r="BP161" s="59"/>
      <c r="BQ161" s="59"/>
      <c r="BR161" s="59"/>
      <c r="BS161" s="59"/>
      <c r="BT161" s="59"/>
      <c r="BU161" s="59"/>
      <c r="BV161" s="59"/>
      <c r="BW161" s="59"/>
      <c r="BX161" s="59"/>
      <c r="BY161" s="59"/>
      <c r="BZ161" s="60"/>
    </row>
    <row r="162" spans="1:78" x14ac:dyDescent="0.25">
      <c r="A162" s="196"/>
      <c r="B162" s="192"/>
      <c r="C162" s="193"/>
      <c r="D162" s="193"/>
      <c r="E162" s="194"/>
      <c r="F162" s="58"/>
      <c r="G162" s="59"/>
      <c r="H162" s="59"/>
      <c r="I162" s="59"/>
      <c r="J162" s="59"/>
      <c r="K162" s="59"/>
      <c r="L162" s="59"/>
      <c r="M162" s="59"/>
      <c r="N162" s="59"/>
      <c r="O162" s="59"/>
      <c r="P162" s="59"/>
      <c r="Q162" s="59"/>
      <c r="R162" s="59"/>
      <c r="S162" s="59"/>
      <c r="T162" s="59"/>
      <c r="U162" s="59"/>
      <c r="V162" s="59"/>
      <c r="W162" s="59"/>
      <c r="X162" s="59"/>
      <c r="Y162" s="59"/>
      <c r="Z162" s="59"/>
      <c r="AA162" s="59"/>
      <c r="AB162" s="59"/>
      <c r="AC162" s="59"/>
      <c r="AD162" s="59"/>
      <c r="AE162" s="59"/>
      <c r="AF162" s="59"/>
      <c r="AG162" s="59"/>
      <c r="AH162" s="59"/>
      <c r="AI162" s="59"/>
      <c r="AJ162" s="59"/>
      <c r="AK162" s="59"/>
      <c r="AL162" s="59"/>
      <c r="AM162" s="59"/>
      <c r="AN162" s="59"/>
      <c r="AO162" s="59"/>
      <c r="AP162" s="59"/>
      <c r="AQ162" s="59"/>
      <c r="AR162" s="59"/>
      <c r="AS162" s="59"/>
      <c r="AT162" s="59"/>
      <c r="AU162" s="59"/>
      <c r="AV162" s="59"/>
      <c r="AW162" s="59"/>
      <c r="AX162" s="59"/>
      <c r="AY162" s="59"/>
      <c r="AZ162" s="59"/>
      <c r="BA162" s="59"/>
      <c r="BB162" s="59"/>
      <c r="BC162" s="59"/>
      <c r="BD162" s="59"/>
      <c r="BE162" s="59"/>
      <c r="BF162" s="59"/>
      <c r="BG162" s="59"/>
      <c r="BH162" s="59"/>
      <c r="BI162" s="59"/>
      <c r="BJ162" s="59"/>
      <c r="BK162" s="59"/>
      <c r="BL162" s="59"/>
      <c r="BM162" s="59"/>
      <c r="BN162" s="59"/>
      <c r="BO162" s="59"/>
      <c r="BP162" s="59"/>
      <c r="BQ162" s="59"/>
      <c r="BR162" s="59"/>
      <c r="BS162" s="59"/>
      <c r="BT162" s="59"/>
      <c r="BU162" s="59"/>
      <c r="BV162" s="59"/>
      <c r="BW162" s="59"/>
      <c r="BX162" s="59"/>
      <c r="BY162" s="59"/>
      <c r="BZ162" s="60"/>
    </row>
    <row r="163" spans="1:78" x14ac:dyDescent="0.25">
      <c r="A163" s="196"/>
      <c r="B163" s="192"/>
      <c r="C163" s="193"/>
      <c r="D163" s="193"/>
      <c r="E163" s="194"/>
      <c r="F163" s="58"/>
      <c r="G163" s="59"/>
      <c r="H163" s="59"/>
      <c r="I163" s="59"/>
      <c r="J163" s="59"/>
      <c r="K163" s="59"/>
      <c r="L163" s="59"/>
      <c r="M163" s="59"/>
      <c r="N163" s="59"/>
      <c r="O163" s="59"/>
      <c r="P163" s="59"/>
      <c r="Q163" s="59"/>
      <c r="R163" s="59"/>
      <c r="S163" s="59"/>
      <c r="T163" s="59"/>
      <c r="U163" s="59"/>
      <c r="V163" s="59"/>
      <c r="W163" s="59"/>
      <c r="X163" s="59"/>
      <c r="Y163" s="59"/>
      <c r="Z163" s="59"/>
      <c r="AA163" s="59"/>
      <c r="AB163" s="59"/>
      <c r="AC163" s="59"/>
      <c r="AD163" s="59"/>
      <c r="AE163" s="59"/>
      <c r="AF163" s="59"/>
      <c r="AG163" s="59"/>
      <c r="AH163" s="59"/>
      <c r="AI163" s="59"/>
      <c r="AJ163" s="59"/>
      <c r="AK163" s="59"/>
      <c r="AL163" s="59"/>
      <c r="AM163" s="59"/>
      <c r="AN163" s="59"/>
      <c r="AO163" s="59"/>
      <c r="AP163" s="59"/>
      <c r="AQ163" s="59"/>
      <c r="AR163" s="59"/>
      <c r="AS163" s="59"/>
      <c r="AT163" s="59"/>
      <c r="AU163" s="59"/>
      <c r="AV163" s="59"/>
      <c r="AW163" s="59"/>
      <c r="AX163" s="59"/>
      <c r="AY163" s="59"/>
      <c r="AZ163" s="59"/>
      <c r="BA163" s="59"/>
      <c r="BB163" s="59"/>
      <c r="BC163" s="59"/>
      <c r="BD163" s="59"/>
      <c r="BE163" s="59"/>
      <c r="BF163" s="59"/>
      <c r="BG163" s="59"/>
      <c r="BH163" s="59"/>
      <c r="BI163" s="59"/>
      <c r="BJ163" s="59"/>
      <c r="BK163" s="59"/>
      <c r="BL163" s="59"/>
      <c r="BM163" s="59"/>
      <c r="BN163" s="59"/>
      <c r="BO163" s="59"/>
      <c r="BP163" s="59"/>
      <c r="BQ163" s="59"/>
      <c r="BR163" s="59"/>
      <c r="BS163" s="59"/>
      <c r="BT163" s="59"/>
      <c r="BU163" s="59"/>
      <c r="BV163" s="59"/>
      <c r="BW163" s="59"/>
      <c r="BX163" s="59"/>
      <c r="BY163" s="59"/>
      <c r="BZ163" s="60"/>
    </row>
    <row r="164" spans="1:78" x14ac:dyDescent="0.25">
      <c r="A164" s="196"/>
      <c r="B164" s="192"/>
      <c r="C164" s="193"/>
      <c r="D164" s="193"/>
      <c r="E164" s="194"/>
      <c r="F164" s="58"/>
      <c r="G164" s="59"/>
      <c r="H164" s="59"/>
      <c r="I164" s="59"/>
      <c r="J164" s="59"/>
      <c r="K164" s="59"/>
      <c r="L164" s="59"/>
      <c r="M164" s="59"/>
      <c r="N164" s="59"/>
      <c r="O164" s="59"/>
      <c r="P164" s="59"/>
      <c r="Q164" s="59"/>
      <c r="R164" s="59"/>
      <c r="S164" s="59"/>
      <c r="T164" s="59"/>
      <c r="U164" s="59"/>
      <c r="V164" s="59"/>
      <c r="W164" s="59"/>
      <c r="X164" s="59"/>
      <c r="Y164" s="59"/>
      <c r="Z164" s="59"/>
      <c r="AA164" s="59"/>
      <c r="AB164" s="59"/>
      <c r="AC164" s="59"/>
      <c r="AD164" s="59"/>
      <c r="AE164" s="59"/>
      <c r="AF164" s="59"/>
      <c r="AG164" s="59"/>
      <c r="AH164" s="59"/>
      <c r="AI164" s="59"/>
      <c r="AJ164" s="59"/>
      <c r="AK164" s="59"/>
      <c r="AL164" s="59"/>
      <c r="AM164" s="59"/>
      <c r="AN164" s="59"/>
      <c r="AO164" s="59"/>
      <c r="AP164" s="59"/>
      <c r="AQ164" s="59"/>
      <c r="AR164" s="59"/>
      <c r="AS164" s="59"/>
      <c r="AT164" s="59"/>
      <c r="AU164" s="59"/>
      <c r="AV164" s="59"/>
      <c r="AW164" s="59"/>
      <c r="AX164" s="59"/>
      <c r="AY164" s="59"/>
      <c r="AZ164" s="59"/>
      <c r="BA164" s="59"/>
      <c r="BB164" s="59"/>
      <c r="BC164" s="59"/>
      <c r="BD164" s="59"/>
      <c r="BE164" s="59"/>
      <c r="BF164" s="59"/>
      <c r="BG164" s="59"/>
      <c r="BH164" s="59"/>
      <c r="BI164" s="59"/>
      <c r="BJ164" s="59"/>
      <c r="BK164" s="59"/>
      <c r="BL164" s="59"/>
      <c r="BM164" s="59"/>
      <c r="BN164" s="59"/>
      <c r="BO164" s="59"/>
      <c r="BP164" s="59"/>
      <c r="BQ164" s="59"/>
      <c r="BR164" s="59"/>
      <c r="BS164" s="59"/>
      <c r="BT164" s="59"/>
      <c r="BU164" s="59"/>
      <c r="BV164" s="59"/>
      <c r="BW164" s="59"/>
      <c r="BX164" s="59"/>
      <c r="BY164" s="59"/>
      <c r="BZ164" s="60"/>
    </row>
    <row r="165" spans="1:78" x14ac:dyDescent="0.25">
      <c r="A165" s="196"/>
      <c r="B165" s="192"/>
      <c r="C165" s="193"/>
      <c r="D165" s="193"/>
      <c r="E165" s="194"/>
      <c r="F165" s="58"/>
      <c r="G165" s="59"/>
      <c r="H165" s="59"/>
      <c r="I165" s="59"/>
      <c r="J165" s="59"/>
      <c r="K165" s="59"/>
      <c r="L165" s="59"/>
      <c r="M165" s="59"/>
      <c r="N165" s="59"/>
      <c r="O165" s="59"/>
      <c r="P165" s="59"/>
      <c r="Q165" s="59"/>
      <c r="R165" s="59"/>
      <c r="S165" s="59"/>
      <c r="T165" s="59"/>
      <c r="U165" s="59"/>
      <c r="V165" s="59"/>
      <c r="W165" s="59"/>
      <c r="X165" s="59"/>
      <c r="Y165" s="59"/>
      <c r="Z165" s="59"/>
      <c r="AA165" s="59"/>
      <c r="AB165" s="59"/>
      <c r="AC165" s="59"/>
      <c r="AD165" s="59"/>
      <c r="AE165" s="59"/>
      <c r="AF165" s="59"/>
      <c r="AG165" s="59"/>
      <c r="AH165" s="59"/>
      <c r="AI165" s="59"/>
      <c r="AJ165" s="59"/>
      <c r="AK165" s="59"/>
      <c r="AL165" s="59"/>
      <c r="AM165" s="59"/>
      <c r="AN165" s="59"/>
      <c r="AO165" s="59"/>
      <c r="AP165" s="59"/>
      <c r="AQ165" s="59"/>
      <c r="AR165" s="59"/>
      <c r="AS165" s="59"/>
      <c r="AT165" s="59"/>
      <c r="AU165" s="59"/>
      <c r="AV165" s="59"/>
      <c r="AW165" s="59"/>
      <c r="AX165" s="59"/>
      <c r="AY165" s="59"/>
      <c r="AZ165" s="59"/>
      <c r="BA165" s="59"/>
      <c r="BB165" s="59"/>
      <c r="BC165" s="59"/>
      <c r="BD165" s="59"/>
      <c r="BE165" s="59"/>
      <c r="BF165" s="59"/>
      <c r="BG165" s="59"/>
      <c r="BH165" s="59"/>
      <c r="BI165" s="59"/>
      <c r="BJ165" s="59"/>
      <c r="BK165" s="59"/>
      <c r="BL165" s="59"/>
      <c r="BM165" s="59"/>
      <c r="BN165" s="59"/>
      <c r="BO165" s="59"/>
      <c r="BP165" s="59"/>
      <c r="BQ165" s="59"/>
      <c r="BR165" s="59"/>
      <c r="BS165" s="59"/>
      <c r="BT165" s="59"/>
      <c r="BU165" s="59"/>
      <c r="BV165" s="59"/>
      <c r="BW165" s="59"/>
      <c r="BX165" s="59"/>
      <c r="BY165" s="59"/>
      <c r="BZ165" s="60"/>
    </row>
    <row r="166" spans="1:78" x14ac:dyDescent="0.25">
      <c r="A166" s="196"/>
      <c r="B166" s="192"/>
      <c r="C166" s="193"/>
      <c r="D166" s="193"/>
      <c r="E166" s="194"/>
      <c r="F166" s="58"/>
      <c r="G166" s="59"/>
      <c r="H166" s="59"/>
      <c r="I166" s="59"/>
      <c r="J166" s="59"/>
      <c r="K166" s="59"/>
      <c r="L166" s="59"/>
      <c r="M166" s="59"/>
      <c r="N166" s="59"/>
      <c r="O166" s="59"/>
      <c r="P166" s="59"/>
      <c r="Q166" s="59"/>
      <c r="R166" s="59"/>
      <c r="S166" s="59"/>
      <c r="T166" s="59"/>
      <c r="U166" s="59"/>
      <c r="V166" s="59"/>
      <c r="W166" s="59"/>
      <c r="X166" s="59"/>
      <c r="Y166" s="59"/>
      <c r="Z166" s="59"/>
      <c r="AA166" s="59"/>
      <c r="AB166" s="59"/>
      <c r="AC166" s="59"/>
      <c r="AD166" s="59"/>
      <c r="AE166" s="59"/>
      <c r="AF166" s="59"/>
      <c r="AG166" s="59"/>
      <c r="AH166" s="59"/>
      <c r="AI166" s="59"/>
      <c r="AJ166" s="59"/>
      <c r="AK166" s="59"/>
      <c r="AL166" s="59"/>
      <c r="AM166" s="59"/>
      <c r="AN166" s="59"/>
      <c r="AO166" s="59"/>
      <c r="AP166" s="59"/>
      <c r="AQ166" s="59"/>
      <c r="AR166" s="59"/>
      <c r="AS166" s="59"/>
      <c r="AT166" s="59"/>
      <c r="AU166" s="59"/>
      <c r="AV166" s="59"/>
      <c r="AW166" s="59"/>
      <c r="AX166" s="59"/>
      <c r="AY166" s="59"/>
      <c r="AZ166" s="59"/>
      <c r="BA166" s="59"/>
      <c r="BB166" s="59"/>
      <c r="BC166" s="59"/>
      <c r="BD166" s="59"/>
      <c r="BE166" s="59"/>
      <c r="BF166" s="59"/>
      <c r="BG166" s="59"/>
      <c r="BH166" s="59"/>
      <c r="BI166" s="59"/>
      <c r="BJ166" s="59"/>
      <c r="BK166" s="59"/>
      <c r="BL166" s="59"/>
      <c r="BM166" s="59"/>
      <c r="BN166" s="59"/>
      <c r="BO166" s="59"/>
      <c r="BP166" s="59"/>
      <c r="BQ166" s="59"/>
      <c r="BR166" s="59"/>
      <c r="BS166" s="59"/>
      <c r="BT166" s="59"/>
      <c r="BU166" s="59"/>
      <c r="BV166" s="59"/>
      <c r="BW166" s="59"/>
      <c r="BX166" s="59"/>
      <c r="BY166" s="59"/>
      <c r="BZ166" s="60"/>
    </row>
    <row r="167" spans="1:78" x14ac:dyDescent="0.25">
      <c r="A167" s="196"/>
      <c r="B167" s="192"/>
      <c r="C167" s="193"/>
      <c r="D167" s="193"/>
      <c r="E167" s="194"/>
      <c r="F167" s="58"/>
      <c r="G167" s="59"/>
      <c r="H167" s="59"/>
      <c r="I167" s="59"/>
      <c r="J167" s="59"/>
      <c r="K167" s="59"/>
      <c r="L167" s="59"/>
      <c r="M167" s="59"/>
      <c r="N167" s="59"/>
      <c r="O167" s="59"/>
      <c r="P167" s="59"/>
      <c r="Q167" s="59"/>
      <c r="R167" s="59"/>
      <c r="S167" s="59"/>
      <c r="T167" s="59"/>
      <c r="U167" s="59"/>
      <c r="V167" s="59"/>
      <c r="W167" s="59"/>
      <c r="X167" s="59"/>
      <c r="Y167" s="59"/>
      <c r="Z167" s="59"/>
      <c r="AA167" s="59"/>
      <c r="AB167" s="59"/>
      <c r="AC167" s="59"/>
      <c r="AD167" s="59"/>
      <c r="AE167" s="59"/>
      <c r="AF167" s="59"/>
      <c r="AG167" s="59"/>
      <c r="AH167" s="59"/>
      <c r="AI167" s="59"/>
      <c r="AJ167" s="59"/>
      <c r="AK167" s="59"/>
      <c r="AL167" s="59"/>
      <c r="AM167" s="59"/>
      <c r="AN167" s="59"/>
      <c r="AO167" s="59"/>
      <c r="AP167" s="59"/>
      <c r="AQ167" s="59"/>
      <c r="AR167" s="59"/>
      <c r="AS167" s="59"/>
      <c r="AT167" s="59"/>
      <c r="AU167" s="59"/>
      <c r="AV167" s="59"/>
      <c r="AW167" s="59"/>
      <c r="AX167" s="59"/>
      <c r="AY167" s="59"/>
      <c r="AZ167" s="59"/>
      <c r="BA167" s="59"/>
      <c r="BB167" s="59"/>
      <c r="BC167" s="59"/>
      <c r="BD167" s="59"/>
      <c r="BE167" s="59"/>
      <c r="BF167" s="59"/>
      <c r="BG167" s="59"/>
      <c r="BH167" s="59"/>
      <c r="BI167" s="59"/>
      <c r="BJ167" s="59"/>
      <c r="BK167" s="59"/>
      <c r="BL167" s="59"/>
      <c r="BM167" s="59"/>
      <c r="BN167" s="59"/>
      <c r="BO167" s="59"/>
      <c r="BP167" s="59"/>
      <c r="BQ167" s="59"/>
      <c r="BR167" s="59"/>
      <c r="BS167" s="59"/>
      <c r="BT167" s="59"/>
      <c r="BU167" s="59"/>
      <c r="BV167" s="59"/>
      <c r="BW167" s="59"/>
      <c r="BX167" s="59"/>
      <c r="BY167" s="59"/>
      <c r="BZ167" s="60"/>
    </row>
    <row r="168" spans="1:78" x14ac:dyDescent="0.25">
      <c r="A168" s="196"/>
      <c r="B168" s="192"/>
      <c r="C168" s="193"/>
      <c r="D168" s="193"/>
      <c r="E168" s="194"/>
      <c r="F168" s="58"/>
      <c r="G168" s="59"/>
      <c r="H168" s="59"/>
      <c r="I168" s="59"/>
      <c r="J168" s="59"/>
      <c r="K168" s="59"/>
      <c r="L168" s="59"/>
      <c r="M168" s="59"/>
      <c r="N168" s="59"/>
      <c r="O168" s="59"/>
      <c r="P168" s="59"/>
      <c r="Q168" s="59"/>
      <c r="R168" s="59"/>
      <c r="S168" s="59"/>
      <c r="T168" s="59"/>
      <c r="U168" s="59"/>
      <c r="V168" s="59"/>
      <c r="W168" s="59"/>
      <c r="X168" s="59"/>
      <c r="Y168" s="59"/>
      <c r="Z168" s="59"/>
      <c r="AA168" s="59"/>
      <c r="AB168" s="59"/>
      <c r="AC168" s="59"/>
      <c r="AD168" s="59"/>
      <c r="AE168" s="59"/>
      <c r="AF168" s="59"/>
      <c r="AG168" s="59"/>
      <c r="AH168" s="59"/>
      <c r="AI168" s="59"/>
      <c r="AJ168" s="59"/>
      <c r="AK168" s="59"/>
      <c r="AL168" s="59"/>
      <c r="AM168" s="59"/>
      <c r="AN168" s="59"/>
      <c r="AO168" s="59"/>
      <c r="AP168" s="59"/>
      <c r="AQ168" s="59"/>
      <c r="AR168" s="59"/>
      <c r="AS168" s="59"/>
      <c r="AT168" s="59"/>
      <c r="AU168" s="59"/>
      <c r="AV168" s="59"/>
      <c r="AW168" s="59"/>
      <c r="AX168" s="59"/>
      <c r="AY168" s="59"/>
      <c r="AZ168" s="59"/>
      <c r="BA168" s="59"/>
      <c r="BB168" s="59"/>
      <c r="BC168" s="59"/>
      <c r="BD168" s="59"/>
      <c r="BE168" s="59"/>
      <c r="BF168" s="59"/>
      <c r="BG168" s="59"/>
      <c r="BH168" s="59"/>
      <c r="BI168" s="59"/>
      <c r="BJ168" s="59"/>
      <c r="BK168" s="59"/>
      <c r="BL168" s="59"/>
      <c r="BM168" s="59"/>
      <c r="BN168" s="59"/>
      <c r="BO168" s="59"/>
      <c r="BP168" s="59"/>
      <c r="BQ168" s="59"/>
      <c r="BR168" s="59"/>
      <c r="BS168" s="59"/>
      <c r="BT168" s="59"/>
      <c r="BU168" s="59"/>
      <c r="BV168" s="59"/>
      <c r="BW168" s="59"/>
      <c r="BX168" s="59"/>
      <c r="BY168" s="59"/>
      <c r="BZ168" s="60"/>
    </row>
    <row r="169" spans="1:78" x14ac:dyDescent="0.25">
      <c r="A169" s="196"/>
      <c r="B169" s="192"/>
      <c r="C169" s="193"/>
      <c r="D169" s="193"/>
      <c r="E169" s="194"/>
      <c r="F169" s="58"/>
      <c r="G169" s="59"/>
      <c r="H169" s="59"/>
      <c r="I169" s="59"/>
      <c r="J169" s="59"/>
      <c r="K169" s="59"/>
      <c r="L169" s="59"/>
      <c r="M169" s="59"/>
      <c r="N169" s="59"/>
      <c r="O169" s="59"/>
      <c r="P169" s="59"/>
      <c r="Q169" s="59"/>
      <c r="R169" s="59"/>
      <c r="S169" s="59"/>
      <c r="T169" s="59"/>
      <c r="U169" s="59"/>
      <c r="V169" s="59"/>
      <c r="W169" s="59"/>
      <c r="X169" s="59"/>
      <c r="Y169" s="59"/>
      <c r="Z169" s="59"/>
      <c r="AA169" s="59"/>
      <c r="AB169" s="59"/>
      <c r="AC169" s="59"/>
      <c r="AD169" s="59"/>
      <c r="AE169" s="59"/>
      <c r="AF169" s="59"/>
      <c r="AG169" s="59"/>
      <c r="AH169" s="59"/>
      <c r="AI169" s="59"/>
      <c r="AJ169" s="59"/>
      <c r="AK169" s="59"/>
      <c r="AL169" s="59"/>
      <c r="AM169" s="59"/>
      <c r="AN169" s="59"/>
      <c r="AO169" s="59"/>
      <c r="AP169" s="59"/>
      <c r="AQ169" s="59"/>
      <c r="AR169" s="59"/>
      <c r="AS169" s="59"/>
      <c r="AT169" s="59"/>
      <c r="AU169" s="59"/>
      <c r="AV169" s="59"/>
      <c r="AW169" s="59"/>
      <c r="AX169" s="59"/>
      <c r="AY169" s="59"/>
      <c r="AZ169" s="59"/>
      <c r="BA169" s="59"/>
      <c r="BB169" s="59"/>
      <c r="BC169" s="59"/>
      <c r="BD169" s="59"/>
      <c r="BE169" s="59"/>
      <c r="BF169" s="59"/>
      <c r="BG169" s="59"/>
      <c r="BH169" s="59"/>
      <c r="BI169" s="59"/>
      <c r="BJ169" s="59"/>
      <c r="BK169" s="59"/>
      <c r="BL169" s="59"/>
      <c r="BM169" s="59"/>
      <c r="BN169" s="59"/>
      <c r="BO169" s="59"/>
      <c r="BP169" s="59"/>
      <c r="BQ169" s="59"/>
      <c r="BR169" s="59"/>
      <c r="BS169" s="59"/>
      <c r="BT169" s="59"/>
      <c r="BU169" s="59"/>
      <c r="BV169" s="59"/>
      <c r="BW169" s="59"/>
      <c r="BX169" s="59"/>
      <c r="BY169" s="59"/>
      <c r="BZ169" s="60"/>
    </row>
    <row r="170" spans="1:78" x14ac:dyDescent="0.25">
      <c r="A170" s="196"/>
      <c r="B170" s="192"/>
      <c r="C170" s="193"/>
      <c r="D170" s="193"/>
      <c r="E170" s="194"/>
      <c r="F170" s="58"/>
      <c r="G170" s="59"/>
      <c r="H170" s="59"/>
      <c r="I170" s="59"/>
      <c r="J170" s="59"/>
      <c r="K170" s="59"/>
      <c r="L170" s="59"/>
      <c r="M170" s="59"/>
      <c r="N170" s="59"/>
      <c r="O170" s="59"/>
      <c r="P170" s="59"/>
      <c r="Q170" s="59"/>
      <c r="R170" s="59"/>
      <c r="S170" s="59"/>
      <c r="T170" s="59"/>
      <c r="U170" s="59"/>
      <c r="V170" s="59"/>
      <c r="W170" s="59"/>
      <c r="X170" s="59"/>
      <c r="Y170" s="59"/>
      <c r="Z170" s="59"/>
      <c r="AA170" s="59"/>
      <c r="AB170" s="59"/>
      <c r="AC170" s="59"/>
      <c r="AD170" s="59"/>
      <c r="AE170" s="59"/>
      <c r="AF170" s="59"/>
      <c r="AG170" s="59"/>
      <c r="AH170" s="59"/>
      <c r="AI170" s="59"/>
      <c r="AJ170" s="59"/>
      <c r="AK170" s="59"/>
      <c r="AL170" s="59"/>
      <c r="AM170" s="59"/>
      <c r="AN170" s="59"/>
      <c r="AO170" s="59"/>
      <c r="AP170" s="59"/>
      <c r="AQ170" s="59"/>
      <c r="AR170" s="59"/>
      <c r="AS170" s="59"/>
      <c r="AT170" s="59"/>
      <c r="AU170" s="59"/>
      <c r="AV170" s="59"/>
      <c r="AW170" s="59"/>
      <c r="AX170" s="59"/>
      <c r="AY170" s="59"/>
      <c r="AZ170" s="59"/>
      <c r="BA170" s="59"/>
      <c r="BB170" s="59"/>
      <c r="BC170" s="59"/>
      <c r="BD170" s="59"/>
      <c r="BE170" s="59"/>
      <c r="BF170" s="59"/>
      <c r="BG170" s="59"/>
      <c r="BH170" s="59"/>
      <c r="BI170" s="59"/>
      <c r="BJ170" s="59"/>
      <c r="BK170" s="59"/>
      <c r="BL170" s="59"/>
      <c r="BM170" s="59"/>
      <c r="BN170" s="59"/>
      <c r="BO170" s="59"/>
      <c r="BP170" s="59"/>
      <c r="BQ170" s="59"/>
      <c r="BR170" s="59"/>
      <c r="BS170" s="59"/>
      <c r="BT170" s="59"/>
      <c r="BU170" s="59"/>
      <c r="BV170" s="59"/>
      <c r="BW170" s="59"/>
      <c r="BX170" s="59"/>
      <c r="BY170" s="59"/>
      <c r="BZ170" s="60"/>
    </row>
    <row r="171" spans="1:78" x14ac:dyDescent="0.25">
      <c r="A171" s="196"/>
      <c r="B171" s="192"/>
      <c r="C171" s="193"/>
      <c r="D171" s="193"/>
      <c r="E171" s="194"/>
      <c r="F171" s="58"/>
      <c r="G171" s="59"/>
      <c r="H171" s="59"/>
      <c r="I171" s="59"/>
      <c r="J171" s="59"/>
      <c r="K171" s="59"/>
      <c r="L171" s="59"/>
      <c r="M171" s="59"/>
      <c r="N171" s="59"/>
      <c r="O171" s="59"/>
      <c r="P171" s="59"/>
      <c r="Q171" s="59"/>
      <c r="R171" s="59"/>
      <c r="S171" s="59"/>
      <c r="T171" s="59"/>
      <c r="U171" s="59"/>
      <c r="V171" s="59"/>
      <c r="W171" s="59"/>
      <c r="X171" s="59"/>
      <c r="Y171" s="59"/>
      <c r="Z171" s="59"/>
      <c r="AA171" s="59"/>
      <c r="AB171" s="59"/>
      <c r="AC171" s="59"/>
      <c r="AD171" s="59"/>
      <c r="AE171" s="59"/>
      <c r="AF171" s="59"/>
      <c r="AG171" s="59"/>
      <c r="AH171" s="59"/>
      <c r="AI171" s="59"/>
      <c r="AJ171" s="59"/>
      <c r="AK171" s="59"/>
      <c r="AL171" s="59"/>
      <c r="AM171" s="59"/>
      <c r="AN171" s="59"/>
      <c r="AO171" s="59"/>
      <c r="AP171" s="59"/>
      <c r="AQ171" s="59"/>
      <c r="AR171" s="59"/>
      <c r="AS171" s="59"/>
      <c r="AT171" s="59"/>
      <c r="AU171" s="59"/>
      <c r="AV171" s="59"/>
      <c r="AW171" s="59"/>
      <c r="AX171" s="59"/>
      <c r="AY171" s="59"/>
      <c r="AZ171" s="59"/>
      <c r="BA171" s="59"/>
      <c r="BB171" s="59"/>
      <c r="BC171" s="59"/>
      <c r="BD171" s="59"/>
      <c r="BE171" s="59"/>
      <c r="BF171" s="59"/>
      <c r="BG171" s="59"/>
      <c r="BH171" s="59"/>
      <c r="BI171" s="59"/>
      <c r="BJ171" s="59"/>
      <c r="BK171" s="59"/>
      <c r="BL171" s="59"/>
      <c r="BM171" s="59"/>
      <c r="BN171" s="59"/>
      <c r="BO171" s="59"/>
      <c r="BP171" s="59"/>
      <c r="BQ171" s="59"/>
      <c r="BR171" s="59"/>
      <c r="BS171" s="59"/>
      <c r="BT171" s="59"/>
      <c r="BU171" s="59"/>
      <c r="BV171" s="59"/>
      <c r="BW171" s="59"/>
      <c r="BX171" s="59"/>
      <c r="BY171" s="59"/>
      <c r="BZ171" s="60"/>
    </row>
    <row r="172" spans="1:78" x14ac:dyDescent="0.25">
      <c r="A172" s="196"/>
      <c r="B172" s="192"/>
      <c r="C172" s="193"/>
      <c r="D172" s="193"/>
      <c r="E172" s="194"/>
      <c r="F172" s="58"/>
      <c r="G172" s="59"/>
      <c r="H172" s="59"/>
      <c r="I172" s="59"/>
      <c r="J172" s="59"/>
      <c r="K172" s="59"/>
      <c r="L172" s="59"/>
      <c r="M172" s="59"/>
      <c r="N172" s="59"/>
      <c r="O172" s="59"/>
      <c r="P172" s="59"/>
      <c r="Q172" s="59"/>
      <c r="R172" s="59"/>
      <c r="S172" s="59"/>
      <c r="T172" s="59"/>
      <c r="U172" s="59"/>
      <c r="V172" s="59"/>
      <c r="W172" s="59"/>
      <c r="X172" s="59"/>
      <c r="Y172" s="59"/>
      <c r="Z172" s="59"/>
      <c r="AA172" s="59"/>
      <c r="AB172" s="59"/>
      <c r="AC172" s="59"/>
      <c r="AD172" s="59"/>
      <c r="AE172" s="59"/>
      <c r="AF172" s="59"/>
      <c r="AG172" s="59"/>
      <c r="AH172" s="59"/>
      <c r="AI172" s="59"/>
      <c r="AJ172" s="59"/>
      <c r="AK172" s="59"/>
      <c r="AL172" s="59"/>
      <c r="AM172" s="59"/>
      <c r="AN172" s="59"/>
      <c r="AO172" s="59"/>
      <c r="AP172" s="59"/>
      <c r="AQ172" s="59"/>
      <c r="AR172" s="59"/>
      <c r="AS172" s="59"/>
      <c r="AT172" s="59"/>
      <c r="AU172" s="59"/>
      <c r="AV172" s="59"/>
      <c r="AW172" s="59"/>
      <c r="AX172" s="59"/>
      <c r="AY172" s="59"/>
      <c r="AZ172" s="59"/>
      <c r="BA172" s="59"/>
      <c r="BB172" s="59"/>
      <c r="BC172" s="59"/>
      <c r="BD172" s="59"/>
      <c r="BE172" s="59"/>
      <c r="BF172" s="59"/>
      <c r="BG172" s="59"/>
      <c r="BH172" s="59"/>
      <c r="BI172" s="59"/>
      <c r="BJ172" s="59"/>
      <c r="BK172" s="59"/>
      <c r="BL172" s="59"/>
      <c r="BM172" s="59"/>
      <c r="BN172" s="59"/>
      <c r="BO172" s="59"/>
      <c r="BP172" s="59"/>
      <c r="BQ172" s="59"/>
      <c r="BR172" s="59"/>
      <c r="BS172" s="59"/>
      <c r="BT172" s="59"/>
      <c r="BU172" s="59"/>
      <c r="BV172" s="59"/>
      <c r="BW172" s="59"/>
      <c r="BX172" s="59"/>
      <c r="BY172" s="59"/>
      <c r="BZ172" s="60"/>
    </row>
    <row r="173" spans="1:78" x14ac:dyDescent="0.25">
      <c r="A173" s="196"/>
      <c r="B173" s="192"/>
      <c r="C173" s="193"/>
      <c r="D173" s="193"/>
      <c r="E173" s="194"/>
      <c r="F173" s="58"/>
      <c r="G173" s="59"/>
      <c r="H173" s="59"/>
      <c r="I173" s="59"/>
      <c r="J173" s="59"/>
      <c r="K173" s="59"/>
      <c r="L173" s="59"/>
      <c r="M173" s="59"/>
      <c r="N173" s="59"/>
      <c r="O173" s="59"/>
      <c r="P173" s="59"/>
      <c r="Q173" s="59"/>
      <c r="R173" s="59"/>
      <c r="S173" s="59"/>
      <c r="T173" s="59"/>
      <c r="U173" s="59"/>
      <c r="V173" s="59"/>
      <c r="W173" s="59"/>
      <c r="X173" s="59"/>
      <c r="Y173" s="59"/>
      <c r="Z173" s="59"/>
      <c r="AA173" s="59"/>
      <c r="AB173" s="59"/>
      <c r="AC173" s="59"/>
      <c r="AD173" s="59"/>
      <c r="AE173" s="59"/>
      <c r="AF173" s="59"/>
      <c r="AG173" s="59"/>
      <c r="AH173" s="59"/>
      <c r="AI173" s="59"/>
      <c r="AJ173" s="59"/>
      <c r="AK173" s="59"/>
      <c r="AL173" s="59"/>
      <c r="AM173" s="59"/>
      <c r="AN173" s="59"/>
      <c r="AO173" s="59"/>
      <c r="AP173" s="59"/>
      <c r="AQ173" s="59"/>
      <c r="AR173" s="59"/>
      <c r="AS173" s="59"/>
      <c r="AT173" s="59"/>
      <c r="AU173" s="59"/>
      <c r="AV173" s="59"/>
      <c r="AW173" s="59"/>
      <c r="AX173" s="59"/>
      <c r="AY173" s="59"/>
      <c r="AZ173" s="59"/>
      <c r="BA173" s="59"/>
      <c r="BB173" s="59"/>
      <c r="BC173" s="59"/>
      <c r="BD173" s="59"/>
      <c r="BE173" s="59"/>
      <c r="BF173" s="59"/>
      <c r="BG173" s="59"/>
      <c r="BH173" s="59"/>
      <c r="BI173" s="59"/>
      <c r="BJ173" s="59"/>
      <c r="BK173" s="59"/>
      <c r="BL173" s="59"/>
      <c r="BM173" s="59"/>
      <c r="BN173" s="59"/>
      <c r="BO173" s="59"/>
      <c r="BP173" s="59"/>
      <c r="BQ173" s="59"/>
      <c r="BR173" s="59"/>
      <c r="BS173" s="59"/>
      <c r="BT173" s="59"/>
      <c r="BU173" s="59"/>
      <c r="BV173" s="59"/>
      <c r="BW173" s="59"/>
      <c r="BX173" s="59"/>
      <c r="BY173" s="59"/>
      <c r="BZ173" s="60"/>
    </row>
    <row r="174" spans="1:78" x14ac:dyDescent="0.25">
      <c r="A174" s="196"/>
      <c r="B174" s="192"/>
      <c r="C174" s="193"/>
      <c r="D174" s="193"/>
      <c r="E174" s="194"/>
      <c r="F174" s="58"/>
      <c r="G174" s="59"/>
      <c r="H174" s="59"/>
      <c r="I174" s="59"/>
      <c r="J174" s="59"/>
      <c r="K174" s="59"/>
      <c r="L174" s="59"/>
      <c r="M174" s="59"/>
      <c r="N174" s="59"/>
      <c r="O174" s="59"/>
      <c r="P174" s="59"/>
      <c r="Q174" s="59"/>
      <c r="R174" s="59"/>
      <c r="S174" s="59"/>
      <c r="T174" s="59"/>
      <c r="U174" s="59"/>
      <c r="V174" s="59"/>
      <c r="W174" s="59"/>
      <c r="X174" s="59"/>
      <c r="Y174" s="59"/>
      <c r="Z174" s="59"/>
      <c r="AA174" s="59"/>
      <c r="AB174" s="59"/>
      <c r="AC174" s="59"/>
      <c r="AD174" s="59"/>
      <c r="AE174" s="59"/>
      <c r="AF174" s="59"/>
      <c r="AG174" s="59"/>
      <c r="AH174" s="59"/>
      <c r="AI174" s="59"/>
      <c r="AJ174" s="59"/>
      <c r="AK174" s="59"/>
      <c r="AL174" s="59"/>
      <c r="AM174" s="59"/>
      <c r="AN174" s="59"/>
      <c r="AO174" s="59"/>
      <c r="AP174" s="59"/>
      <c r="AQ174" s="59"/>
      <c r="AR174" s="59"/>
      <c r="AS174" s="59"/>
      <c r="AT174" s="59"/>
      <c r="AU174" s="59"/>
      <c r="AV174" s="59"/>
      <c r="AW174" s="59"/>
      <c r="AX174" s="59"/>
      <c r="AY174" s="59"/>
      <c r="AZ174" s="59"/>
      <c r="BA174" s="59"/>
      <c r="BB174" s="59"/>
      <c r="BC174" s="59"/>
      <c r="BD174" s="59"/>
      <c r="BE174" s="59"/>
      <c r="BF174" s="59"/>
      <c r="BG174" s="59"/>
      <c r="BH174" s="59"/>
      <c r="BI174" s="59"/>
      <c r="BJ174" s="59"/>
      <c r="BK174" s="59"/>
      <c r="BL174" s="59"/>
      <c r="BM174" s="59"/>
      <c r="BN174" s="59"/>
      <c r="BO174" s="59"/>
      <c r="BP174" s="59"/>
      <c r="BQ174" s="59"/>
      <c r="BR174" s="59"/>
      <c r="BS174" s="59"/>
      <c r="BT174" s="59"/>
      <c r="BU174" s="59"/>
      <c r="BV174" s="59"/>
      <c r="BW174" s="59"/>
      <c r="BX174" s="59"/>
      <c r="BY174" s="59"/>
      <c r="BZ174" s="60"/>
    </row>
    <row r="175" spans="1:78" x14ac:dyDescent="0.25">
      <c r="A175" s="196"/>
      <c r="B175" s="192"/>
      <c r="C175" s="193"/>
      <c r="D175" s="193"/>
      <c r="E175" s="194"/>
      <c r="F175" s="58"/>
      <c r="G175" s="59"/>
      <c r="H175" s="59"/>
      <c r="I175" s="59"/>
      <c r="J175" s="59"/>
      <c r="K175" s="59"/>
      <c r="L175" s="59"/>
      <c r="M175" s="59"/>
      <c r="N175" s="59"/>
      <c r="O175" s="59"/>
      <c r="P175" s="59"/>
      <c r="Q175" s="59"/>
      <c r="R175" s="59"/>
      <c r="S175" s="59"/>
      <c r="T175" s="59"/>
      <c r="U175" s="59"/>
      <c r="V175" s="59"/>
      <c r="W175" s="59"/>
      <c r="X175" s="59"/>
      <c r="Y175" s="59"/>
      <c r="Z175" s="59"/>
      <c r="AA175" s="59"/>
      <c r="AB175" s="59"/>
      <c r="AC175" s="59"/>
      <c r="AD175" s="59"/>
      <c r="AE175" s="59"/>
      <c r="AF175" s="59"/>
      <c r="AG175" s="59"/>
      <c r="AH175" s="59"/>
      <c r="AI175" s="59"/>
      <c r="AJ175" s="59"/>
      <c r="AK175" s="59"/>
      <c r="AL175" s="59"/>
      <c r="AM175" s="59"/>
      <c r="AN175" s="59"/>
      <c r="AO175" s="59"/>
      <c r="AP175" s="59"/>
      <c r="AQ175" s="59"/>
      <c r="AR175" s="59"/>
      <c r="AS175" s="59"/>
      <c r="AT175" s="59"/>
      <c r="AU175" s="59"/>
      <c r="AV175" s="59"/>
      <c r="AW175" s="59"/>
      <c r="AX175" s="59"/>
      <c r="AY175" s="59"/>
      <c r="AZ175" s="59"/>
      <c r="BA175" s="59"/>
      <c r="BB175" s="59"/>
      <c r="BC175" s="59"/>
      <c r="BD175" s="59"/>
      <c r="BE175" s="59"/>
      <c r="BF175" s="59"/>
      <c r="BG175" s="59"/>
      <c r="BH175" s="59"/>
      <c r="BI175" s="59"/>
      <c r="BJ175" s="59"/>
      <c r="BK175" s="59"/>
      <c r="BL175" s="59"/>
      <c r="BM175" s="59"/>
      <c r="BN175" s="59"/>
      <c r="BO175" s="59"/>
      <c r="BP175" s="59"/>
      <c r="BQ175" s="59"/>
      <c r="BR175" s="59"/>
      <c r="BS175" s="59"/>
      <c r="BT175" s="59"/>
      <c r="BU175" s="59"/>
      <c r="BV175" s="59"/>
      <c r="BW175" s="59"/>
      <c r="BX175" s="59"/>
      <c r="BY175" s="59"/>
      <c r="BZ175" s="60"/>
    </row>
    <row r="176" spans="1:78" x14ac:dyDescent="0.25">
      <c r="A176" s="196"/>
      <c r="B176" s="192"/>
      <c r="C176" s="193"/>
      <c r="D176" s="193"/>
      <c r="E176" s="194"/>
      <c r="F176" s="58"/>
      <c r="G176" s="59"/>
      <c r="H176" s="59"/>
      <c r="I176" s="59"/>
      <c r="J176" s="59"/>
      <c r="K176" s="59"/>
      <c r="L176" s="59"/>
      <c r="M176" s="59"/>
      <c r="N176" s="59"/>
      <c r="O176" s="59"/>
      <c r="P176" s="59"/>
      <c r="Q176" s="59"/>
      <c r="R176" s="59"/>
      <c r="S176" s="59"/>
      <c r="T176" s="59"/>
      <c r="U176" s="59"/>
      <c r="V176" s="59"/>
      <c r="W176" s="59"/>
      <c r="X176" s="59"/>
      <c r="Y176" s="59"/>
      <c r="Z176" s="59"/>
      <c r="AA176" s="59"/>
      <c r="AB176" s="59"/>
      <c r="AC176" s="59"/>
      <c r="AD176" s="59"/>
      <c r="AE176" s="59"/>
      <c r="AF176" s="59"/>
      <c r="AG176" s="59"/>
      <c r="AH176" s="59"/>
      <c r="AI176" s="59"/>
      <c r="AJ176" s="59"/>
      <c r="AK176" s="59"/>
      <c r="AL176" s="59"/>
      <c r="AM176" s="59"/>
      <c r="AN176" s="59"/>
      <c r="AO176" s="59"/>
      <c r="AP176" s="59"/>
      <c r="AQ176" s="59"/>
      <c r="AR176" s="59"/>
      <c r="AS176" s="59"/>
      <c r="AT176" s="59"/>
      <c r="AU176" s="59"/>
      <c r="AV176" s="59"/>
      <c r="AW176" s="59"/>
      <c r="AX176" s="59"/>
      <c r="AY176" s="59"/>
      <c r="AZ176" s="59"/>
      <c r="BA176" s="59"/>
      <c r="BB176" s="59"/>
      <c r="BC176" s="59"/>
      <c r="BD176" s="59"/>
      <c r="BE176" s="59"/>
      <c r="BF176" s="59"/>
      <c r="BG176" s="59"/>
      <c r="BH176" s="59"/>
      <c r="BI176" s="59"/>
      <c r="BJ176" s="59"/>
      <c r="BK176" s="59"/>
      <c r="BL176" s="59"/>
      <c r="BM176" s="59"/>
      <c r="BN176" s="59"/>
      <c r="BO176" s="59"/>
      <c r="BP176" s="59"/>
      <c r="BQ176" s="59"/>
      <c r="BR176" s="59"/>
      <c r="BS176" s="59"/>
      <c r="BT176" s="59"/>
      <c r="BU176" s="59"/>
      <c r="BV176" s="59"/>
      <c r="BW176" s="59"/>
      <c r="BX176" s="59"/>
      <c r="BY176" s="59"/>
      <c r="BZ176" s="60"/>
    </row>
    <row r="177" spans="1:78" x14ac:dyDescent="0.25">
      <c r="A177" s="196"/>
      <c r="B177" s="192"/>
      <c r="C177" s="193"/>
      <c r="D177" s="193"/>
      <c r="E177" s="194"/>
      <c r="F177" s="58"/>
      <c r="G177" s="59"/>
      <c r="H177" s="59"/>
      <c r="I177" s="59"/>
      <c r="J177" s="59"/>
      <c r="K177" s="59"/>
      <c r="L177" s="59"/>
      <c r="M177" s="59"/>
      <c r="N177" s="59"/>
      <c r="O177" s="59"/>
      <c r="P177" s="59"/>
      <c r="Q177" s="59"/>
      <c r="R177" s="59"/>
      <c r="S177" s="59"/>
      <c r="T177" s="59"/>
      <c r="U177" s="59"/>
      <c r="V177" s="59"/>
      <c r="W177" s="59"/>
      <c r="X177" s="59"/>
      <c r="Y177" s="59"/>
      <c r="Z177" s="59"/>
      <c r="AA177" s="59"/>
      <c r="AB177" s="59"/>
      <c r="AC177" s="59"/>
      <c r="AD177" s="59"/>
      <c r="AE177" s="59"/>
      <c r="AF177" s="59"/>
      <c r="AG177" s="59"/>
      <c r="AH177" s="59"/>
      <c r="AI177" s="59"/>
      <c r="AJ177" s="59"/>
      <c r="AK177" s="59"/>
      <c r="AL177" s="59"/>
      <c r="AM177" s="59"/>
      <c r="AN177" s="59"/>
      <c r="AO177" s="59"/>
      <c r="AP177" s="59"/>
      <c r="AQ177" s="59"/>
      <c r="AR177" s="59"/>
      <c r="AS177" s="59"/>
      <c r="AT177" s="59"/>
      <c r="AU177" s="59"/>
      <c r="AV177" s="59"/>
      <c r="AW177" s="59"/>
      <c r="AX177" s="59"/>
      <c r="AY177" s="59"/>
      <c r="AZ177" s="59"/>
      <c r="BA177" s="59"/>
      <c r="BB177" s="59"/>
      <c r="BC177" s="59"/>
      <c r="BD177" s="59"/>
      <c r="BE177" s="59"/>
      <c r="BF177" s="59"/>
      <c r="BG177" s="59"/>
      <c r="BH177" s="59"/>
      <c r="BI177" s="59"/>
      <c r="BJ177" s="59"/>
      <c r="BK177" s="59"/>
      <c r="BL177" s="59"/>
      <c r="BM177" s="59"/>
      <c r="BN177" s="59"/>
      <c r="BO177" s="59"/>
      <c r="BP177" s="59"/>
      <c r="BQ177" s="59"/>
      <c r="BR177" s="59"/>
      <c r="BS177" s="59"/>
      <c r="BT177" s="59"/>
      <c r="BU177" s="59"/>
      <c r="BV177" s="59"/>
      <c r="BW177" s="59"/>
      <c r="BX177" s="59"/>
      <c r="BY177" s="59"/>
      <c r="BZ177" s="60"/>
    </row>
    <row r="178" spans="1:78" x14ac:dyDescent="0.25">
      <c r="A178" s="196"/>
      <c r="B178" s="192"/>
      <c r="C178" s="193"/>
      <c r="D178" s="193"/>
      <c r="E178" s="194"/>
      <c r="F178" s="58"/>
      <c r="G178" s="59"/>
      <c r="H178" s="59"/>
      <c r="I178" s="59"/>
      <c r="J178" s="59"/>
      <c r="K178" s="59"/>
      <c r="L178" s="59"/>
      <c r="M178" s="59"/>
      <c r="N178" s="59"/>
      <c r="O178" s="59"/>
      <c r="P178" s="59"/>
      <c r="Q178" s="59"/>
      <c r="R178" s="59"/>
      <c r="S178" s="59"/>
      <c r="T178" s="59"/>
      <c r="U178" s="59"/>
      <c r="V178" s="59"/>
      <c r="W178" s="59"/>
      <c r="X178" s="59"/>
      <c r="Y178" s="59"/>
      <c r="Z178" s="59"/>
      <c r="AA178" s="59"/>
      <c r="AB178" s="59"/>
      <c r="AC178" s="59"/>
      <c r="AD178" s="59"/>
      <c r="AE178" s="59"/>
      <c r="AF178" s="59"/>
      <c r="AG178" s="59"/>
      <c r="AH178" s="59"/>
      <c r="AI178" s="59"/>
      <c r="AJ178" s="59"/>
      <c r="AK178" s="59"/>
      <c r="AL178" s="59"/>
      <c r="AM178" s="59"/>
      <c r="AN178" s="59"/>
      <c r="AO178" s="59"/>
      <c r="AP178" s="59"/>
      <c r="AQ178" s="59"/>
      <c r="AR178" s="59"/>
      <c r="AS178" s="59"/>
      <c r="AT178" s="59"/>
      <c r="AU178" s="59"/>
      <c r="AV178" s="59"/>
      <c r="AW178" s="59"/>
      <c r="AX178" s="59"/>
      <c r="AY178" s="59"/>
      <c r="AZ178" s="59"/>
      <c r="BA178" s="59"/>
      <c r="BB178" s="59"/>
      <c r="BC178" s="59"/>
      <c r="BD178" s="59"/>
      <c r="BE178" s="59"/>
      <c r="BF178" s="59"/>
      <c r="BG178" s="59"/>
      <c r="BH178" s="59"/>
      <c r="BI178" s="59"/>
      <c r="BJ178" s="59"/>
      <c r="BK178" s="59"/>
      <c r="BL178" s="59"/>
      <c r="BM178" s="59"/>
      <c r="BN178" s="59"/>
      <c r="BO178" s="59"/>
      <c r="BP178" s="59"/>
      <c r="BQ178" s="59"/>
      <c r="BR178" s="59"/>
      <c r="BS178" s="59"/>
      <c r="BT178" s="59"/>
      <c r="BU178" s="59"/>
      <c r="BV178" s="59"/>
      <c r="BW178" s="59"/>
      <c r="BX178" s="59"/>
      <c r="BY178" s="59"/>
      <c r="BZ178" s="60"/>
    </row>
    <row r="179" spans="1:78" x14ac:dyDescent="0.25">
      <c r="A179" s="196"/>
      <c r="B179" s="192"/>
      <c r="C179" s="193"/>
      <c r="D179" s="193"/>
      <c r="E179" s="194"/>
      <c r="F179" s="58"/>
      <c r="G179" s="59"/>
      <c r="H179" s="59"/>
      <c r="I179" s="59"/>
      <c r="J179" s="59"/>
      <c r="K179" s="59"/>
      <c r="L179" s="59"/>
      <c r="M179" s="59"/>
      <c r="N179" s="59"/>
      <c r="O179" s="59"/>
      <c r="P179" s="59"/>
      <c r="Q179" s="59"/>
      <c r="R179" s="59"/>
      <c r="S179" s="59"/>
      <c r="T179" s="59"/>
      <c r="U179" s="59"/>
      <c r="V179" s="59"/>
      <c r="W179" s="59"/>
      <c r="X179" s="59"/>
      <c r="Y179" s="59"/>
      <c r="Z179" s="59"/>
      <c r="AA179" s="59"/>
      <c r="AB179" s="59"/>
      <c r="AC179" s="59"/>
      <c r="AD179" s="59"/>
      <c r="AE179" s="59"/>
      <c r="AF179" s="59"/>
      <c r="AG179" s="59"/>
      <c r="AH179" s="59"/>
      <c r="AI179" s="59"/>
      <c r="AJ179" s="59"/>
      <c r="AK179" s="59"/>
      <c r="AL179" s="59"/>
      <c r="AM179" s="59"/>
      <c r="AN179" s="59"/>
      <c r="AO179" s="59"/>
      <c r="AP179" s="59"/>
      <c r="AQ179" s="59"/>
      <c r="AR179" s="59"/>
      <c r="AS179" s="59"/>
      <c r="AT179" s="59"/>
      <c r="AU179" s="59"/>
      <c r="AV179" s="59"/>
      <c r="AW179" s="59"/>
      <c r="AX179" s="59"/>
      <c r="AY179" s="59"/>
      <c r="AZ179" s="59"/>
      <c r="BA179" s="59"/>
      <c r="BB179" s="59"/>
      <c r="BC179" s="59"/>
      <c r="BD179" s="59"/>
      <c r="BE179" s="59"/>
      <c r="BF179" s="59"/>
      <c r="BG179" s="59"/>
      <c r="BH179" s="59"/>
      <c r="BI179" s="59"/>
      <c r="BJ179" s="59"/>
      <c r="BK179" s="59"/>
      <c r="BL179" s="59"/>
      <c r="BM179" s="59"/>
      <c r="BN179" s="59"/>
      <c r="BO179" s="59"/>
      <c r="BP179" s="59"/>
      <c r="BQ179" s="59"/>
      <c r="BR179" s="59"/>
      <c r="BS179" s="59"/>
      <c r="BT179" s="59"/>
      <c r="BU179" s="59"/>
      <c r="BV179" s="59"/>
      <c r="BW179" s="59"/>
      <c r="BX179" s="59"/>
      <c r="BY179" s="59"/>
      <c r="BZ179" s="60"/>
    </row>
    <row r="180" spans="1:78" x14ac:dyDescent="0.25">
      <c r="A180" s="196"/>
      <c r="B180" s="192"/>
      <c r="C180" s="193"/>
      <c r="D180" s="193"/>
      <c r="E180" s="194"/>
      <c r="F180" s="58"/>
      <c r="G180" s="59"/>
      <c r="H180" s="59"/>
      <c r="I180" s="59"/>
      <c r="J180" s="59"/>
      <c r="K180" s="59"/>
      <c r="L180" s="59"/>
      <c r="M180" s="59"/>
      <c r="N180" s="59"/>
      <c r="O180" s="59"/>
      <c r="P180" s="59"/>
      <c r="Q180" s="59"/>
      <c r="R180" s="59"/>
      <c r="S180" s="59"/>
      <c r="T180" s="59"/>
      <c r="U180" s="59"/>
      <c r="V180" s="59"/>
      <c r="W180" s="59"/>
      <c r="X180" s="59"/>
      <c r="Y180" s="59"/>
      <c r="Z180" s="59"/>
      <c r="AA180" s="59"/>
      <c r="AB180" s="59"/>
      <c r="AC180" s="59"/>
      <c r="AD180" s="59"/>
      <c r="AE180" s="59"/>
      <c r="AF180" s="59"/>
      <c r="AG180" s="59"/>
      <c r="AH180" s="59"/>
      <c r="AI180" s="59"/>
      <c r="AJ180" s="59"/>
      <c r="AK180" s="59"/>
      <c r="AL180" s="59"/>
      <c r="AM180" s="59"/>
      <c r="AN180" s="59"/>
      <c r="AO180" s="59"/>
      <c r="AP180" s="59"/>
      <c r="AQ180" s="59"/>
      <c r="AR180" s="59"/>
      <c r="AS180" s="59"/>
      <c r="AT180" s="59"/>
      <c r="AU180" s="59"/>
      <c r="AV180" s="59"/>
      <c r="AW180" s="59"/>
      <c r="AX180" s="59"/>
      <c r="AY180" s="59"/>
      <c r="AZ180" s="59"/>
      <c r="BA180" s="59"/>
      <c r="BB180" s="59"/>
      <c r="BC180" s="59"/>
      <c r="BD180" s="59"/>
      <c r="BE180" s="59"/>
      <c r="BF180" s="59"/>
      <c r="BG180" s="59"/>
      <c r="BH180" s="59"/>
      <c r="BI180" s="59"/>
      <c r="BJ180" s="59"/>
      <c r="BK180" s="59"/>
      <c r="BL180" s="59"/>
      <c r="BM180" s="59"/>
      <c r="BN180" s="59"/>
      <c r="BO180" s="59"/>
      <c r="BP180" s="59"/>
      <c r="BQ180" s="59"/>
      <c r="BR180" s="59"/>
      <c r="BS180" s="59"/>
      <c r="BT180" s="59"/>
      <c r="BU180" s="59"/>
      <c r="BV180" s="59"/>
      <c r="BW180" s="59"/>
      <c r="BX180" s="59"/>
      <c r="BY180" s="59"/>
      <c r="BZ180" s="60"/>
    </row>
    <row r="181" spans="1:78" x14ac:dyDescent="0.25">
      <c r="A181" s="196"/>
      <c r="B181" s="192"/>
      <c r="C181" s="193"/>
      <c r="D181" s="193"/>
      <c r="E181" s="194"/>
      <c r="F181" s="58"/>
      <c r="G181" s="59"/>
      <c r="H181" s="59"/>
      <c r="I181" s="59"/>
      <c r="J181" s="59"/>
      <c r="K181" s="59"/>
      <c r="L181" s="59"/>
      <c r="M181" s="59"/>
      <c r="N181" s="59"/>
      <c r="O181" s="59"/>
      <c r="P181" s="59"/>
      <c r="Q181" s="59"/>
      <c r="R181" s="59"/>
      <c r="S181" s="59"/>
      <c r="T181" s="59"/>
      <c r="U181" s="59"/>
      <c r="V181" s="59"/>
      <c r="W181" s="59"/>
      <c r="X181" s="59"/>
      <c r="Y181" s="59"/>
      <c r="Z181" s="59"/>
      <c r="AA181" s="59"/>
      <c r="AB181" s="59"/>
      <c r="AC181" s="59"/>
      <c r="AD181" s="59"/>
      <c r="AE181" s="59"/>
      <c r="AF181" s="59"/>
      <c r="AG181" s="59"/>
      <c r="AH181" s="59"/>
      <c r="AI181" s="59"/>
      <c r="AJ181" s="59"/>
      <c r="AK181" s="59"/>
      <c r="AL181" s="59"/>
      <c r="AM181" s="59"/>
      <c r="AN181" s="59"/>
      <c r="AO181" s="59"/>
      <c r="AP181" s="59"/>
      <c r="AQ181" s="59"/>
      <c r="AR181" s="59"/>
      <c r="AS181" s="59"/>
      <c r="AT181" s="59"/>
      <c r="AU181" s="59"/>
      <c r="AV181" s="59"/>
      <c r="AW181" s="59"/>
      <c r="AX181" s="59"/>
      <c r="AY181" s="59"/>
      <c r="AZ181" s="59"/>
      <c r="BA181" s="59"/>
      <c r="BB181" s="59"/>
      <c r="BC181" s="59"/>
      <c r="BD181" s="59"/>
      <c r="BE181" s="59"/>
      <c r="BF181" s="59"/>
      <c r="BG181" s="59"/>
      <c r="BH181" s="59"/>
      <c r="BI181" s="59"/>
      <c r="BJ181" s="59"/>
      <c r="BK181" s="59"/>
      <c r="BL181" s="59"/>
      <c r="BM181" s="59"/>
      <c r="BN181" s="59"/>
      <c r="BO181" s="59"/>
      <c r="BP181" s="59"/>
      <c r="BQ181" s="59"/>
      <c r="BR181" s="59"/>
      <c r="BS181" s="59"/>
      <c r="BT181" s="59"/>
      <c r="BU181" s="59"/>
      <c r="BV181" s="59"/>
      <c r="BW181" s="59"/>
      <c r="BX181" s="59"/>
      <c r="BY181" s="59"/>
      <c r="BZ181" s="60"/>
    </row>
    <row r="182" spans="1:78" x14ac:dyDescent="0.25">
      <c r="A182" s="196"/>
      <c r="B182" s="192"/>
      <c r="C182" s="193"/>
      <c r="D182" s="193"/>
      <c r="E182" s="194"/>
      <c r="F182" s="58"/>
      <c r="G182" s="59"/>
      <c r="H182" s="59"/>
      <c r="I182" s="59"/>
      <c r="J182" s="59"/>
      <c r="K182" s="59"/>
      <c r="L182" s="59"/>
      <c r="M182" s="59"/>
      <c r="N182" s="59"/>
      <c r="O182" s="59"/>
      <c r="P182" s="59"/>
      <c r="Q182" s="59"/>
      <c r="R182" s="59"/>
      <c r="S182" s="59"/>
      <c r="T182" s="59"/>
      <c r="U182" s="59"/>
      <c r="V182" s="59"/>
      <c r="W182" s="59"/>
      <c r="X182" s="59"/>
      <c r="Y182" s="59"/>
      <c r="Z182" s="59"/>
      <c r="AA182" s="59"/>
      <c r="AB182" s="59"/>
      <c r="AC182" s="59"/>
      <c r="AD182" s="59"/>
      <c r="AE182" s="59"/>
      <c r="AF182" s="59"/>
      <c r="AG182" s="59"/>
      <c r="AH182" s="59"/>
      <c r="AI182" s="59"/>
      <c r="AJ182" s="59"/>
      <c r="AK182" s="59"/>
      <c r="AL182" s="59"/>
      <c r="AM182" s="59"/>
      <c r="AN182" s="59"/>
      <c r="AO182" s="59"/>
      <c r="AP182" s="59"/>
      <c r="AQ182" s="59"/>
      <c r="AR182" s="59"/>
      <c r="AS182" s="59"/>
      <c r="AT182" s="59"/>
      <c r="AU182" s="59"/>
      <c r="AV182" s="59"/>
      <c r="AW182" s="59"/>
      <c r="AX182" s="59"/>
      <c r="AY182" s="59"/>
      <c r="AZ182" s="59"/>
      <c r="BA182" s="59"/>
      <c r="BB182" s="59"/>
      <c r="BC182" s="59"/>
      <c r="BD182" s="59"/>
      <c r="BE182" s="59"/>
      <c r="BF182" s="59"/>
      <c r="BG182" s="59"/>
      <c r="BH182" s="59"/>
      <c r="BI182" s="59"/>
      <c r="BJ182" s="59"/>
      <c r="BK182" s="59"/>
      <c r="BL182" s="59"/>
      <c r="BM182" s="59"/>
      <c r="BN182" s="59"/>
      <c r="BO182" s="59"/>
      <c r="BP182" s="59"/>
      <c r="BQ182" s="59"/>
      <c r="BR182" s="59"/>
      <c r="BS182" s="59"/>
      <c r="BT182" s="59"/>
      <c r="BU182" s="59"/>
      <c r="BV182" s="59"/>
      <c r="BW182" s="59"/>
      <c r="BX182" s="59"/>
      <c r="BY182" s="59"/>
      <c r="BZ182" s="60"/>
    </row>
    <row r="183" spans="1:78" x14ac:dyDescent="0.25">
      <c r="A183" s="196"/>
      <c r="B183" s="192"/>
      <c r="C183" s="193"/>
      <c r="D183" s="193"/>
      <c r="E183" s="194"/>
      <c r="F183" s="58"/>
      <c r="G183" s="59"/>
      <c r="H183" s="59"/>
      <c r="I183" s="59"/>
      <c r="J183" s="59"/>
      <c r="K183" s="59"/>
      <c r="L183" s="59"/>
      <c r="M183" s="59"/>
      <c r="N183" s="59"/>
      <c r="O183" s="59"/>
      <c r="P183" s="59"/>
      <c r="Q183" s="59"/>
      <c r="R183" s="59"/>
      <c r="S183" s="59"/>
      <c r="T183" s="59"/>
      <c r="U183" s="59"/>
      <c r="V183" s="59"/>
      <c r="W183" s="59"/>
      <c r="X183" s="59"/>
      <c r="Y183" s="59"/>
      <c r="Z183" s="59"/>
      <c r="AA183" s="59"/>
      <c r="AB183" s="59"/>
      <c r="AC183" s="59"/>
      <c r="AD183" s="59"/>
      <c r="AE183" s="59"/>
      <c r="AF183" s="59"/>
      <c r="AG183" s="59"/>
      <c r="AH183" s="59"/>
      <c r="AI183" s="59"/>
      <c r="AJ183" s="59"/>
      <c r="AK183" s="59"/>
      <c r="AL183" s="59"/>
      <c r="AM183" s="59"/>
      <c r="AN183" s="59"/>
      <c r="AO183" s="59"/>
      <c r="AP183" s="59"/>
      <c r="AQ183" s="59"/>
      <c r="AR183" s="59"/>
      <c r="AS183" s="59"/>
      <c r="AT183" s="59"/>
      <c r="AU183" s="59"/>
      <c r="AV183" s="59"/>
      <c r="AW183" s="59"/>
      <c r="AX183" s="59"/>
      <c r="AY183" s="59"/>
      <c r="AZ183" s="59"/>
      <c r="BA183" s="59"/>
      <c r="BB183" s="59"/>
      <c r="BC183" s="59"/>
      <c r="BD183" s="59"/>
      <c r="BE183" s="59"/>
      <c r="BF183" s="59"/>
      <c r="BG183" s="59"/>
      <c r="BH183" s="59"/>
      <c r="BI183" s="59"/>
      <c r="BJ183" s="59"/>
      <c r="BK183" s="59"/>
      <c r="BL183" s="59"/>
      <c r="BM183" s="59"/>
      <c r="BN183" s="59"/>
      <c r="BO183" s="59"/>
      <c r="BP183" s="59"/>
      <c r="BQ183" s="59"/>
      <c r="BR183" s="59"/>
      <c r="BS183" s="59"/>
      <c r="BT183" s="59"/>
      <c r="BU183" s="59"/>
      <c r="BV183" s="59"/>
      <c r="BW183" s="59"/>
      <c r="BX183" s="59"/>
      <c r="BY183" s="59"/>
      <c r="BZ183" s="60"/>
    </row>
    <row r="184" spans="1:78" x14ac:dyDescent="0.25">
      <c r="A184" s="196"/>
      <c r="B184" s="192"/>
      <c r="C184" s="193"/>
      <c r="D184" s="193"/>
      <c r="E184" s="194"/>
      <c r="F184" s="44"/>
      <c r="G184" s="45"/>
      <c r="H184" s="45"/>
      <c r="I184" s="45"/>
      <c r="J184" s="45"/>
      <c r="K184" s="45"/>
      <c r="L184" s="45"/>
      <c r="M184" s="45"/>
      <c r="N184" s="45"/>
      <c r="O184" s="45"/>
      <c r="P184" s="45"/>
      <c r="Q184" s="45"/>
      <c r="R184" s="45"/>
      <c r="S184" s="45"/>
      <c r="T184" s="45"/>
      <c r="U184" s="45"/>
      <c r="V184" s="45"/>
      <c r="W184" s="45"/>
      <c r="X184" s="45"/>
      <c r="Y184" s="45"/>
      <c r="Z184" s="45"/>
      <c r="AA184" s="45"/>
      <c r="AB184" s="45"/>
      <c r="AC184" s="45"/>
      <c r="AD184" s="45"/>
      <c r="AE184" s="45"/>
      <c r="AF184" s="45"/>
      <c r="AG184" s="45"/>
      <c r="AH184" s="45"/>
      <c r="AI184" s="45"/>
      <c r="AJ184" s="45"/>
      <c r="AK184" s="45"/>
      <c r="AL184" s="45"/>
      <c r="AM184" s="45"/>
      <c r="AN184" s="45"/>
      <c r="AO184" s="45"/>
      <c r="AP184" s="45"/>
      <c r="AQ184" s="45"/>
      <c r="AR184" s="45"/>
      <c r="AS184" s="45"/>
      <c r="AT184" s="45"/>
      <c r="AU184" s="45"/>
      <c r="AV184" s="45"/>
      <c r="AW184" s="45"/>
      <c r="AX184" s="45"/>
      <c r="AY184" s="45"/>
      <c r="AZ184" s="45"/>
      <c r="BA184" s="45"/>
      <c r="BB184" s="45"/>
      <c r="BC184" s="45"/>
      <c r="BD184" s="45"/>
      <c r="BE184" s="45"/>
      <c r="BF184" s="45"/>
      <c r="BG184" s="45"/>
      <c r="BH184" s="45"/>
      <c r="BI184" s="45"/>
      <c r="BJ184" s="45"/>
      <c r="BK184" s="45"/>
      <c r="BL184" s="45"/>
      <c r="BM184" s="45"/>
      <c r="BN184" s="45"/>
      <c r="BO184" s="45"/>
      <c r="BP184" s="45"/>
      <c r="BQ184" s="45"/>
      <c r="BR184" s="45"/>
      <c r="BS184" s="45"/>
      <c r="BT184" s="45"/>
      <c r="BU184" s="45"/>
      <c r="BV184" s="45"/>
      <c r="BW184" s="45"/>
      <c r="BX184" s="45"/>
      <c r="BY184" s="45"/>
      <c r="BZ184" s="46"/>
    </row>
    <row r="185" spans="1:78" x14ac:dyDescent="0.25">
      <c r="A185" s="197"/>
      <c r="B185" s="192"/>
      <c r="C185" s="193"/>
      <c r="D185" s="193"/>
      <c r="E185" s="194"/>
      <c r="F185" s="44"/>
      <c r="G185" s="45"/>
      <c r="H185" s="45"/>
      <c r="I185" s="45"/>
      <c r="J185" s="45"/>
      <c r="K185" s="45"/>
      <c r="L185" s="45"/>
      <c r="M185" s="45"/>
      <c r="N185" s="45"/>
      <c r="O185" s="45"/>
      <c r="P185" s="45"/>
      <c r="Q185" s="45"/>
      <c r="R185" s="45"/>
      <c r="S185" s="45"/>
      <c r="T185" s="45"/>
      <c r="U185" s="45"/>
      <c r="V185" s="45"/>
      <c r="W185" s="45"/>
      <c r="X185" s="45"/>
      <c r="Y185" s="45"/>
      <c r="Z185" s="45"/>
      <c r="AA185" s="45"/>
      <c r="AB185" s="45"/>
      <c r="AC185" s="45"/>
      <c r="AD185" s="45"/>
      <c r="AE185" s="45"/>
      <c r="AF185" s="45"/>
      <c r="AG185" s="45"/>
      <c r="AH185" s="45"/>
      <c r="AI185" s="45"/>
      <c r="AJ185" s="45"/>
      <c r="AK185" s="45"/>
      <c r="AL185" s="45"/>
      <c r="AM185" s="45"/>
      <c r="AN185" s="45"/>
      <c r="AO185" s="45"/>
      <c r="AP185" s="45"/>
      <c r="AQ185" s="45"/>
      <c r="AR185" s="45"/>
      <c r="AS185" s="45"/>
      <c r="AT185" s="45"/>
      <c r="AU185" s="45"/>
      <c r="AV185" s="45"/>
      <c r="AW185" s="45"/>
      <c r="AX185" s="45"/>
      <c r="AY185" s="45"/>
      <c r="AZ185" s="45"/>
      <c r="BA185" s="45"/>
      <c r="BB185" s="45"/>
      <c r="BC185" s="45"/>
      <c r="BD185" s="45"/>
      <c r="BE185" s="45"/>
      <c r="BF185" s="45"/>
      <c r="BG185" s="45"/>
      <c r="BH185" s="45"/>
      <c r="BI185" s="45"/>
      <c r="BJ185" s="45"/>
      <c r="BK185" s="45"/>
      <c r="BL185" s="45"/>
      <c r="BM185" s="45"/>
      <c r="BN185" s="45"/>
      <c r="BO185" s="45"/>
      <c r="BP185" s="45"/>
      <c r="BQ185" s="45"/>
      <c r="BR185" s="45"/>
      <c r="BS185" s="45"/>
      <c r="BT185" s="45"/>
      <c r="BU185" s="45"/>
      <c r="BV185" s="45"/>
      <c r="BW185" s="45"/>
      <c r="BX185" s="45"/>
      <c r="BY185" s="45"/>
      <c r="BZ185" s="46"/>
    </row>
    <row r="186" spans="1:78" x14ac:dyDescent="0.25">
      <c r="A186" s="196"/>
      <c r="B186" s="192"/>
      <c r="C186" s="193"/>
      <c r="D186" s="193"/>
      <c r="E186" s="194"/>
      <c r="F186" s="58"/>
      <c r="G186" s="59"/>
      <c r="H186" s="59"/>
      <c r="I186" s="59"/>
      <c r="J186" s="59"/>
      <c r="K186" s="59"/>
      <c r="L186" s="59"/>
      <c r="M186" s="59"/>
      <c r="N186" s="59"/>
      <c r="O186" s="59"/>
      <c r="P186" s="59"/>
      <c r="Q186" s="59"/>
      <c r="R186" s="59"/>
      <c r="S186" s="59"/>
      <c r="T186" s="59"/>
      <c r="U186" s="59"/>
      <c r="V186" s="59"/>
      <c r="W186" s="59"/>
      <c r="X186" s="59"/>
      <c r="Y186" s="59"/>
      <c r="Z186" s="59"/>
      <c r="AA186" s="59"/>
      <c r="AB186" s="59"/>
      <c r="AC186" s="59"/>
      <c r="AD186" s="59"/>
      <c r="AE186" s="59"/>
      <c r="AF186" s="59"/>
      <c r="AG186" s="59"/>
      <c r="AH186" s="59"/>
      <c r="AI186" s="59"/>
      <c r="AJ186" s="59"/>
      <c r="AK186" s="59"/>
      <c r="AL186" s="59"/>
      <c r="AM186" s="59"/>
      <c r="AN186" s="59"/>
      <c r="AO186" s="59"/>
      <c r="AP186" s="59"/>
      <c r="AQ186" s="59"/>
      <c r="AR186" s="59"/>
      <c r="AS186" s="59"/>
      <c r="AT186" s="59"/>
      <c r="AU186" s="59"/>
      <c r="AV186" s="59"/>
      <c r="AW186" s="59"/>
      <c r="AX186" s="59"/>
      <c r="AY186" s="59"/>
      <c r="AZ186" s="59"/>
      <c r="BA186" s="59"/>
      <c r="BB186" s="59"/>
      <c r="BC186" s="59"/>
      <c r="BD186" s="59"/>
      <c r="BE186" s="59"/>
      <c r="BF186" s="59"/>
      <c r="BG186" s="59"/>
      <c r="BH186" s="59"/>
      <c r="BI186" s="59"/>
      <c r="BJ186" s="59"/>
      <c r="BK186" s="59"/>
      <c r="BL186" s="59"/>
      <c r="BM186" s="59"/>
      <c r="BN186" s="59"/>
      <c r="BO186" s="59"/>
      <c r="BP186" s="59"/>
      <c r="BQ186" s="59"/>
      <c r="BR186" s="59"/>
      <c r="BS186" s="59"/>
      <c r="BT186" s="59"/>
      <c r="BU186" s="59"/>
      <c r="BV186" s="59"/>
      <c r="BW186" s="59"/>
      <c r="BX186" s="59"/>
      <c r="BY186" s="59"/>
      <c r="BZ186" s="60"/>
    </row>
    <row r="187" spans="1:78" x14ac:dyDescent="0.25">
      <c r="A187" s="196"/>
      <c r="B187" s="192"/>
      <c r="C187" s="193"/>
      <c r="D187" s="193"/>
      <c r="E187" s="194"/>
      <c r="F187" s="58"/>
      <c r="G187" s="59"/>
      <c r="H187" s="59"/>
      <c r="I187" s="59"/>
      <c r="J187" s="59"/>
      <c r="K187" s="59"/>
      <c r="L187" s="59"/>
      <c r="M187" s="59"/>
      <c r="N187" s="59"/>
      <c r="O187" s="59"/>
      <c r="P187" s="59"/>
      <c r="Q187" s="59"/>
      <c r="R187" s="59"/>
      <c r="S187" s="59"/>
      <c r="T187" s="59"/>
      <c r="U187" s="59"/>
      <c r="V187" s="59"/>
      <c r="W187" s="59"/>
      <c r="X187" s="59"/>
      <c r="Y187" s="59"/>
      <c r="Z187" s="59"/>
      <c r="AA187" s="59"/>
      <c r="AB187" s="59"/>
      <c r="AC187" s="59"/>
      <c r="AD187" s="59"/>
      <c r="AE187" s="59"/>
      <c r="AF187" s="59"/>
      <c r="AG187" s="59"/>
      <c r="AH187" s="59"/>
      <c r="AI187" s="59"/>
      <c r="AJ187" s="59"/>
      <c r="AK187" s="59"/>
      <c r="AL187" s="59"/>
      <c r="AM187" s="59"/>
      <c r="AN187" s="59"/>
      <c r="AO187" s="59"/>
      <c r="AP187" s="59"/>
      <c r="AQ187" s="59"/>
      <c r="AR187" s="59"/>
      <c r="AS187" s="59"/>
      <c r="AT187" s="59"/>
      <c r="AU187" s="59"/>
      <c r="AV187" s="59"/>
      <c r="AW187" s="59"/>
      <c r="AX187" s="59"/>
      <c r="AY187" s="59"/>
      <c r="AZ187" s="59"/>
      <c r="BA187" s="59"/>
      <c r="BB187" s="59"/>
      <c r="BC187" s="59"/>
      <c r="BD187" s="59"/>
      <c r="BE187" s="59"/>
      <c r="BF187" s="59"/>
      <c r="BG187" s="59"/>
      <c r="BH187" s="59"/>
      <c r="BI187" s="59"/>
      <c r="BJ187" s="59"/>
      <c r="BK187" s="59"/>
      <c r="BL187" s="59"/>
      <c r="BM187" s="59"/>
      <c r="BN187" s="59"/>
      <c r="BO187" s="59"/>
      <c r="BP187" s="59"/>
      <c r="BQ187" s="59"/>
      <c r="BR187" s="59"/>
      <c r="BS187" s="59"/>
      <c r="BT187" s="59"/>
      <c r="BU187" s="59"/>
      <c r="BV187" s="59"/>
      <c r="BW187" s="59"/>
      <c r="BX187" s="59"/>
      <c r="BY187" s="59"/>
      <c r="BZ187" s="60"/>
    </row>
    <row r="188" spans="1:78" x14ac:dyDescent="0.25">
      <c r="A188" s="196"/>
      <c r="B188" s="192"/>
      <c r="C188" s="193"/>
      <c r="D188" s="193"/>
      <c r="E188" s="194"/>
      <c r="F188" s="44"/>
      <c r="G188" s="45"/>
      <c r="H188" s="45"/>
      <c r="I188" s="45"/>
      <c r="J188" s="45"/>
      <c r="K188" s="45"/>
      <c r="L188" s="45"/>
      <c r="M188" s="45"/>
      <c r="N188" s="45"/>
      <c r="O188" s="45"/>
      <c r="P188" s="45"/>
      <c r="Q188" s="45"/>
      <c r="R188" s="45"/>
      <c r="S188" s="45"/>
      <c r="T188" s="45"/>
      <c r="U188" s="45"/>
      <c r="V188" s="45"/>
      <c r="W188" s="45"/>
      <c r="X188" s="45"/>
      <c r="Y188" s="45"/>
      <c r="Z188" s="45"/>
      <c r="AA188" s="45"/>
      <c r="AB188" s="45"/>
      <c r="AC188" s="45"/>
      <c r="AD188" s="45"/>
      <c r="AE188" s="45"/>
      <c r="AF188" s="45"/>
      <c r="AG188" s="45"/>
      <c r="AH188" s="45"/>
      <c r="AI188" s="45"/>
      <c r="AJ188" s="45"/>
      <c r="AK188" s="45"/>
      <c r="AL188" s="45"/>
      <c r="AM188" s="45"/>
      <c r="AN188" s="45"/>
      <c r="AO188" s="45"/>
      <c r="AP188" s="45"/>
      <c r="AQ188" s="45"/>
      <c r="AR188" s="45"/>
      <c r="AS188" s="45"/>
      <c r="AT188" s="45"/>
      <c r="AU188" s="45"/>
      <c r="AV188" s="45"/>
      <c r="AW188" s="45"/>
      <c r="AX188" s="45"/>
      <c r="AY188" s="45"/>
      <c r="AZ188" s="45"/>
      <c r="BA188" s="45"/>
      <c r="BB188" s="45"/>
      <c r="BC188" s="45"/>
      <c r="BD188" s="45"/>
      <c r="BE188" s="45"/>
      <c r="BF188" s="45"/>
      <c r="BG188" s="45"/>
      <c r="BH188" s="45"/>
      <c r="BI188" s="45"/>
      <c r="BJ188" s="45"/>
      <c r="BK188" s="45"/>
      <c r="BL188" s="45"/>
      <c r="BM188" s="45"/>
      <c r="BN188" s="45"/>
      <c r="BO188" s="45"/>
      <c r="BP188" s="45"/>
      <c r="BQ188" s="45"/>
      <c r="BR188" s="45"/>
      <c r="BS188" s="45"/>
      <c r="BT188" s="45"/>
      <c r="BU188" s="45"/>
      <c r="BV188" s="45"/>
      <c r="BW188" s="45"/>
      <c r="BX188" s="45"/>
      <c r="BY188" s="45"/>
      <c r="BZ188" s="46"/>
    </row>
    <row r="189" spans="1:78" x14ac:dyDescent="0.25">
      <c r="A189" s="196"/>
      <c r="B189" s="192"/>
      <c r="C189" s="193"/>
      <c r="D189" s="193"/>
      <c r="E189" s="194"/>
      <c r="F189" s="44"/>
      <c r="G189" s="45"/>
      <c r="H189" s="45"/>
      <c r="I189" s="45"/>
      <c r="J189" s="45"/>
      <c r="K189" s="45"/>
      <c r="L189" s="45"/>
      <c r="M189" s="45"/>
      <c r="N189" s="45"/>
      <c r="O189" s="45"/>
      <c r="P189" s="45"/>
      <c r="Q189" s="45"/>
      <c r="R189" s="45"/>
      <c r="S189" s="45"/>
      <c r="T189" s="45"/>
      <c r="U189" s="45"/>
      <c r="V189" s="45"/>
      <c r="W189" s="45"/>
      <c r="X189" s="45"/>
      <c r="Y189" s="45"/>
      <c r="Z189" s="45"/>
      <c r="AA189" s="45"/>
      <c r="AB189" s="45"/>
      <c r="AC189" s="45"/>
      <c r="AD189" s="45"/>
      <c r="AE189" s="45"/>
      <c r="AF189" s="45"/>
      <c r="AG189" s="45"/>
      <c r="AH189" s="45"/>
      <c r="AI189" s="45"/>
      <c r="AJ189" s="45"/>
      <c r="AK189" s="45"/>
      <c r="AL189" s="45"/>
      <c r="AM189" s="45"/>
      <c r="AN189" s="45"/>
      <c r="AO189" s="45"/>
      <c r="AP189" s="45"/>
      <c r="AQ189" s="45"/>
      <c r="AR189" s="45"/>
      <c r="AS189" s="45"/>
      <c r="AT189" s="45"/>
      <c r="AU189" s="45"/>
      <c r="AV189" s="45"/>
      <c r="AW189" s="45"/>
      <c r="AX189" s="45"/>
      <c r="AY189" s="45"/>
      <c r="AZ189" s="45"/>
      <c r="BA189" s="45"/>
      <c r="BB189" s="45"/>
      <c r="BC189" s="45"/>
      <c r="BD189" s="45"/>
      <c r="BE189" s="45"/>
      <c r="BF189" s="45"/>
      <c r="BG189" s="45"/>
      <c r="BH189" s="45"/>
      <c r="BI189" s="45"/>
      <c r="BJ189" s="45"/>
      <c r="BK189" s="45"/>
      <c r="BL189" s="45"/>
      <c r="BM189" s="45"/>
      <c r="BN189" s="45"/>
      <c r="BO189" s="45"/>
      <c r="BP189" s="45"/>
      <c r="BQ189" s="45"/>
      <c r="BR189" s="45"/>
      <c r="BS189" s="45"/>
      <c r="BT189" s="45"/>
      <c r="BU189" s="45"/>
      <c r="BV189" s="45"/>
      <c r="BW189" s="45"/>
      <c r="BX189" s="45"/>
      <c r="BY189" s="45"/>
      <c r="BZ189" s="46"/>
    </row>
    <row r="190" spans="1:78" x14ac:dyDescent="0.25">
      <c r="A190" s="196"/>
      <c r="B190" s="192"/>
      <c r="C190" s="193"/>
      <c r="D190" s="193"/>
      <c r="E190" s="194"/>
      <c r="F190" s="58"/>
      <c r="G190" s="59"/>
      <c r="H190" s="59"/>
      <c r="I190" s="59"/>
      <c r="J190" s="59"/>
      <c r="K190" s="59"/>
      <c r="L190" s="59"/>
      <c r="M190" s="59"/>
      <c r="N190" s="59"/>
      <c r="O190" s="59"/>
      <c r="P190" s="59"/>
      <c r="Q190" s="59"/>
      <c r="R190" s="59"/>
      <c r="S190" s="59"/>
      <c r="T190" s="59"/>
      <c r="U190" s="59"/>
      <c r="V190" s="59"/>
      <c r="W190" s="59"/>
      <c r="X190" s="59"/>
      <c r="Y190" s="59"/>
      <c r="Z190" s="59"/>
      <c r="AA190" s="59"/>
      <c r="AB190" s="59"/>
      <c r="AC190" s="59"/>
      <c r="AD190" s="59"/>
      <c r="AE190" s="59"/>
      <c r="AF190" s="59"/>
      <c r="AG190" s="59"/>
      <c r="AH190" s="59"/>
      <c r="AI190" s="59"/>
      <c r="AJ190" s="59"/>
      <c r="AK190" s="59"/>
      <c r="AL190" s="59"/>
      <c r="AM190" s="59"/>
      <c r="AN190" s="59"/>
      <c r="AO190" s="59"/>
      <c r="AP190" s="59"/>
      <c r="AQ190" s="59"/>
      <c r="AR190" s="59"/>
      <c r="AS190" s="59"/>
      <c r="AT190" s="59"/>
      <c r="AU190" s="59"/>
      <c r="AV190" s="59"/>
      <c r="AW190" s="59"/>
      <c r="AX190" s="59"/>
      <c r="AY190" s="59"/>
      <c r="AZ190" s="59"/>
      <c r="BA190" s="59"/>
      <c r="BB190" s="59"/>
      <c r="BC190" s="59"/>
      <c r="BD190" s="59"/>
      <c r="BE190" s="59"/>
      <c r="BF190" s="59"/>
      <c r="BG190" s="59"/>
      <c r="BH190" s="59"/>
      <c r="BI190" s="59"/>
      <c r="BJ190" s="59"/>
      <c r="BK190" s="59"/>
      <c r="BL190" s="59"/>
      <c r="BM190" s="59"/>
      <c r="BN190" s="59"/>
      <c r="BO190" s="59"/>
      <c r="BP190" s="59"/>
      <c r="BQ190" s="59"/>
      <c r="BR190" s="59"/>
      <c r="BS190" s="59"/>
      <c r="BT190" s="59"/>
      <c r="BU190" s="59"/>
      <c r="BV190" s="59"/>
      <c r="BW190" s="59"/>
      <c r="BX190" s="59"/>
      <c r="BY190" s="59"/>
      <c r="BZ190" s="60"/>
    </row>
    <row r="191" spans="1:78" x14ac:dyDescent="0.25">
      <c r="A191" s="196"/>
      <c r="B191" s="192"/>
      <c r="C191" s="193"/>
      <c r="D191" s="193"/>
      <c r="E191" s="194"/>
      <c r="F191" s="58"/>
      <c r="G191" s="59"/>
      <c r="H191" s="59"/>
      <c r="I191" s="59"/>
      <c r="J191" s="59"/>
      <c r="K191" s="59"/>
      <c r="L191" s="59"/>
      <c r="M191" s="59"/>
      <c r="N191" s="59"/>
      <c r="O191" s="59"/>
      <c r="P191" s="59"/>
      <c r="Q191" s="59"/>
      <c r="R191" s="59"/>
      <c r="S191" s="59"/>
      <c r="T191" s="59"/>
      <c r="U191" s="59"/>
      <c r="V191" s="59"/>
      <c r="W191" s="59"/>
      <c r="X191" s="59"/>
      <c r="Y191" s="59"/>
      <c r="Z191" s="59"/>
      <c r="AA191" s="59"/>
      <c r="AB191" s="59"/>
      <c r="AC191" s="59"/>
      <c r="AD191" s="59"/>
      <c r="AE191" s="59"/>
      <c r="AF191" s="59"/>
      <c r="AG191" s="59"/>
      <c r="AH191" s="59"/>
      <c r="AI191" s="59"/>
      <c r="AJ191" s="59"/>
      <c r="AK191" s="59"/>
      <c r="AL191" s="59"/>
      <c r="AM191" s="59"/>
      <c r="AN191" s="59"/>
      <c r="AO191" s="59"/>
      <c r="AP191" s="59"/>
      <c r="AQ191" s="59"/>
      <c r="AR191" s="59"/>
      <c r="AS191" s="59"/>
      <c r="AT191" s="59"/>
      <c r="AU191" s="59"/>
      <c r="AV191" s="59"/>
      <c r="AW191" s="59"/>
      <c r="AX191" s="59"/>
      <c r="AY191" s="59"/>
      <c r="AZ191" s="59"/>
      <c r="BA191" s="59"/>
      <c r="BB191" s="59"/>
      <c r="BC191" s="59"/>
      <c r="BD191" s="59"/>
      <c r="BE191" s="59"/>
      <c r="BF191" s="59"/>
      <c r="BG191" s="59"/>
      <c r="BH191" s="59"/>
      <c r="BI191" s="59"/>
      <c r="BJ191" s="59"/>
      <c r="BK191" s="59"/>
      <c r="BL191" s="59"/>
      <c r="BM191" s="59"/>
      <c r="BN191" s="59"/>
      <c r="BO191" s="59"/>
      <c r="BP191" s="59"/>
      <c r="BQ191" s="59"/>
      <c r="BR191" s="59"/>
      <c r="BS191" s="59"/>
      <c r="BT191" s="59"/>
      <c r="BU191" s="59"/>
      <c r="BV191" s="59"/>
      <c r="BW191" s="59"/>
      <c r="BX191" s="59"/>
      <c r="BY191" s="59"/>
      <c r="BZ191" s="60"/>
    </row>
    <row r="192" spans="1:78" x14ac:dyDescent="0.25">
      <c r="A192" s="196"/>
      <c r="B192" s="192"/>
      <c r="C192" s="193"/>
      <c r="D192" s="193"/>
      <c r="E192" s="194"/>
      <c r="F192" s="58"/>
      <c r="G192" s="59"/>
      <c r="H192" s="59"/>
      <c r="I192" s="59"/>
      <c r="J192" s="59"/>
      <c r="K192" s="59"/>
      <c r="L192" s="59"/>
      <c r="M192" s="59"/>
      <c r="N192" s="59"/>
      <c r="O192" s="59"/>
      <c r="P192" s="59"/>
      <c r="Q192" s="59"/>
      <c r="R192" s="59"/>
      <c r="S192" s="59"/>
      <c r="T192" s="59"/>
      <c r="U192" s="59"/>
      <c r="V192" s="59"/>
      <c r="W192" s="59"/>
      <c r="X192" s="59"/>
      <c r="Y192" s="59"/>
      <c r="Z192" s="59"/>
      <c r="AA192" s="59"/>
      <c r="AB192" s="59"/>
      <c r="AC192" s="59"/>
      <c r="AD192" s="59"/>
      <c r="AE192" s="59"/>
      <c r="AF192" s="59"/>
      <c r="AG192" s="59"/>
      <c r="AH192" s="59"/>
      <c r="AI192" s="59"/>
      <c r="AJ192" s="59"/>
      <c r="AK192" s="59"/>
      <c r="AL192" s="59"/>
      <c r="AM192" s="59"/>
      <c r="AN192" s="59"/>
      <c r="AO192" s="59"/>
      <c r="AP192" s="59"/>
      <c r="AQ192" s="59"/>
      <c r="AR192" s="59"/>
      <c r="AS192" s="59"/>
      <c r="AT192" s="59"/>
      <c r="AU192" s="59"/>
      <c r="AV192" s="59"/>
      <c r="AW192" s="59"/>
      <c r="AX192" s="59"/>
      <c r="AY192" s="59"/>
      <c r="AZ192" s="59"/>
      <c r="BA192" s="59"/>
      <c r="BB192" s="59"/>
      <c r="BC192" s="59"/>
      <c r="BD192" s="59"/>
      <c r="BE192" s="59"/>
      <c r="BF192" s="59"/>
      <c r="BG192" s="59"/>
      <c r="BH192" s="59"/>
      <c r="BI192" s="59"/>
      <c r="BJ192" s="59"/>
      <c r="BK192" s="59"/>
      <c r="BL192" s="59"/>
      <c r="BM192" s="59"/>
      <c r="BN192" s="59"/>
      <c r="BO192" s="59"/>
      <c r="BP192" s="59"/>
      <c r="BQ192" s="59"/>
      <c r="BR192" s="59"/>
      <c r="BS192" s="59"/>
      <c r="BT192" s="59"/>
      <c r="BU192" s="59"/>
      <c r="BV192" s="59"/>
      <c r="BW192" s="59"/>
      <c r="BX192" s="59"/>
      <c r="BY192" s="59"/>
      <c r="BZ192" s="60"/>
    </row>
    <row r="193" spans="1:78" ht="13.8" thickBot="1" x14ac:dyDescent="0.3">
      <c r="A193" s="196"/>
      <c r="B193" s="192"/>
      <c r="C193" s="193"/>
      <c r="D193" s="193"/>
      <c r="E193" s="194"/>
      <c r="F193" s="61"/>
      <c r="G193" s="62"/>
      <c r="H193" s="62"/>
      <c r="I193" s="62"/>
      <c r="J193" s="62"/>
      <c r="K193" s="62"/>
      <c r="L193" s="62"/>
      <c r="M193" s="62"/>
      <c r="N193" s="62"/>
      <c r="O193" s="62"/>
      <c r="P193" s="62"/>
      <c r="Q193" s="62"/>
      <c r="R193" s="62"/>
      <c r="S193" s="62"/>
      <c r="T193" s="62"/>
      <c r="U193" s="62"/>
      <c r="V193" s="62"/>
      <c r="W193" s="62"/>
      <c r="X193" s="62"/>
      <c r="Y193" s="62"/>
      <c r="Z193" s="62"/>
      <c r="AA193" s="62"/>
      <c r="AB193" s="62"/>
      <c r="AC193" s="62"/>
      <c r="AD193" s="62"/>
      <c r="AE193" s="62"/>
      <c r="AF193" s="62"/>
      <c r="AG193" s="62"/>
      <c r="AH193" s="62"/>
      <c r="AI193" s="62"/>
      <c r="AJ193" s="62"/>
      <c r="AK193" s="62"/>
      <c r="AL193" s="62"/>
      <c r="AM193" s="62"/>
      <c r="AN193" s="62"/>
      <c r="AO193" s="62"/>
      <c r="AP193" s="62"/>
      <c r="AQ193" s="62"/>
      <c r="AR193" s="62"/>
      <c r="AS193" s="62"/>
      <c r="AT193" s="62"/>
      <c r="AU193" s="62"/>
      <c r="AV193" s="62"/>
      <c r="AW193" s="62"/>
      <c r="AX193" s="62"/>
      <c r="AY193" s="62"/>
      <c r="AZ193" s="62"/>
      <c r="BA193" s="62"/>
      <c r="BB193" s="62"/>
      <c r="BC193" s="62"/>
      <c r="BD193" s="62"/>
      <c r="BE193" s="62"/>
      <c r="BF193" s="62"/>
      <c r="BG193" s="62"/>
      <c r="BH193" s="62"/>
      <c r="BI193" s="62"/>
      <c r="BJ193" s="62"/>
      <c r="BK193" s="62"/>
      <c r="BL193" s="62"/>
      <c r="BM193" s="62"/>
      <c r="BN193" s="62"/>
      <c r="BO193" s="62"/>
      <c r="BP193" s="62"/>
      <c r="BQ193" s="62"/>
      <c r="BR193" s="62"/>
      <c r="BS193" s="62"/>
      <c r="BT193" s="62"/>
      <c r="BU193" s="62"/>
      <c r="BV193" s="62"/>
      <c r="BW193" s="62"/>
      <c r="BX193" s="62"/>
      <c r="BY193" s="62"/>
      <c r="BZ193" s="63"/>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ColWidth="9.109375" defaultRowHeight="13.2" x14ac:dyDescent="0.25"/>
  <cols>
    <col min="1" max="1" width="57.33203125" style="117" bestFit="1" customWidth="1"/>
    <col min="2" max="2" width="20.44140625" style="117" customWidth="1"/>
    <col min="3" max="3" width="17" style="118" bestFit="1" customWidth="1"/>
    <col min="4" max="4" width="18.88671875" style="119" customWidth="1"/>
    <col min="5" max="5" width="19.6640625" style="119" customWidth="1"/>
    <col min="6" max="6" width="17.109375" style="120" customWidth="1"/>
    <col min="7" max="7" width="18.5546875" style="121" customWidth="1"/>
    <col min="8" max="8" width="14.88671875" style="120" bestFit="1" customWidth="1"/>
    <col min="9" max="9" width="15.6640625" style="120" bestFit="1" customWidth="1"/>
    <col min="10" max="10" width="22.33203125" style="120" customWidth="1"/>
    <col min="11" max="16384" width="9.109375" style="105"/>
  </cols>
  <sheetData>
    <row r="1" spans="1:10" ht="29.25" customHeight="1" thickBot="1" x14ac:dyDescent="0.3">
      <c r="A1" s="288" t="str">
        <f>'Change Log'!A1:D1</f>
        <v>Haitec LC - Rev 40</v>
      </c>
      <c r="B1" s="260"/>
      <c r="C1" s="260"/>
      <c r="D1" s="260"/>
      <c r="E1" s="260"/>
      <c r="F1" s="260"/>
      <c r="G1" s="260"/>
      <c r="H1" s="260"/>
      <c r="I1" s="260"/>
      <c r="J1" s="260"/>
    </row>
    <row r="2" spans="1:10" ht="13.8" thickBot="1" x14ac:dyDescent="0.3">
      <c r="A2" s="289" t="s">
        <v>91</v>
      </c>
      <c r="B2" s="262"/>
      <c r="C2" s="290"/>
      <c r="D2" s="290"/>
      <c r="E2" s="106"/>
      <c r="F2" s="266" t="s">
        <v>84</v>
      </c>
      <c r="G2" s="291"/>
      <c r="H2" s="291"/>
      <c r="I2" s="291"/>
      <c r="J2" s="292"/>
    </row>
    <row r="3" spans="1:10" ht="22.5" customHeight="1" thickBot="1" x14ac:dyDescent="0.3">
      <c r="A3" s="123"/>
      <c r="B3" s="123"/>
      <c r="C3" s="124"/>
      <c r="D3" s="125"/>
      <c r="E3" s="125"/>
      <c r="F3" s="126"/>
      <c r="G3" s="293" t="s">
        <v>83</v>
      </c>
      <c r="H3" s="294"/>
      <c r="I3" s="127"/>
      <c r="J3" s="126"/>
    </row>
    <row r="4" spans="1:10" ht="101.25" customHeight="1" thickBot="1" x14ac:dyDescent="0.3">
      <c r="A4" s="125" t="s">
        <v>56</v>
      </c>
      <c r="B4" s="125" t="s">
        <v>132</v>
      </c>
      <c r="C4" s="125" t="s">
        <v>57</v>
      </c>
      <c r="D4" s="125" t="s">
        <v>143</v>
      </c>
      <c r="E4" s="125" t="s">
        <v>144</v>
      </c>
      <c r="F4" s="125" t="s">
        <v>93</v>
      </c>
      <c r="G4" s="125" t="s">
        <v>53</v>
      </c>
      <c r="H4" s="128" t="s">
        <v>54</v>
      </c>
      <c r="I4" s="125" t="s">
        <v>52</v>
      </c>
      <c r="J4" s="125" t="s">
        <v>90</v>
      </c>
    </row>
    <row r="5" spans="1:10" ht="12.75" customHeight="1" x14ac:dyDescent="0.25">
      <c r="A5" s="129"/>
      <c r="B5" s="129"/>
      <c r="C5" s="130"/>
      <c r="D5" s="131"/>
      <c r="E5" s="131"/>
      <c r="F5" s="131"/>
      <c r="G5" s="129"/>
      <c r="H5" s="129"/>
      <c r="I5" s="131"/>
      <c r="J5" s="131"/>
    </row>
    <row r="6" spans="1:10" x14ac:dyDescent="0.25">
      <c r="A6" s="130"/>
      <c r="B6" s="130"/>
      <c r="C6" s="130"/>
      <c r="D6" s="132"/>
      <c r="E6" s="132"/>
      <c r="F6" s="132"/>
      <c r="G6" s="130"/>
      <c r="H6" s="130"/>
      <c r="I6" s="132"/>
      <c r="J6" s="132"/>
    </row>
    <row r="7" spans="1:10" x14ac:dyDescent="0.25">
      <c r="A7" s="130"/>
      <c r="B7" s="130"/>
      <c r="C7" s="130"/>
      <c r="D7" s="132"/>
      <c r="E7" s="132"/>
      <c r="F7" s="131"/>
      <c r="G7" s="130"/>
      <c r="H7" s="130"/>
      <c r="I7" s="132"/>
      <c r="J7" s="132"/>
    </row>
    <row r="8" spans="1:10" x14ac:dyDescent="0.25">
      <c r="A8" s="130"/>
      <c r="B8" s="130"/>
      <c r="C8" s="130"/>
      <c r="D8" s="132"/>
      <c r="E8" s="132"/>
      <c r="F8" s="131"/>
      <c r="G8" s="130"/>
      <c r="H8" s="130"/>
      <c r="I8" s="132"/>
      <c r="J8" s="132"/>
    </row>
    <row r="9" spans="1:10" x14ac:dyDescent="0.25">
      <c r="A9" s="130"/>
      <c r="B9" s="130"/>
      <c r="C9" s="130"/>
      <c r="D9" s="132"/>
      <c r="E9" s="132"/>
      <c r="F9" s="132"/>
      <c r="G9" s="130"/>
      <c r="H9" s="130"/>
      <c r="I9" s="132"/>
      <c r="J9" s="132"/>
    </row>
    <row r="10" spans="1:10" x14ac:dyDescent="0.25">
      <c r="A10" s="130"/>
      <c r="B10" s="130"/>
      <c r="C10" s="130"/>
      <c r="D10" s="132"/>
      <c r="E10" s="132"/>
      <c r="F10" s="131"/>
      <c r="G10" s="130"/>
      <c r="H10" s="130"/>
      <c r="I10" s="132"/>
      <c r="J10" s="132"/>
    </row>
    <row r="11" spans="1:10" ht="12.75" customHeight="1" x14ac:dyDescent="0.25">
      <c r="A11" s="129"/>
      <c r="B11" s="129"/>
      <c r="C11" s="130"/>
      <c r="D11" s="132"/>
      <c r="E11" s="131"/>
      <c r="F11" s="131"/>
      <c r="G11" s="129"/>
      <c r="H11" s="129"/>
      <c r="I11" s="131"/>
      <c r="J11" s="131"/>
    </row>
    <row r="12" spans="1:10" ht="12.75" customHeight="1" x14ac:dyDescent="0.25">
      <c r="A12" s="130"/>
      <c r="B12" s="130"/>
      <c r="C12" s="130"/>
      <c r="D12" s="132"/>
      <c r="E12" s="132"/>
      <c r="F12" s="132"/>
      <c r="G12" s="130"/>
      <c r="H12" s="130"/>
      <c r="I12" s="132"/>
      <c r="J12" s="132"/>
    </row>
    <row r="13" spans="1:10" ht="12.75" customHeight="1" x14ac:dyDescent="0.25">
      <c r="A13" s="130"/>
      <c r="B13" s="130"/>
      <c r="C13" s="130"/>
      <c r="D13" s="132"/>
      <c r="E13" s="132"/>
      <c r="F13" s="131"/>
      <c r="G13" s="130"/>
      <c r="H13" s="130"/>
      <c r="I13" s="132"/>
      <c r="J13" s="132"/>
    </row>
    <row r="14" spans="1:10" x14ac:dyDescent="0.25">
      <c r="A14" s="130"/>
      <c r="B14" s="130"/>
      <c r="C14" s="130"/>
      <c r="D14" s="132"/>
      <c r="E14" s="132"/>
      <c r="F14" s="131"/>
      <c r="G14" s="130"/>
      <c r="H14" s="130"/>
      <c r="I14" s="132"/>
      <c r="J14" s="132"/>
    </row>
    <row r="15" spans="1:10" x14ac:dyDescent="0.25">
      <c r="A15" s="130"/>
      <c r="B15" s="130"/>
      <c r="C15" s="130"/>
      <c r="D15" s="132"/>
      <c r="E15" s="132"/>
      <c r="F15" s="132"/>
      <c r="G15" s="130"/>
      <c r="H15" s="130"/>
      <c r="I15" s="132"/>
      <c r="J15" s="132"/>
    </row>
    <row r="16" spans="1:10" x14ac:dyDescent="0.25">
      <c r="A16" s="130"/>
      <c r="B16" s="130"/>
      <c r="C16" s="130"/>
      <c r="D16" s="132"/>
      <c r="E16" s="132"/>
      <c r="F16" s="131"/>
      <c r="G16" s="130"/>
      <c r="H16" s="130"/>
      <c r="I16" s="132"/>
      <c r="J16" s="132"/>
    </row>
    <row r="17" spans="1:10" ht="12.75" customHeight="1" x14ac:dyDescent="0.25">
      <c r="A17" s="130"/>
      <c r="B17" s="130"/>
      <c r="C17" s="130"/>
      <c r="D17" s="132"/>
      <c r="E17" s="132"/>
      <c r="F17" s="131"/>
      <c r="G17" s="130"/>
      <c r="H17" s="130"/>
      <c r="I17" s="132"/>
      <c r="J17" s="132"/>
    </row>
    <row r="18" spans="1:10" ht="12.75" customHeight="1" x14ac:dyDescent="0.25">
      <c r="A18" s="130"/>
      <c r="B18" s="130"/>
      <c r="C18" s="130"/>
      <c r="D18" s="132"/>
      <c r="E18" s="132"/>
      <c r="F18" s="132"/>
      <c r="G18" s="130"/>
      <c r="H18" s="130"/>
      <c r="I18" s="132"/>
      <c r="J18" s="132"/>
    </row>
    <row r="19" spans="1:10" x14ac:dyDescent="0.25">
      <c r="A19" s="130"/>
      <c r="B19" s="130"/>
      <c r="C19" s="130"/>
      <c r="D19" s="132"/>
      <c r="E19" s="132"/>
      <c r="F19" s="131"/>
      <c r="G19" s="130"/>
      <c r="H19" s="130"/>
      <c r="I19" s="132"/>
      <c r="J19" s="132"/>
    </row>
    <row r="20" spans="1:10" x14ac:dyDescent="0.25">
      <c r="A20" s="130"/>
      <c r="B20" s="130"/>
      <c r="C20" s="130"/>
      <c r="D20" s="132"/>
      <c r="E20" s="132"/>
      <c r="F20" s="131"/>
      <c r="G20" s="130"/>
      <c r="H20" s="130"/>
      <c r="I20" s="132"/>
      <c r="J20" s="132"/>
    </row>
    <row r="21" spans="1:10" x14ac:dyDescent="0.25">
      <c r="A21" s="130"/>
      <c r="B21" s="130"/>
      <c r="C21" s="130"/>
      <c r="D21" s="132"/>
      <c r="E21" s="132"/>
      <c r="F21" s="132"/>
      <c r="G21" s="130"/>
      <c r="H21" s="130"/>
      <c r="I21" s="132"/>
      <c r="J21" s="132"/>
    </row>
    <row r="22" spans="1:10" ht="12.75" customHeight="1" x14ac:dyDescent="0.25">
      <c r="A22" s="130"/>
      <c r="B22" s="130"/>
      <c r="C22" s="130"/>
      <c r="D22" s="132"/>
      <c r="E22" s="132"/>
      <c r="F22" s="131"/>
      <c r="G22" s="130"/>
      <c r="H22" s="130"/>
      <c r="I22" s="132"/>
      <c r="J22" s="132"/>
    </row>
    <row r="23" spans="1:10" ht="12.75" customHeight="1" x14ac:dyDescent="0.25">
      <c r="A23" s="130"/>
      <c r="B23" s="130"/>
      <c r="C23" s="130"/>
      <c r="D23" s="132"/>
      <c r="E23" s="132"/>
      <c r="F23" s="131"/>
      <c r="G23" s="130"/>
      <c r="H23" s="130"/>
      <c r="I23" s="132"/>
      <c r="J23" s="132"/>
    </row>
    <row r="24" spans="1:10" x14ac:dyDescent="0.25">
      <c r="A24" s="130"/>
      <c r="B24" s="130"/>
      <c r="C24" s="130"/>
      <c r="D24" s="132"/>
      <c r="E24" s="132"/>
      <c r="F24" s="132"/>
      <c r="G24" s="130"/>
      <c r="H24" s="130"/>
      <c r="I24" s="132"/>
      <c r="J24" s="132"/>
    </row>
    <row r="25" spans="1:10" ht="12.75" customHeight="1" x14ac:dyDescent="0.25">
      <c r="A25" s="130"/>
      <c r="B25" s="130"/>
      <c r="C25" s="130"/>
      <c r="D25" s="132"/>
      <c r="E25" s="132"/>
      <c r="F25" s="131"/>
      <c r="G25" s="130"/>
      <c r="H25" s="130"/>
      <c r="I25" s="132"/>
      <c r="J25" s="132"/>
    </row>
    <row r="26" spans="1:10" ht="12.75" customHeight="1" x14ac:dyDescent="0.25">
      <c r="A26" s="130"/>
      <c r="B26" s="130"/>
      <c r="C26" s="130"/>
      <c r="D26" s="132"/>
      <c r="E26" s="132"/>
      <c r="F26" s="131"/>
      <c r="G26" s="130"/>
      <c r="H26" s="130"/>
      <c r="I26" s="132"/>
      <c r="J26" s="132"/>
    </row>
    <row r="27" spans="1:10" x14ac:dyDescent="0.25">
      <c r="A27" s="130"/>
      <c r="B27" s="130"/>
      <c r="C27" s="130"/>
      <c r="D27" s="132"/>
      <c r="E27" s="132"/>
      <c r="F27" s="132"/>
      <c r="G27" s="130"/>
      <c r="H27" s="130"/>
      <c r="I27" s="132"/>
      <c r="J27" s="132"/>
    </row>
    <row r="28" spans="1:10" x14ac:dyDescent="0.25">
      <c r="A28" s="130"/>
      <c r="B28" s="130"/>
      <c r="C28" s="130"/>
      <c r="D28" s="132"/>
      <c r="E28" s="132"/>
      <c r="F28" s="131"/>
      <c r="G28" s="130"/>
      <c r="H28" s="130"/>
      <c r="I28" s="132"/>
      <c r="J28" s="132"/>
    </row>
    <row r="29" spans="1:10" x14ac:dyDescent="0.25">
      <c r="A29" s="130"/>
      <c r="B29" s="130"/>
      <c r="C29" s="130"/>
      <c r="D29" s="132"/>
      <c r="E29" s="132"/>
      <c r="F29" s="131"/>
      <c r="G29" s="130"/>
      <c r="H29" s="130"/>
      <c r="I29" s="132"/>
      <c r="J29" s="132"/>
    </row>
    <row r="30" spans="1:10" x14ac:dyDescent="0.25">
      <c r="A30" s="130"/>
      <c r="B30" s="130"/>
      <c r="C30" s="130"/>
      <c r="D30" s="132"/>
      <c r="E30" s="132"/>
      <c r="F30" s="132"/>
      <c r="G30" s="130"/>
      <c r="H30" s="130"/>
      <c r="I30" s="132"/>
      <c r="J30" s="132"/>
    </row>
    <row r="31" spans="1:10" x14ac:dyDescent="0.25">
      <c r="A31" s="130"/>
      <c r="B31" s="130"/>
      <c r="C31" s="130"/>
      <c r="D31" s="132"/>
      <c r="E31" s="132"/>
      <c r="F31" s="131"/>
      <c r="G31" s="130"/>
      <c r="H31" s="130"/>
      <c r="I31" s="132"/>
      <c r="J31" s="132"/>
    </row>
    <row r="32" spans="1:10" x14ac:dyDescent="0.25">
      <c r="A32" s="130"/>
      <c r="B32" s="130"/>
      <c r="C32" s="130"/>
      <c r="D32" s="132"/>
      <c r="E32" s="132"/>
      <c r="F32" s="131"/>
      <c r="G32" s="130"/>
      <c r="H32" s="130"/>
      <c r="I32" s="132"/>
      <c r="J32" s="132"/>
    </row>
    <row r="33" spans="1:10" x14ac:dyDescent="0.25">
      <c r="A33" s="130"/>
      <c r="B33" s="130"/>
      <c r="C33" s="130"/>
      <c r="D33" s="132"/>
      <c r="E33" s="132"/>
      <c r="F33" s="132"/>
      <c r="G33" s="130"/>
      <c r="H33" s="130"/>
      <c r="I33" s="132"/>
      <c r="J33" s="132"/>
    </row>
    <row r="34" spans="1:10" ht="12.75" customHeight="1" x14ac:dyDescent="0.25">
      <c r="A34" s="130"/>
      <c r="B34" s="130"/>
      <c r="C34" s="130"/>
      <c r="D34" s="132"/>
      <c r="E34" s="132"/>
      <c r="F34" s="131"/>
      <c r="G34" s="130"/>
      <c r="H34" s="130"/>
      <c r="I34" s="132"/>
      <c r="J34" s="132"/>
    </row>
    <row r="35" spans="1:10" x14ac:dyDescent="0.25">
      <c r="A35" s="130"/>
      <c r="B35" s="130"/>
      <c r="C35" s="130"/>
      <c r="D35" s="132"/>
      <c r="E35" s="132"/>
      <c r="F35" s="131"/>
      <c r="G35" s="130"/>
      <c r="H35" s="130"/>
      <c r="I35" s="132"/>
      <c r="J35" s="132"/>
    </row>
    <row r="36" spans="1:10" x14ac:dyDescent="0.25">
      <c r="A36" s="130"/>
      <c r="B36" s="130"/>
      <c r="C36" s="130"/>
      <c r="D36" s="132"/>
      <c r="E36" s="132"/>
      <c r="F36" s="132"/>
      <c r="G36" s="130"/>
      <c r="H36" s="130"/>
      <c r="I36" s="132"/>
      <c r="J36" s="132"/>
    </row>
    <row r="37" spans="1:10" x14ac:dyDescent="0.25">
      <c r="A37" s="130"/>
      <c r="B37" s="130"/>
      <c r="C37" s="130"/>
      <c r="D37" s="132"/>
      <c r="E37" s="132"/>
      <c r="F37" s="131"/>
      <c r="G37" s="130"/>
      <c r="H37" s="130"/>
      <c r="I37" s="132"/>
      <c r="J37" s="132"/>
    </row>
    <row r="38" spans="1:10" x14ac:dyDescent="0.25">
      <c r="A38" s="130"/>
      <c r="B38" s="130"/>
      <c r="C38" s="130"/>
      <c r="D38" s="132"/>
      <c r="E38" s="132"/>
      <c r="F38" s="131"/>
      <c r="G38" s="130"/>
      <c r="H38" s="130"/>
      <c r="I38" s="132"/>
      <c r="J38" s="132"/>
    </row>
    <row r="39" spans="1:10" x14ac:dyDescent="0.25">
      <c r="A39" s="130"/>
      <c r="B39" s="130"/>
      <c r="C39" s="130"/>
      <c r="D39" s="132"/>
      <c r="E39" s="132"/>
      <c r="F39" s="132"/>
      <c r="G39" s="130"/>
      <c r="H39" s="130"/>
      <c r="I39" s="132"/>
      <c r="J39" s="132"/>
    </row>
    <row r="40" spans="1:10" x14ac:dyDescent="0.25">
      <c r="A40" s="130"/>
      <c r="B40" s="130"/>
      <c r="C40" s="130"/>
      <c r="D40" s="132"/>
      <c r="E40" s="132"/>
      <c r="F40" s="131"/>
      <c r="G40" s="130"/>
      <c r="H40" s="130"/>
      <c r="I40" s="132"/>
      <c r="J40" s="132"/>
    </row>
    <row r="41" spans="1:10" ht="12.75" customHeight="1" x14ac:dyDescent="0.25">
      <c r="A41" s="130"/>
      <c r="B41" s="130"/>
      <c r="C41" s="130"/>
      <c r="D41" s="132"/>
      <c r="E41" s="132"/>
      <c r="F41" s="131"/>
      <c r="G41" s="130"/>
      <c r="H41" s="130"/>
      <c r="I41" s="132"/>
      <c r="J41" s="132"/>
    </row>
    <row r="42" spans="1:10" ht="12.75" customHeight="1" x14ac:dyDescent="0.25">
      <c r="A42" s="130"/>
      <c r="B42" s="130"/>
      <c r="C42" s="130"/>
      <c r="D42" s="132"/>
      <c r="E42" s="132"/>
      <c r="F42" s="132"/>
      <c r="G42" s="130"/>
      <c r="H42" s="130"/>
      <c r="I42" s="132"/>
      <c r="J42" s="132"/>
    </row>
    <row r="43" spans="1:10" ht="12.75" customHeight="1" x14ac:dyDescent="0.25">
      <c r="A43" s="130"/>
      <c r="B43" s="130"/>
      <c r="C43" s="130"/>
      <c r="D43" s="132"/>
      <c r="E43" s="132"/>
      <c r="F43" s="131"/>
      <c r="G43" s="130"/>
      <c r="H43" s="130"/>
      <c r="I43" s="132"/>
      <c r="J43" s="132"/>
    </row>
    <row r="44" spans="1:10" ht="12.75" customHeight="1" x14ac:dyDescent="0.25">
      <c r="A44" s="130"/>
      <c r="B44" s="130"/>
      <c r="C44" s="130"/>
      <c r="D44" s="132"/>
      <c r="E44" s="132"/>
      <c r="F44" s="131"/>
      <c r="G44" s="130"/>
      <c r="H44" s="130"/>
      <c r="I44" s="132"/>
      <c r="J44" s="132"/>
    </row>
    <row r="45" spans="1:10" ht="12.75" customHeight="1" x14ac:dyDescent="0.25">
      <c r="A45" s="130"/>
      <c r="B45" s="130"/>
      <c r="C45" s="130"/>
      <c r="D45" s="132"/>
      <c r="E45" s="132"/>
      <c r="F45" s="132"/>
      <c r="G45" s="130"/>
      <c r="H45" s="130"/>
      <c r="I45" s="132"/>
      <c r="J45" s="132"/>
    </row>
    <row r="46" spans="1:10" x14ac:dyDescent="0.25">
      <c r="A46" s="130"/>
      <c r="B46" s="130"/>
      <c r="C46" s="130"/>
      <c r="D46" s="132"/>
      <c r="E46" s="132"/>
      <c r="F46" s="131"/>
      <c r="G46" s="130"/>
      <c r="H46" s="130"/>
      <c r="I46" s="132"/>
      <c r="J46" s="132"/>
    </row>
    <row r="47" spans="1:10" x14ac:dyDescent="0.25">
      <c r="A47" s="130"/>
      <c r="B47" s="130"/>
      <c r="C47" s="130"/>
      <c r="D47" s="132"/>
      <c r="E47" s="132"/>
      <c r="F47" s="131"/>
      <c r="G47" s="130"/>
      <c r="H47" s="130"/>
      <c r="I47" s="132"/>
      <c r="J47" s="132"/>
    </row>
    <row r="48" spans="1:10" x14ac:dyDescent="0.25">
      <c r="A48" s="130"/>
      <c r="B48" s="130"/>
      <c r="C48" s="130"/>
      <c r="D48" s="132"/>
      <c r="E48" s="132"/>
      <c r="F48" s="132"/>
      <c r="G48" s="130"/>
      <c r="H48" s="130"/>
      <c r="I48" s="132"/>
      <c r="J48" s="132"/>
    </row>
    <row r="49" spans="1:10" x14ac:dyDescent="0.25">
      <c r="A49" s="130"/>
      <c r="B49" s="130"/>
      <c r="C49" s="130"/>
      <c r="D49" s="132"/>
      <c r="E49" s="132"/>
      <c r="F49" s="131"/>
      <c r="G49" s="130"/>
      <c r="H49" s="130"/>
      <c r="I49" s="132"/>
      <c r="J49" s="132"/>
    </row>
    <row r="50" spans="1:10" x14ac:dyDescent="0.25">
      <c r="A50" s="130"/>
      <c r="B50" s="130"/>
      <c r="C50" s="130"/>
      <c r="D50" s="132"/>
      <c r="E50" s="132"/>
      <c r="F50" s="131"/>
      <c r="G50" s="130"/>
      <c r="H50" s="130"/>
      <c r="I50" s="132"/>
      <c r="J50" s="132"/>
    </row>
    <row r="51" spans="1:10" x14ac:dyDescent="0.25">
      <c r="A51" s="130"/>
      <c r="B51" s="130"/>
      <c r="C51" s="130"/>
      <c r="D51" s="132"/>
      <c r="E51" s="132"/>
      <c r="F51" s="132"/>
      <c r="G51" s="130"/>
      <c r="H51" s="130"/>
      <c r="I51" s="132"/>
      <c r="J51" s="132"/>
    </row>
    <row r="52" spans="1:10" x14ac:dyDescent="0.25">
      <c r="A52" s="130"/>
      <c r="B52" s="130"/>
      <c r="C52" s="130"/>
      <c r="D52" s="132"/>
      <c r="E52" s="132"/>
      <c r="F52" s="131"/>
      <c r="G52" s="130"/>
      <c r="H52" s="130"/>
      <c r="I52" s="132"/>
      <c r="J52" s="132"/>
    </row>
    <row r="53" spans="1:10" x14ac:dyDescent="0.25">
      <c r="A53" s="130"/>
      <c r="B53" s="130"/>
      <c r="C53" s="130"/>
      <c r="D53" s="132"/>
      <c r="E53" s="132"/>
      <c r="F53" s="131"/>
      <c r="G53" s="130"/>
      <c r="H53" s="130"/>
      <c r="I53" s="132"/>
      <c r="J53" s="132"/>
    </row>
    <row r="54" spans="1:10" x14ac:dyDescent="0.25">
      <c r="A54" s="130"/>
      <c r="B54" s="130"/>
      <c r="C54" s="130"/>
      <c r="D54" s="132"/>
      <c r="E54" s="132"/>
      <c r="F54" s="132"/>
      <c r="G54" s="130"/>
      <c r="H54" s="130"/>
      <c r="I54" s="132"/>
      <c r="J54" s="132"/>
    </row>
    <row r="55" spans="1:10" ht="12.75" customHeight="1" x14ac:dyDescent="0.25">
      <c r="A55" s="130"/>
      <c r="B55" s="130"/>
      <c r="C55" s="130"/>
      <c r="D55" s="132"/>
      <c r="E55" s="132"/>
      <c r="F55" s="131"/>
      <c r="G55" s="130"/>
      <c r="H55" s="130"/>
      <c r="I55" s="132"/>
      <c r="J55" s="132"/>
    </row>
    <row r="56" spans="1:10" ht="12.75" customHeight="1" x14ac:dyDescent="0.25">
      <c r="A56" s="130"/>
      <c r="B56" s="130"/>
      <c r="C56" s="130"/>
      <c r="D56" s="132"/>
      <c r="E56" s="132"/>
      <c r="F56" s="131"/>
      <c r="G56" s="130"/>
      <c r="H56" s="130"/>
      <c r="I56" s="132"/>
      <c r="J56" s="132"/>
    </row>
    <row r="57" spans="1:10" ht="12.75" customHeight="1" x14ac:dyDescent="0.25">
      <c r="A57" s="130"/>
      <c r="B57" s="130"/>
      <c r="C57" s="130"/>
      <c r="D57" s="132"/>
      <c r="E57" s="132"/>
      <c r="F57" s="132"/>
      <c r="G57" s="130"/>
      <c r="H57" s="130"/>
      <c r="I57" s="132"/>
      <c r="J57" s="132"/>
    </row>
    <row r="58" spans="1:10" ht="12.75" customHeight="1" x14ac:dyDescent="0.25">
      <c r="A58" s="130"/>
      <c r="B58" s="130"/>
      <c r="C58" s="130"/>
      <c r="D58" s="132"/>
      <c r="E58" s="132"/>
      <c r="F58" s="131"/>
      <c r="G58" s="130"/>
      <c r="H58" s="130"/>
      <c r="I58" s="132"/>
      <c r="J58" s="132"/>
    </row>
    <row r="59" spans="1:10" ht="12.75" customHeight="1" x14ac:dyDescent="0.25">
      <c r="A59" s="130"/>
      <c r="B59" s="130"/>
      <c r="C59" s="130"/>
      <c r="D59" s="132"/>
      <c r="E59" s="132"/>
      <c r="F59" s="131"/>
      <c r="G59" s="130"/>
      <c r="H59" s="130"/>
      <c r="I59" s="132"/>
      <c r="J59" s="132"/>
    </row>
    <row r="60" spans="1:10" ht="12.75" customHeight="1" x14ac:dyDescent="0.25">
      <c r="A60" s="130"/>
      <c r="B60" s="130"/>
      <c r="C60" s="130"/>
      <c r="D60" s="132"/>
      <c r="E60" s="132"/>
      <c r="F60" s="132"/>
      <c r="G60" s="130"/>
      <c r="H60" s="130"/>
      <c r="I60" s="132"/>
      <c r="J60" s="132"/>
    </row>
    <row r="61" spans="1:10" ht="12.75" customHeight="1" x14ac:dyDescent="0.25">
      <c r="A61" s="130"/>
      <c r="B61" s="130"/>
      <c r="C61" s="130"/>
      <c r="D61" s="132"/>
      <c r="E61" s="132"/>
      <c r="F61" s="131"/>
      <c r="G61" s="130"/>
      <c r="H61" s="130"/>
      <c r="I61" s="132"/>
      <c r="J61" s="132"/>
    </row>
    <row r="62" spans="1:10" ht="12.75" customHeight="1" x14ac:dyDescent="0.25">
      <c r="A62" s="130"/>
      <c r="B62" s="130"/>
      <c r="C62" s="130"/>
      <c r="D62" s="132"/>
      <c r="E62" s="132"/>
      <c r="F62" s="131"/>
      <c r="G62" s="130"/>
      <c r="H62" s="130"/>
      <c r="I62" s="132"/>
      <c r="J62" s="132"/>
    </row>
    <row r="63" spans="1:10" ht="12.75" customHeight="1" x14ac:dyDescent="0.25">
      <c r="A63" s="130"/>
      <c r="B63" s="130"/>
      <c r="C63" s="130"/>
      <c r="D63" s="132"/>
      <c r="E63" s="132"/>
      <c r="F63" s="132"/>
      <c r="G63" s="130"/>
      <c r="H63" s="130"/>
      <c r="I63" s="132"/>
      <c r="J63" s="132"/>
    </row>
    <row r="64" spans="1:10" ht="12.75" customHeight="1" x14ac:dyDescent="0.25">
      <c r="A64" s="130"/>
      <c r="B64" s="130"/>
      <c r="C64" s="130"/>
      <c r="D64" s="132"/>
      <c r="E64" s="132"/>
      <c r="F64" s="131"/>
      <c r="G64" s="130"/>
      <c r="H64" s="130"/>
      <c r="I64" s="132"/>
      <c r="J64" s="132"/>
    </row>
    <row r="65" spans="1:10" x14ac:dyDescent="0.25">
      <c r="A65" s="130"/>
      <c r="B65" s="130"/>
      <c r="C65" s="130"/>
      <c r="D65" s="132"/>
      <c r="E65" s="132"/>
      <c r="F65" s="131"/>
      <c r="G65" s="130"/>
      <c r="H65" s="130"/>
      <c r="I65" s="132"/>
      <c r="J65" s="132"/>
    </row>
    <row r="66" spans="1:10" ht="12.75" customHeight="1" x14ac:dyDescent="0.25">
      <c r="A66" s="130"/>
      <c r="B66" s="130"/>
      <c r="C66" s="130"/>
      <c r="D66" s="132"/>
      <c r="E66" s="132"/>
      <c r="F66" s="132"/>
      <c r="G66" s="130"/>
      <c r="H66" s="130"/>
      <c r="I66" s="132"/>
      <c r="J66" s="132"/>
    </row>
    <row r="67" spans="1:10" ht="12.75" customHeight="1" x14ac:dyDescent="0.25">
      <c r="A67" s="130"/>
      <c r="B67" s="130"/>
      <c r="C67" s="130"/>
      <c r="D67" s="132"/>
      <c r="E67" s="132"/>
      <c r="F67" s="131"/>
      <c r="G67" s="130"/>
      <c r="H67" s="130"/>
      <c r="I67" s="132"/>
      <c r="J67" s="132"/>
    </row>
    <row r="68" spans="1:10" x14ac:dyDescent="0.25">
      <c r="A68" s="130"/>
      <c r="B68" s="130"/>
      <c r="C68" s="130"/>
      <c r="D68" s="132"/>
      <c r="E68" s="132"/>
      <c r="F68" s="131"/>
      <c r="G68" s="130"/>
      <c r="H68" s="130"/>
      <c r="I68" s="132"/>
      <c r="J68" s="132"/>
    </row>
    <row r="69" spans="1:10" x14ac:dyDescent="0.25">
      <c r="A69" s="130"/>
      <c r="B69" s="130"/>
      <c r="C69" s="130"/>
      <c r="D69" s="132"/>
      <c r="E69" s="132"/>
      <c r="F69" s="132"/>
      <c r="G69" s="130"/>
      <c r="H69" s="130"/>
      <c r="I69" s="132"/>
      <c r="J69" s="132"/>
    </row>
    <row r="70" spans="1:10" x14ac:dyDescent="0.25">
      <c r="A70" s="130"/>
      <c r="B70" s="130"/>
      <c r="C70" s="130"/>
      <c r="D70" s="132"/>
      <c r="E70" s="132"/>
      <c r="F70" s="131"/>
      <c r="G70" s="130"/>
      <c r="H70" s="130"/>
      <c r="I70" s="132"/>
      <c r="J70" s="132"/>
    </row>
    <row r="71" spans="1:10" ht="12.75" customHeight="1" x14ac:dyDescent="0.25">
      <c r="A71" s="130"/>
      <c r="B71" s="130"/>
      <c r="C71" s="130"/>
      <c r="D71" s="132"/>
      <c r="E71" s="132"/>
      <c r="F71" s="131"/>
      <c r="G71" s="130"/>
      <c r="H71" s="130"/>
      <c r="I71" s="132"/>
      <c r="J71" s="132"/>
    </row>
    <row r="72" spans="1:10" x14ac:dyDescent="0.25">
      <c r="A72" s="130"/>
      <c r="B72" s="130"/>
      <c r="C72" s="130"/>
      <c r="D72" s="132"/>
      <c r="E72" s="132"/>
      <c r="F72" s="132"/>
      <c r="G72" s="130"/>
      <c r="H72" s="130"/>
      <c r="I72" s="132"/>
      <c r="J72" s="132"/>
    </row>
    <row r="73" spans="1:10" x14ac:dyDescent="0.25">
      <c r="A73" s="130"/>
      <c r="B73" s="130"/>
      <c r="C73" s="130"/>
      <c r="D73" s="132"/>
      <c r="E73" s="132"/>
      <c r="F73" s="131"/>
      <c r="G73" s="130"/>
      <c r="H73" s="130"/>
      <c r="I73" s="132"/>
      <c r="J73" s="132"/>
    </row>
    <row r="74" spans="1:10" x14ac:dyDescent="0.25">
      <c r="A74" s="130"/>
      <c r="B74" s="130"/>
      <c r="C74" s="130"/>
      <c r="D74" s="132"/>
      <c r="E74" s="132"/>
      <c r="F74" s="131"/>
      <c r="G74" s="130"/>
      <c r="H74" s="130"/>
      <c r="I74" s="132"/>
      <c r="J74" s="132"/>
    </row>
    <row r="75" spans="1:10" ht="12.75" customHeight="1" x14ac:dyDescent="0.25">
      <c r="A75" s="130"/>
      <c r="B75" s="130"/>
      <c r="C75" s="130"/>
      <c r="D75" s="132"/>
      <c r="E75" s="132"/>
      <c r="F75" s="132"/>
      <c r="G75" s="130"/>
      <c r="H75" s="130"/>
      <c r="I75" s="132"/>
      <c r="J75" s="132"/>
    </row>
    <row r="76" spans="1:10" x14ac:dyDescent="0.25">
      <c r="A76" s="130"/>
      <c r="B76" s="130"/>
      <c r="C76" s="130"/>
      <c r="D76" s="132"/>
      <c r="E76" s="132"/>
      <c r="F76" s="131"/>
      <c r="G76" s="130"/>
      <c r="H76" s="130"/>
      <c r="I76" s="132"/>
      <c r="J76" s="132"/>
    </row>
    <row r="77" spans="1:10" x14ac:dyDescent="0.25">
      <c r="A77" s="130"/>
      <c r="B77" s="130"/>
      <c r="C77" s="130"/>
      <c r="D77" s="132"/>
      <c r="E77" s="132"/>
      <c r="F77" s="131"/>
      <c r="G77" s="130"/>
      <c r="H77" s="130"/>
      <c r="I77" s="132"/>
      <c r="J77" s="132"/>
    </row>
    <row r="78" spans="1:10" ht="12.75" customHeight="1" x14ac:dyDescent="0.25">
      <c r="A78" s="130"/>
      <c r="B78" s="130"/>
      <c r="C78" s="130"/>
      <c r="D78" s="132"/>
      <c r="E78" s="132"/>
      <c r="F78" s="132"/>
      <c r="G78" s="130"/>
      <c r="H78" s="130"/>
      <c r="I78" s="132"/>
      <c r="J78" s="132"/>
    </row>
    <row r="79" spans="1:10" ht="12.75" customHeight="1" x14ac:dyDescent="0.25">
      <c r="A79" s="130"/>
      <c r="B79" s="130"/>
      <c r="C79" s="130"/>
      <c r="D79" s="132"/>
      <c r="E79" s="132"/>
      <c r="F79" s="131"/>
      <c r="G79" s="130"/>
      <c r="H79" s="130"/>
      <c r="I79" s="132"/>
      <c r="J79" s="132"/>
    </row>
    <row r="80" spans="1:10" ht="12.75" customHeight="1" x14ac:dyDescent="0.25">
      <c r="A80" s="130"/>
      <c r="B80" s="130"/>
      <c r="C80" s="130"/>
      <c r="D80" s="132"/>
      <c r="E80" s="132"/>
      <c r="F80" s="131"/>
      <c r="G80" s="130"/>
      <c r="H80" s="130"/>
      <c r="I80" s="132"/>
      <c r="J80" s="132"/>
    </row>
    <row r="81" spans="1:10" ht="12.75" customHeight="1" x14ac:dyDescent="0.25">
      <c r="A81" s="130"/>
      <c r="B81" s="130"/>
      <c r="C81" s="130"/>
      <c r="D81" s="132"/>
      <c r="E81" s="132"/>
      <c r="F81" s="132"/>
      <c r="G81" s="130"/>
      <c r="H81" s="130"/>
      <c r="I81" s="132"/>
      <c r="J81" s="132"/>
    </row>
    <row r="82" spans="1:10" ht="12.75" customHeight="1" x14ac:dyDescent="0.25">
      <c r="A82" s="130"/>
      <c r="B82" s="130"/>
      <c r="C82" s="130"/>
      <c r="D82" s="132"/>
      <c r="E82" s="132"/>
      <c r="F82" s="131"/>
      <c r="G82" s="130"/>
      <c r="H82" s="130"/>
      <c r="I82" s="132"/>
      <c r="J82" s="132"/>
    </row>
    <row r="83" spans="1:10" ht="12.75" customHeight="1" x14ac:dyDescent="0.25">
      <c r="A83" s="130"/>
      <c r="B83" s="130"/>
      <c r="C83" s="130"/>
      <c r="D83" s="132"/>
      <c r="E83" s="132"/>
      <c r="F83" s="131"/>
      <c r="G83" s="130"/>
      <c r="H83" s="130"/>
      <c r="I83" s="132"/>
      <c r="J83" s="132"/>
    </row>
    <row r="84" spans="1:10" x14ac:dyDescent="0.25">
      <c r="A84" s="130"/>
      <c r="B84" s="130"/>
      <c r="C84" s="130"/>
      <c r="D84" s="132"/>
      <c r="E84" s="132"/>
      <c r="F84" s="132"/>
      <c r="G84" s="130"/>
      <c r="H84" s="130"/>
      <c r="I84" s="132"/>
      <c r="J84" s="132"/>
    </row>
    <row r="85" spans="1:10" x14ac:dyDescent="0.25">
      <c r="A85" s="130"/>
      <c r="B85" s="130"/>
      <c r="C85" s="130"/>
      <c r="D85" s="132"/>
      <c r="E85" s="132"/>
      <c r="F85" s="131"/>
      <c r="G85" s="130"/>
      <c r="H85" s="130"/>
      <c r="I85" s="132"/>
      <c r="J85" s="132"/>
    </row>
    <row r="86" spans="1:10" x14ac:dyDescent="0.25">
      <c r="A86" s="130"/>
      <c r="B86" s="130"/>
      <c r="C86" s="130"/>
      <c r="D86" s="132"/>
      <c r="E86" s="132"/>
      <c r="F86" s="131"/>
      <c r="G86" s="130"/>
      <c r="H86" s="130"/>
      <c r="I86" s="132"/>
      <c r="J86" s="132"/>
    </row>
    <row r="87" spans="1:10" x14ac:dyDescent="0.25">
      <c r="A87" s="130"/>
      <c r="B87" s="130"/>
      <c r="C87" s="130"/>
      <c r="D87" s="132"/>
      <c r="E87" s="132"/>
      <c r="F87" s="132"/>
      <c r="G87" s="130"/>
      <c r="H87" s="130"/>
      <c r="I87" s="132"/>
      <c r="J87" s="132"/>
    </row>
    <row r="88" spans="1:10" x14ac:dyDescent="0.25">
      <c r="A88" s="130"/>
      <c r="B88" s="130"/>
      <c r="C88" s="130"/>
      <c r="D88" s="132"/>
      <c r="E88" s="132"/>
      <c r="F88" s="131"/>
      <c r="G88" s="130"/>
      <c r="H88" s="130"/>
      <c r="I88" s="132"/>
      <c r="J88" s="132"/>
    </row>
    <row r="89" spans="1:10" ht="12.75" customHeight="1" x14ac:dyDescent="0.25">
      <c r="A89" s="130"/>
      <c r="B89" s="130"/>
      <c r="C89" s="130"/>
      <c r="D89" s="132"/>
      <c r="E89" s="132"/>
      <c r="F89" s="131"/>
      <c r="G89" s="130"/>
      <c r="H89" s="130"/>
      <c r="I89" s="132"/>
      <c r="J89" s="132"/>
    </row>
    <row r="90" spans="1:10" ht="12.75" customHeight="1" x14ac:dyDescent="0.25">
      <c r="A90" s="130"/>
      <c r="B90" s="130"/>
      <c r="C90" s="130"/>
      <c r="D90" s="132"/>
      <c r="E90" s="132"/>
      <c r="F90" s="132"/>
      <c r="G90" s="130"/>
      <c r="H90" s="130"/>
      <c r="I90" s="132"/>
      <c r="J90" s="132"/>
    </row>
    <row r="91" spans="1:10" x14ac:dyDescent="0.25">
      <c r="A91" s="130"/>
      <c r="B91" s="130"/>
      <c r="C91" s="130"/>
      <c r="D91" s="132"/>
      <c r="E91" s="132"/>
      <c r="F91" s="131"/>
      <c r="G91" s="130"/>
      <c r="H91" s="130"/>
      <c r="I91" s="132"/>
      <c r="J91" s="132"/>
    </row>
    <row r="92" spans="1:10" x14ac:dyDescent="0.25">
      <c r="A92" s="130"/>
      <c r="B92" s="130"/>
      <c r="C92" s="130"/>
      <c r="D92" s="132"/>
      <c r="E92" s="132"/>
      <c r="F92" s="131"/>
      <c r="G92" s="130"/>
      <c r="H92" s="130"/>
      <c r="I92" s="132"/>
      <c r="J92" s="132"/>
    </row>
    <row r="93" spans="1:10" x14ac:dyDescent="0.25">
      <c r="A93" s="130"/>
      <c r="B93" s="130"/>
      <c r="C93" s="130"/>
      <c r="D93" s="132"/>
      <c r="E93" s="132"/>
      <c r="F93" s="132"/>
      <c r="G93" s="130"/>
      <c r="H93" s="130"/>
      <c r="I93" s="132"/>
      <c r="J93" s="132"/>
    </row>
    <row r="94" spans="1:10" x14ac:dyDescent="0.25">
      <c r="A94" s="130"/>
      <c r="B94" s="130"/>
      <c r="C94" s="130"/>
      <c r="D94" s="132"/>
      <c r="E94" s="132"/>
      <c r="F94" s="131"/>
      <c r="G94" s="130"/>
      <c r="H94" s="130"/>
      <c r="I94" s="132"/>
      <c r="J94" s="132"/>
    </row>
    <row r="95" spans="1:10" ht="12.75" customHeight="1" x14ac:dyDescent="0.25">
      <c r="A95" s="130"/>
      <c r="B95" s="130"/>
      <c r="C95" s="130"/>
      <c r="D95" s="132"/>
      <c r="E95" s="132"/>
      <c r="F95" s="131"/>
      <c r="G95" s="130"/>
      <c r="H95" s="130"/>
      <c r="I95" s="132"/>
      <c r="J95" s="132"/>
    </row>
    <row r="96" spans="1:10" ht="12.75" customHeight="1" x14ac:dyDescent="0.25">
      <c r="A96" s="130"/>
      <c r="B96" s="130"/>
      <c r="C96" s="130"/>
      <c r="D96" s="132"/>
      <c r="E96" s="132"/>
      <c r="F96" s="132"/>
      <c r="G96" s="130"/>
      <c r="H96" s="130"/>
      <c r="I96" s="132"/>
      <c r="J96" s="132"/>
    </row>
    <row r="97" spans="1:10" ht="12.75" customHeight="1" x14ac:dyDescent="0.25">
      <c r="A97" s="130"/>
      <c r="B97" s="130"/>
      <c r="C97" s="130"/>
      <c r="D97" s="132"/>
      <c r="E97" s="132"/>
      <c r="F97" s="131"/>
      <c r="G97" s="130"/>
      <c r="H97" s="130"/>
      <c r="I97" s="132"/>
      <c r="J97" s="132"/>
    </row>
    <row r="98" spans="1:10" ht="12.75" customHeight="1" x14ac:dyDescent="0.25">
      <c r="A98" s="130"/>
      <c r="B98" s="130"/>
      <c r="C98" s="130"/>
      <c r="D98" s="132"/>
      <c r="E98" s="132"/>
      <c r="F98" s="131"/>
      <c r="G98" s="130"/>
      <c r="H98" s="130"/>
      <c r="I98" s="132"/>
      <c r="J98" s="132"/>
    </row>
    <row r="99" spans="1:10" ht="12.75" customHeight="1" x14ac:dyDescent="0.25">
      <c r="A99" s="130"/>
      <c r="B99" s="130"/>
      <c r="C99" s="130"/>
      <c r="D99" s="132"/>
      <c r="E99" s="132"/>
      <c r="F99" s="132"/>
      <c r="G99" s="130"/>
      <c r="H99" s="130"/>
      <c r="I99" s="132"/>
      <c r="J99" s="132"/>
    </row>
    <row r="100" spans="1:10" ht="12.75" customHeight="1" x14ac:dyDescent="0.25">
      <c r="A100" s="130"/>
      <c r="B100" s="130"/>
      <c r="C100" s="130"/>
      <c r="D100" s="132"/>
      <c r="E100" s="132"/>
      <c r="F100" s="131"/>
      <c r="G100" s="130"/>
      <c r="H100" s="130"/>
      <c r="I100" s="132"/>
      <c r="J100" s="132"/>
    </row>
    <row r="101" spans="1:10" x14ac:dyDescent="0.25">
      <c r="A101" s="130"/>
      <c r="B101" s="130"/>
      <c r="C101" s="130"/>
      <c r="D101" s="132"/>
      <c r="E101" s="132"/>
      <c r="F101" s="131"/>
      <c r="G101" s="130"/>
      <c r="H101" s="130"/>
      <c r="I101" s="132"/>
      <c r="J101" s="132"/>
    </row>
    <row r="102" spans="1:10" x14ac:dyDescent="0.25">
      <c r="A102" s="130"/>
      <c r="B102" s="130"/>
      <c r="C102" s="130"/>
      <c r="D102" s="132"/>
      <c r="E102" s="132"/>
      <c r="F102" s="132"/>
      <c r="G102" s="130"/>
      <c r="H102" s="130"/>
      <c r="I102" s="132"/>
      <c r="J102" s="132"/>
    </row>
    <row r="103" spans="1:10" ht="12.75" customHeight="1" x14ac:dyDescent="0.25">
      <c r="A103" s="130"/>
      <c r="B103" s="130"/>
      <c r="C103" s="130"/>
      <c r="D103" s="132"/>
      <c r="E103" s="132"/>
      <c r="F103" s="131"/>
      <c r="G103" s="130"/>
      <c r="H103" s="130"/>
      <c r="I103" s="132"/>
      <c r="J103" s="132"/>
    </row>
    <row r="104" spans="1:10" ht="12.75" customHeight="1" x14ac:dyDescent="0.25">
      <c r="A104" s="130"/>
      <c r="B104" s="130"/>
      <c r="C104" s="130"/>
      <c r="D104" s="132"/>
      <c r="E104" s="132"/>
      <c r="F104" s="131"/>
      <c r="G104" s="130"/>
      <c r="H104" s="130"/>
      <c r="I104" s="132"/>
      <c r="J104" s="132"/>
    </row>
    <row r="105" spans="1:10" s="133" customFormat="1" ht="12.75" customHeight="1" x14ac:dyDescent="0.25">
      <c r="A105" s="130"/>
      <c r="B105" s="130"/>
      <c r="C105" s="130"/>
      <c r="D105" s="132"/>
      <c r="E105" s="132"/>
      <c r="F105" s="132"/>
      <c r="G105" s="130"/>
      <c r="H105" s="130"/>
      <c r="I105" s="132"/>
      <c r="J105" s="132"/>
    </row>
    <row r="106" spans="1:10" s="134" customFormat="1" ht="12.75" customHeight="1" x14ac:dyDescent="0.25">
      <c r="A106" s="130"/>
      <c r="B106" s="130"/>
      <c r="C106" s="130"/>
      <c r="D106" s="132"/>
      <c r="E106" s="132"/>
      <c r="F106" s="131"/>
      <c r="G106" s="130"/>
      <c r="H106" s="130"/>
      <c r="I106" s="132"/>
      <c r="J106" s="132"/>
    </row>
    <row r="107" spans="1:10" s="133" customFormat="1" ht="12.75" customHeight="1" x14ac:dyDescent="0.25">
      <c r="A107" s="130"/>
      <c r="B107" s="130"/>
      <c r="C107" s="130"/>
      <c r="D107" s="132"/>
      <c r="E107" s="132"/>
      <c r="F107" s="131"/>
      <c r="G107" s="130"/>
      <c r="H107" s="130"/>
      <c r="I107" s="132"/>
      <c r="J107" s="132"/>
    </row>
    <row r="108" spans="1:10" ht="12.75" customHeight="1" x14ac:dyDescent="0.25">
      <c r="A108" s="130"/>
      <c r="B108" s="130"/>
      <c r="C108" s="130"/>
      <c r="D108" s="132"/>
      <c r="E108" s="132"/>
      <c r="F108" s="132"/>
      <c r="G108" s="130"/>
      <c r="H108" s="130"/>
      <c r="I108" s="132"/>
      <c r="J108" s="132"/>
    </row>
    <row r="109" spans="1:10" ht="12.75" customHeight="1" x14ac:dyDescent="0.25">
      <c r="A109" s="130"/>
      <c r="B109" s="130"/>
      <c r="C109" s="130"/>
      <c r="D109" s="132"/>
      <c r="E109" s="132"/>
      <c r="F109" s="131"/>
      <c r="G109" s="130"/>
      <c r="H109" s="130"/>
      <c r="I109" s="132"/>
      <c r="J109" s="132"/>
    </row>
    <row r="110" spans="1:10" x14ac:dyDescent="0.25">
      <c r="A110" s="130"/>
      <c r="B110" s="130"/>
      <c r="C110" s="130"/>
      <c r="D110" s="132"/>
      <c r="E110" s="132"/>
      <c r="F110" s="131"/>
      <c r="G110" s="130"/>
      <c r="H110" s="130"/>
      <c r="I110" s="132"/>
      <c r="J110" s="132"/>
    </row>
    <row r="111" spans="1:10" x14ac:dyDescent="0.25">
      <c r="A111" s="130"/>
      <c r="B111" s="130"/>
      <c r="C111" s="130"/>
      <c r="D111" s="132"/>
      <c r="E111" s="132"/>
      <c r="F111" s="132"/>
      <c r="G111" s="130"/>
      <c r="H111" s="130"/>
      <c r="I111" s="132"/>
      <c r="J111" s="132"/>
    </row>
    <row r="112" spans="1:10" x14ac:dyDescent="0.25">
      <c r="A112" s="130"/>
      <c r="B112" s="130"/>
      <c r="C112" s="130"/>
      <c r="D112" s="132"/>
      <c r="E112" s="132"/>
      <c r="F112" s="131"/>
      <c r="G112" s="130"/>
      <c r="H112" s="130"/>
      <c r="I112" s="132"/>
      <c r="J112" s="132"/>
    </row>
    <row r="113" spans="1:10" x14ac:dyDescent="0.25">
      <c r="A113" s="130"/>
      <c r="B113" s="130"/>
      <c r="C113" s="130"/>
      <c r="D113" s="132"/>
      <c r="E113" s="132"/>
      <c r="F113" s="131"/>
      <c r="G113" s="130"/>
      <c r="H113" s="130"/>
      <c r="I113" s="132"/>
      <c r="J113" s="132"/>
    </row>
    <row r="114" spans="1:10" ht="12.75" customHeight="1" x14ac:dyDescent="0.25">
      <c r="A114" s="130"/>
      <c r="B114" s="130"/>
      <c r="C114" s="130"/>
      <c r="D114" s="132"/>
      <c r="E114" s="132"/>
      <c r="F114" s="132"/>
      <c r="G114" s="130"/>
      <c r="H114" s="130"/>
      <c r="I114" s="132"/>
      <c r="J114" s="132"/>
    </row>
    <row r="115" spans="1:10" x14ac:dyDescent="0.25">
      <c r="A115" s="130"/>
      <c r="B115" s="130"/>
      <c r="C115" s="130"/>
      <c r="D115" s="132"/>
      <c r="E115" s="132"/>
      <c r="F115" s="131"/>
      <c r="G115" s="130"/>
      <c r="H115" s="130"/>
      <c r="I115" s="132"/>
      <c r="J115" s="132"/>
    </row>
    <row r="116" spans="1:10" ht="12.75" customHeight="1" x14ac:dyDescent="0.25">
      <c r="A116" s="130"/>
      <c r="B116" s="130"/>
      <c r="C116" s="130"/>
      <c r="D116" s="132"/>
      <c r="E116" s="132"/>
      <c r="F116" s="131"/>
      <c r="G116" s="130"/>
      <c r="H116" s="130"/>
      <c r="I116" s="132"/>
      <c r="J116" s="132"/>
    </row>
    <row r="117" spans="1:10" x14ac:dyDescent="0.25">
      <c r="A117" s="130"/>
      <c r="B117" s="130"/>
      <c r="C117" s="130"/>
      <c r="D117" s="132"/>
      <c r="E117" s="132"/>
      <c r="F117" s="132"/>
      <c r="G117" s="130"/>
      <c r="H117" s="130"/>
      <c r="I117" s="132"/>
      <c r="J117" s="132"/>
    </row>
    <row r="118" spans="1:10" x14ac:dyDescent="0.25">
      <c r="A118" s="130"/>
      <c r="B118" s="130"/>
      <c r="C118" s="130"/>
      <c r="D118" s="132"/>
      <c r="E118" s="132"/>
      <c r="F118" s="131"/>
      <c r="G118" s="130"/>
      <c r="H118" s="130"/>
      <c r="I118" s="132"/>
      <c r="J118" s="132"/>
    </row>
    <row r="119" spans="1:10" x14ac:dyDescent="0.25">
      <c r="A119" s="130"/>
      <c r="B119" s="130"/>
      <c r="C119" s="130"/>
      <c r="D119" s="132"/>
      <c r="E119" s="132"/>
      <c r="F119" s="131"/>
      <c r="G119" s="130"/>
      <c r="H119" s="130"/>
      <c r="I119" s="132"/>
      <c r="J119" s="132"/>
    </row>
    <row r="120" spans="1:10" x14ac:dyDescent="0.25">
      <c r="A120" s="130"/>
      <c r="B120" s="130"/>
      <c r="C120" s="130"/>
      <c r="D120" s="132"/>
      <c r="E120" s="132"/>
      <c r="F120" s="132"/>
      <c r="G120" s="130"/>
      <c r="H120" s="130"/>
      <c r="I120" s="132"/>
      <c r="J120" s="132"/>
    </row>
    <row r="121" spans="1:10" ht="12.75" customHeight="1" x14ac:dyDescent="0.25">
      <c r="A121" s="130"/>
      <c r="B121" s="130"/>
      <c r="C121" s="130"/>
      <c r="D121" s="132"/>
      <c r="E121" s="132"/>
      <c r="F121" s="131"/>
      <c r="G121" s="130"/>
      <c r="H121" s="130"/>
      <c r="I121" s="132"/>
      <c r="J121" s="132"/>
    </row>
    <row r="122" spans="1:10" x14ac:dyDescent="0.25">
      <c r="A122" s="130"/>
      <c r="B122" s="130"/>
      <c r="C122" s="130"/>
      <c r="D122" s="132"/>
      <c r="E122" s="132"/>
      <c r="F122" s="131"/>
      <c r="G122" s="130"/>
      <c r="H122" s="130"/>
      <c r="I122" s="132"/>
      <c r="J122" s="132"/>
    </row>
    <row r="123" spans="1:10" x14ac:dyDescent="0.25">
      <c r="A123" s="130"/>
      <c r="B123" s="130"/>
      <c r="C123" s="130"/>
      <c r="D123" s="132"/>
      <c r="E123" s="132"/>
      <c r="F123" s="132"/>
      <c r="G123" s="130"/>
      <c r="H123" s="130"/>
      <c r="I123" s="132"/>
      <c r="J123" s="132"/>
    </row>
    <row r="124" spans="1:10" x14ac:dyDescent="0.25">
      <c r="A124" s="130"/>
      <c r="B124" s="130"/>
      <c r="C124" s="130"/>
      <c r="D124" s="132"/>
      <c r="E124" s="132"/>
      <c r="F124" s="131"/>
      <c r="G124" s="130"/>
      <c r="H124" s="130"/>
      <c r="I124" s="132"/>
      <c r="J124" s="132"/>
    </row>
    <row r="125" spans="1:10" x14ac:dyDescent="0.25">
      <c r="A125" s="130"/>
      <c r="B125" s="130"/>
      <c r="C125" s="130"/>
      <c r="D125" s="132"/>
      <c r="E125" s="132"/>
      <c r="F125" s="131"/>
      <c r="G125" s="130"/>
      <c r="H125" s="130"/>
      <c r="I125" s="132"/>
      <c r="J125" s="132"/>
    </row>
    <row r="126" spans="1:10" ht="12.75" customHeight="1" x14ac:dyDescent="0.25">
      <c r="A126" s="130"/>
      <c r="B126" s="130"/>
      <c r="C126" s="130"/>
      <c r="D126" s="132"/>
      <c r="E126" s="132"/>
      <c r="F126" s="132"/>
      <c r="G126" s="130"/>
      <c r="H126" s="130"/>
      <c r="I126" s="132"/>
      <c r="J126" s="132"/>
    </row>
    <row r="127" spans="1:10" x14ac:dyDescent="0.25">
      <c r="A127" s="130"/>
      <c r="B127" s="130"/>
      <c r="C127" s="130"/>
      <c r="D127" s="132"/>
      <c r="E127" s="132"/>
      <c r="F127" s="131"/>
      <c r="G127" s="130"/>
      <c r="H127" s="130"/>
      <c r="I127" s="132"/>
      <c r="J127" s="132"/>
    </row>
    <row r="128" spans="1:10" x14ac:dyDescent="0.25">
      <c r="A128" s="130"/>
      <c r="B128" s="130"/>
      <c r="C128" s="130"/>
      <c r="D128" s="132"/>
      <c r="E128" s="132"/>
      <c r="F128" s="131"/>
      <c r="G128" s="130"/>
      <c r="H128" s="130"/>
      <c r="I128" s="132"/>
      <c r="J128" s="132"/>
    </row>
    <row r="129" spans="1:10" ht="12.75" customHeight="1" x14ac:dyDescent="0.25">
      <c r="A129" s="130"/>
      <c r="B129" s="130"/>
      <c r="C129" s="130"/>
      <c r="D129" s="132"/>
      <c r="E129" s="132"/>
      <c r="F129" s="132"/>
      <c r="G129" s="130"/>
      <c r="H129" s="130"/>
      <c r="I129" s="132"/>
      <c r="J129" s="132"/>
    </row>
    <row r="130" spans="1:10" x14ac:dyDescent="0.25">
      <c r="A130" s="130"/>
      <c r="B130" s="130"/>
      <c r="C130" s="130"/>
      <c r="D130" s="132"/>
      <c r="E130" s="132"/>
      <c r="F130" s="131"/>
      <c r="G130" s="130"/>
      <c r="H130" s="130"/>
      <c r="I130" s="132"/>
      <c r="J130" s="132"/>
    </row>
    <row r="131" spans="1:10" x14ac:dyDescent="0.25">
      <c r="A131" s="130"/>
      <c r="B131" s="130"/>
      <c r="C131" s="130"/>
      <c r="D131" s="132"/>
      <c r="E131" s="132"/>
      <c r="F131" s="131"/>
      <c r="G131" s="130"/>
      <c r="H131" s="130"/>
      <c r="I131" s="132"/>
      <c r="J131" s="132"/>
    </row>
    <row r="132" spans="1:10" x14ac:dyDescent="0.25">
      <c r="A132" s="130"/>
      <c r="B132" s="130"/>
      <c r="C132" s="130"/>
      <c r="D132" s="132"/>
      <c r="E132" s="132"/>
      <c r="F132" s="132"/>
      <c r="G132" s="130"/>
      <c r="H132" s="130"/>
      <c r="I132" s="132"/>
      <c r="J132" s="132"/>
    </row>
    <row r="133" spans="1:10" x14ac:dyDescent="0.25">
      <c r="A133" s="130"/>
      <c r="B133" s="130"/>
      <c r="C133" s="130"/>
      <c r="D133" s="132"/>
      <c r="E133" s="132"/>
      <c r="F133" s="131"/>
      <c r="G133" s="130"/>
      <c r="H133" s="130"/>
      <c r="I133" s="132"/>
      <c r="J133" s="132"/>
    </row>
    <row r="134" spans="1:10" ht="12.75" customHeight="1" x14ac:dyDescent="0.25">
      <c r="A134" s="130"/>
      <c r="B134" s="130"/>
      <c r="C134" s="130"/>
      <c r="D134" s="132"/>
      <c r="E134" s="132"/>
      <c r="F134" s="131"/>
      <c r="G134" s="130"/>
      <c r="H134" s="130"/>
      <c r="I134" s="132"/>
      <c r="J134" s="132"/>
    </row>
    <row r="135" spans="1:10" ht="12.75" customHeight="1" x14ac:dyDescent="0.25">
      <c r="A135" s="130"/>
      <c r="B135" s="130"/>
      <c r="C135" s="130"/>
      <c r="D135" s="132"/>
      <c r="E135" s="132"/>
      <c r="F135" s="132"/>
      <c r="G135" s="130"/>
      <c r="H135" s="130"/>
      <c r="I135" s="132"/>
      <c r="J135" s="132"/>
    </row>
    <row r="136" spans="1:10" ht="12.75" customHeight="1" x14ac:dyDescent="0.25">
      <c r="A136" s="130"/>
      <c r="B136" s="130"/>
      <c r="C136" s="130"/>
      <c r="D136" s="132"/>
      <c r="E136" s="132"/>
      <c r="F136" s="131"/>
      <c r="G136" s="130"/>
      <c r="H136" s="130"/>
      <c r="I136" s="132"/>
      <c r="J136" s="132"/>
    </row>
    <row r="137" spans="1:10" ht="12.75" customHeight="1" x14ac:dyDescent="0.25">
      <c r="A137" s="130"/>
      <c r="B137" s="130"/>
      <c r="C137" s="130"/>
      <c r="D137" s="132"/>
      <c r="E137" s="132"/>
      <c r="F137" s="131"/>
      <c r="G137" s="130"/>
      <c r="H137" s="130"/>
      <c r="I137" s="132"/>
      <c r="J137" s="132"/>
    </row>
    <row r="138" spans="1:10" ht="12.75" customHeight="1" x14ac:dyDescent="0.25">
      <c r="A138" s="130"/>
      <c r="B138" s="130"/>
      <c r="C138" s="130"/>
      <c r="D138" s="132"/>
      <c r="E138" s="132"/>
      <c r="F138" s="132"/>
      <c r="G138" s="130"/>
      <c r="H138" s="130"/>
      <c r="I138" s="132"/>
      <c r="J138" s="132"/>
    </row>
    <row r="139" spans="1:10" ht="12.75" customHeight="1" x14ac:dyDescent="0.25">
      <c r="A139" s="130"/>
      <c r="B139" s="130"/>
      <c r="C139" s="130"/>
      <c r="D139" s="132"/>
      <c r="E139" s="132"/>
      <c r="F139" s="131"/>
      <c r="G139" s="130"/>
      <c r="H139" s="130"/>
      <c r="I139" s="132"/>
      <c r="J139" s="132"/>
    </row>
    <row r="140" spans="1:10" ht="12.75" customHeight="1" x14ac:dyDescent="0.25">
      <c r="A140" s="130"/>
      <c r="B140" s="130"/>
      <c r="C140" s="130"/>
      <c r="D140" s="132"/>
      <c r="E140" s="132"/>
      <c r="F140" s="131"/>
      <c r="G140" s="130"/>
      <c r="H140" s="130"/>
      <c r="I140" s="132"/>
      <c r="J140" s="132"/>
    </row>
    <row r="141" spans="1:10" ht="12.75" customHeight="1" x14ac:dyDescent="0.25">
      <c r="A141" s="130"/>
      <c r="B141" s="130"/>
      <c r="C141" s="130"/>
      <c r="D141" s="132"/>
      <c r="E141" s="132"/>
      <c r="F141" s="132"/>
      <c r="G141" s="130"/>
      <c r="H141" s="130"/>
      <c r="I141" s="132"/>
      <c r="J141" s="132"/>
    </row>
    <row r="142" spans="1:10" ht="12.75" customHeight="1" x14ac:dyDescent="0.25">
      <c r="A142" s="130"/>
      <c r="B142" s="130"/>
      <c r="C142" s="130"/>
      <c r="D142" s="132"/>
      <c r="E142" s="132"/>
      <c r="F142" s="131"/>
      <c r="G142" s="130"/>
      <c r="H142" s="130"/>
      <c r="I142" s="132"/>
      <c r="J142" s="132"/>
    </row>
    <row r="143" spans="1:10" ht="12.75" customHeight="1" x14ac:dyDescent="0.25">
      <c r="A143" s="130"/>
      <c r="B143" s="130"/>
      <c r="C143" s="130"/>
      <c r="D143" s="132"/>
      <c r="E143" s="132"/>
      <c r="F143" s="131"/>
      <c r="G143" s="130"/>
      <c r="H143" s="130"/>
      <c r="I143" s="132"/>
      <c r="J143" s="132"/>
    </row>
    <row r="144" spans="1:10" ht="12.75" customHeight="1" x14ac:dyDescent="0.25">
      <c r="A144" s="130"/>
      <c r="B144" s="130"/>
      <c r="C144" s="130"/>
      <c r="D144" s="132"/>
      <c r="E144" s="132"/>
      <c r="F144" s="132"/>
      <c r="G144" s="130"/>
      <c r="H144" s="130"/>
      <c r="I144" s="132"/>
      <c r="J144" s="132"/>
    </row>
    <row r="145" spans="1:10" ht="12.75" customHeight="1" x14ac:dyDescent="0.25">
      <c r="A145" s="130"/>
      <c r="B145" s="130"/>
      <c r="C145" s="130"/>
      <c r="D145" s="132"/>
      <c r="E145" s="132"/>
      <c r="F145" s="131"/>
      <c r="G145" s="130"/>
      <c r="H145" s="130"/>
      <c r="I145" s="132"/>
      <c r="J145" s="132"/>
    </row>
    <row r="146" spans="1:10" ht="12.75" customHeight="1" x14ac:dyDescent="0.25">
      <c r="A146" s="130"/>
      <c r="B146" s="130"/>
      <c r="C146" s="130"/>
      <c r="D146" s="132"/>
      <c r="E146" s="132"/>
      <c r="F146" s="131"/>
      <c r="G146" s="130"/>
      <c r="H146" s="130"/>
      <c r="I146" s="132"/>
      <c r="J146" s="132"/>
    </row>
    <row r="147" spans="1:10" ht="12.75" customHeight="1" x14ac:dyDescent="0.25">
      <c r="A147" s="130"/>
      <c r="B147" s="130"/>
      <c r="C147" s="130"/>
      <c r="D147" s="132"/>
      <c r="E147" s="132"/>
      <c r="F147" s="132"/>
      <c r="G147" s="130"/>
      <c r="H147" s="130"/>
      <c r="I147" s="132"/>
      <c r="J147" s="132"/>
    </row>
    <row r="148" spans="1:10" ht="12.75" customHeight="1" x14ac:dyDescent="0.25">
      <c r="A148" s="130"/>
      <c r="B148" s="130"/>
      <c r="C148" s="130"/>
      <c r="D148" s="132"/>
      <c r="E148" s="132"/>
      <c r="F148" s="131"/>
      <c r="G148" s="130"/>
      <c r="H148" s="130"/>
      <c r="I148" s="132"/>
      <c r="J148" s="132"/>
    </row>
    <row r="149" spans="1:10" ht="12.75" customHeight="1" x14ac:dyDescent="0.25">
      <c r="A149" s="130"/>
      <c r="B149" s="130"/>
      <c r="C149" s="130"/>
      <c r="D149" s="132"/>
      <c r="E149" s="132"/>
      <c r="F149" s="131"/>
      <c r="G149" s="130"/>
      <c r="H149" s="130"/>
      <c r="I149" s="132"/>
      <c r="J149" s="132"/>
    </row>
    <row r="150" spans="1:10" ht="12.75" customHeight="1" x14ac:dyDescent="0.25">
      <c r="A150" s="130"/>
      <c r="B150" s="130"/>
      <c r="C150" s="130"/>
      <c r="D150" s="132"/>
      <c r="E150" s="132"/>
      <c r="F150" s="132"/>
      <c r="G150" s="130"/>
      <c r="H150" s="130"/>
      <c r="I150" s="132"/>
      <c r="J150" s="132"/>
    </row>
    <row r="151" spans="1:10" ht="12.75" customHeight="1" x14ac:dyDescent="0.25">
      <c r="A151" s="130"/>
      <c r="B151" s="130"/>
      <c r="C151" s="130"/>
      <c r="D151" s="132"/>
      <c r="E151" s="132"/>
      <c r="F151" s="131"/>
      <c r="G151" s="130"/>
      <c r="H151" s="130"/>
      <c r="I151" s="132"/>
      <c r="J151" s="132"/>
    </row>
    <row r="152" spans="1:10" ht="12.75" customHeight="1" x14ac:dyDescent="0.25">
      <c r="A152" s="130"/>
      <c r="B152" s="130"/>
      <c r="C152" s="130"/>
      <c r="D152" s="132"/>
      <c r="E152" s="132"/>
      <c r="F152" s="131"/>
      <c r="G152" s="130"/>
      <c r="H152" s="130"/>
      <c r="I152" s="132"/>
      <c r="J152" s="132"/>
    </row>
    <row r="153" spans="1:10" ht="12.75" customHeight="1" x14ac:dyDescent="0.25">
      <c r="A153" s="130"/>
      <c r="B153" s="130"/>
      <c r="C153" s="130"/>
      <c r="D153" s="132"/>
      <c r="E153" s="132"/>
      <c r="F153" s="132"/>
      <c r="G153" s="130"/>
      <c r="H153" s="130"/>
      <c r="I153" s="132"/>
      <c r="J153" s="132"/>
    </row>
    <row r="154" spans="1:10" ht="12.75" customHeight="1" x14ac:dyDescent="0.25">
      <c r="A154" s="130"/>
      <c r="B154" s="130"/>
      <c r="C154" s="130"/>
      <c r="D154" s="132"/>
      <c r="E154" s="132"/>
      <c r="F154" s="131"/>
      <c r="G154" s="130"/>
      <c r="H154" s="130"/>
      <c r="I154" s="132"/>
      <c r="J154" s="132"/>
    </row>
    <row r="155" spans="1:10" ht="12.75" customHeight="1" x14ac:dyDescent="0.25">
      <c r="A155" s="130"/>
      <c r="B155" s="130"/>
      <c r="C155" s="130"/>
      <c r="D155" s="132"/>
      <c r="E155" s="132"/>
      <c r="F155" s="131"/>
      <c r="G155" s="130"/>
      <c r="H155" s="130"/>
      <c r="I155" s="132"/>
      <c r="J155" s="132"/>
    </row>
    <row r="156" spans="1:10" ht="12.75" customHeight="1" x14ac:dyDescent="0.25">
      <c r="A156" s="130"/>
      <c r="B156" s="130"/>
      <c r="C156" s="130"/>
      <c r="D156" s="132"/>
      <c r="E156" s="132"/>
      <c r="F156" s="132"/>
      <c r="G156" s="130"/>
      <c r="H156" s="130"/>
      <c r="I156" s="132"/>
      <c r="J156" s="132"/>
    </row>
    <row r="157" spans="1:10" ht="12.75" customHeight="1" x14ac:dyDescent="0.25">
      <c r="A157" s="130"/>
      <c r="B157" s="130"/>
      <c r="C157" s="130"/>
      <c r="D157" s="132"/>
      <c r="E157" s="132"/>
      <c r="F157" s="131"/>
      <c r="G157" s="130"/>
      <c r="H157" s="130"/>
      <c r="I157" s="132"/>
      <c r="J157" s="132"/>
    </row>
    <row r="158" spans="1:10" ht="12.75" customHeight="1" x14ac:dyDescent="0.25">
      <c r="A158" s="130"/>
      <c r="B158" s="130"/>
      <c r="C158" s="130"/>
      <c r="D158" s="132"/>
      <c r="E158" s="132"/>
      <c r="F158" s="131"/>
      <c r="G158" s="130"/>
      <c r="H158" s="130"/>
      <c r="I158" s="132"/>
      <c r="J158" s="132"/>
    </row>
    <row r="159" spans="1:10" ht="12.75" customHeight="1" x14ac:dyDescent="0.25">
      <c r="A159" s="130"/>
      <c r="B159" s="130"/>
      <c r="C159" s="130"/>
      <c r="D159" s="132"/>
      <c r="E159" s="132"/>
      <c r="F159" s="132"/>
      <c r="G159" s="130"/>
      <c r="H159" s="130"/>
      <c r="I159" s="132"/>
      <c r="J159" s="132"/>
    </row>
    <row r="160" spans="1:10" ht="12.75" customHeight="1" x14ac:dyDescent="0.25">
      <c r="A160" s="130"/>
      <c r="B160" s="130"/>
      <c r="C160" s="130"/>
      <c r="D160" s="132"/>
      <c r="E160" s="132"/>
      <c r="F160" s="131"/>
      <c r="G160" s="130"/>
      <c r="H160" s="130"/>
      <c r="I160" s="132"/>
      <c r="J160" s="132"/>
    </row>
    <row r="161" spans="1:10" ht="12.75" customHeight="1" x14ac:dyDescent="0.25">
      <c r="A161" s="130"/>
      <c r="B161" s="130"/>
      <c r="C161" s="130"/>
      <c r="D161" s="132"/>
      <c r="E161" s="132"/>
      <c r="F161" s="131"/>
      <c r="G161" s="130"/>
      <c r="H161" s="130"/>
      <c r="I161" s="132"/>
      <c r="J161" s="132"/>
    </row>
    <row r="162" spans="1:10" ht="12.75" customHeight="1" x14ac:dyDescent="0.25">
      <c r="A162" s="130"/>
      <c r="B162" s="130"/>
      <c r="C162" s="130"/>
      <c r="D162" s="132"/>
      <c r="E162" s="132"/>
      <c r="F162" s="132"/>
      <c r="G162" s="130"/>
      <c r="H162" s="130"/>
      <c r="I162" s="132"/>
      <c r="J162" s="132"/>
    </row>
    <row r="163" spans="1:10" ht="12.75" customHeight="1" x14ac:dyDescent="0.25">
      <c r="A163" s="130"/>
      <c r="B163" s="130"/>
      <c r="C163" s="130"/>
      <c r="D163" s="132"/>
      <c r="E163" s="132"/>
      <c r="F163" s="131"/>
      <c r="G163" s="130"/>
      <c r="H163" s="130"/>
      <c r="I163" s="132"/>
      <c r="J163" s="132"/>
    </row>
    <row r="164" spans="1:10" ht="12.75" customHeight="1" x14ac:dyDescent="0.25">
      <c r="A164" s="130"/>
      <c r="B164" s="130"/>
      <c r="C164" s="130"/>
      <c r="D164" s="132"/>
      <c r="E164" s="132"/>
      <c r="F164" s="131"/>
      <c r="G164" s="130"/>
      <c r="H164" s="130"/>
      <c r="I164" s="132"/>
      <c r="J164" s="132"/>
    </row>
    <row r="165" spans="1:10" ht="12.75" customHeight="1" x14ac:dyDescent="0.25">
      <c r="A165" s="130"/>
      <c r="B165" s="130"/>
      <c r="C165" s="130"/>
      <c r="D165" s="132"/>
      <c r="E165" s="132"/>
      <c r="F165" s="132"/>
      <c r="G165" s="130"/>
      <c r="H165" s="130"/>
      <c r="I165" s="132"/>
      <c r="J165" s="132"/>
    </row>
    <row r="166" spans="1:10" ht="12.75" customHeight="1" x14ac:dyDescent="0.25">
      <c r="A166" s="130"/>
      <c r="B166" s="130"/>
      <c r="C166" s="130"/>
      <c r="D166" s="132"/>
      <c r="E166" s="132"/>
      <c r="F166" s="131"/>
      <c r="G166" s="130"/>
      <c r="H166" s="130"/>
      <c r="I166" s="132"/>
      <c r="J166" s="132"/>
    </row>
    <row r="167" spans="1:10" ht="12.75" customHeight="1" x14ac:dyDescent="0.25">
      <c r="A167" s="130"/>
      <c r="B167" s="130"/>
      <c r="C167" s="130"/>
      <c r="D167" s="132"/>
      <c r="E167" s="132"/>
      <c r="F167" s="131"/>
      <c r="G167" s="130"/>
      <c r="H167" s="130"/>
      <c r="I167" s="132"/>
      <c r="J167" s="132"/>
    </row>
    <row r="168" spans="1:10" ht="12.75" customHeight="1" x14ac:dyDescent="0.25">
      <c r="A168" s="130"/>
      <c r="B168" s="130"/>
      <c r="C168" s="130"/>
      <c r="D168" s="132"/>
      <c r="E168" s="132"/>
      <c r="F168" s="132"/>
      <c r="G168" s="130"/>
      <c r="H168" s="130"/>
      <c r="I168" s="132"/>
      <c r="J168" s="132"/>
    </row>
    <row r="169" spans="1:10" ht="12.75" customHeight="1" x14ac:dyDescent="0.25">
      <c r="A169" s="130"/>
      <c r="B169" s="130"/>
      <c r="C169" s="130"/>
      <c r="D169" s="132"/>
      <c r="E169" s="132"/>
      <c r="F169" s="131"/>
      <c r="G169" s="130"/>
      <c r="H169" s="130"/>
      <c r="I169" s="132"/>
      <c r="J169" s="132"/>
    </row>
    <row r="170" spans="1:10" ht="12.75" customHeight="1" x14ac:dyDescent="0.25">
      <c r="A170" s="130"/>
      <c r="B170" s="130"/>
      <c r="C170" s="130"/>
      <c r="D170" s="132"/>
      <c r="E170" s="132"/>
      <c r="F170" s="131"/>
      <c r="G170" s="130"/>
      <c r="H170" s="130"/>
      <c r="I170" s="132"/>
      <c r="J170" s="132"/>
    </row>
    <row r="171" spans="1:10" ht="12.75" customHeight="1" x14ac:dyDescent="0.25">
      <c r="A171" s="130"/>
      <c r="B171" s="130"/>
      <c r="C171" s="130"/>
      <c r="D171" s="132"/>
      <c r="E171" s="132"/>
      <c r="F171" s="132"/>
      <c r="G171" s="130"/>
      <c r="H171" s="130"/>
      <c r="I171" s="132"/>
      <c r="J171" s="132"/>
    </row>
    <row r="172" spans="1:10" ht="12.75" customHeight="1" x14ac:dyDescent="0.25">
      <c r="A172" s="130"/>
      <c r="B172" s="130"/>
      <c r="C172" s="130"/>
      <c r="D172" s="132"/>
      <c r="E172" s="132"/>
      <c r="F172" s="131"/>
      <c r="G172" s="130"/>
      <c r="H172" s="130"/>
      <c r="I172" s="132"/>
      <c r="J172" s="132"/>
    </row>
    <row r="173" spans="1:10" ht="12.75" customHeight="1" x14ac:dyDescent="0.25">
      <c r="A173" s="130"/>
      <c r="B173" s="130"/>
      <c r="C173" s="130"/>
      <c r="D173" s="132"/>
      <c r="E173" s="132"/>
      <c r="F173" s="131"/>
      <c r="G173" s="130"/>
      <c r="H173" s="130"/>
      <c r="I173" s="132"/>
      <c r="J173" s="132"/>
    </row>
    <row r="174" spans="1:10" ht="12.75" customHeight="1" x14ac:dyDescent="0.25">
      <c r="A174" s="130"/>
      <c r="B174" s="130"/>
      <c r="C174" s="130"/>
      <c r="D174" s="132"/>
      <c r="E174" s="132"/>
      <c r="F174" s="132"/>
      <c r="G174" s="130"/>
      <c r="H174" s="130"/>
      <c r="I174" s="132"/>
      <c r="J174" s="132"/>
    </row>
    <row r="175" spans="1:10" ht="12.75" customHeight="1" x14ac:dyDescent="0.25">
      <c r="A175" s="130"/>
      <c r="B175" s="130"/>
      <c r="C175" s="130"/>
      <c r="D175" s="132"/>
      <c r="E175" s="132"/>
      <c r="F175" s="131"/>
      <c r="G175" s="130"/>
      <c r="H175" s="130"/>
      <c r="I175" s="132"/>
      <c r="J175" s="132"/>
    </row>
    <row r="176" spans="1:10" ht="12.75" customHeight="1" x14ac:dyDescent="0.25">
      <c r="A176" s="130"/>
      <c r="B176" s="130"/>
      <c r="C176" s="130"/>
      <c r="D176" s="132"/>
      <c r="E176" s="132"/>
      <c r="F176" s="131"/>
      <c r="G176" s="130"/>
      <c r="H176" s="130"/>
      <c r="I176" s="132"/>
      <c r="J176" s="132"/>
    </row>
    <row r="177" spans="1:10" ht="12.75" customHeight="1" x14ac:dyDescent="0.25">
      <c r="A177" s="130"/>
      <c r="B177" s="130"/>
      <c r="C177" s="130"/>
      <c r="D177" s="132"/>
      <c r="E177" s="132"/>
      <c r="F177" s="132"/>
      <c r="G177" s="130"/>
      <c r="H177" s="130"/>
      <c r="I177" s="132"/>
      <c r="J177" s="132"/>
    </row>
    <row r="178" spans="1:10" ht="12.75" customHeight="1" x14ac:dyDescent="0.25">
      <c r="A178" s="130"/>
      <c r="B178" s="130"/>
      <c r="C178" s="130"/>
      <c r="D178" s="132"/>
      <c r="E178" s="132"/>
      <c r="F178" s="131"/>
      <c r="G178" s="130"/>
      <c r="H178" s="130"/>
      <c r="I178" s="132"/>
      <c r="J178" s="132"/>
    </row>
    <row r="179" spans="1:10" ht="12.75" customHeight="1" x14ac:dyDescent="0.25">
      <c r="A179" s="130"/>
      <c r="B179" s="130"/>
      <c r="C179" s="130"/>
      <c r="D179" s="132"/>
      <c r="E179" s="132"/>
      <c r="F179" s="131"/>
      <c r="G179" s="130"/>
      <c r="H179" s="130"/>
      <c r="I179" s="132"/>
      <c r="J179" s="132"/>
    </row>
    <row r="180" spans="1:10" ht="12.75" customHeight="1" x14ac:dyDescent="0.25">
      <c r="A180" s="130"/>
      <c r="B180" s="130"/>
      <c r="C180" s="130"/>
      <c r="D180" s="132"/>
      <c r="E180" s="132"/>
      <c r="F180" s="132"/>
      <c r="G180" s="130"/>
      <c r="H180" s="130"/>
      <c r="I180" s="132"/>
      <c r="J180" s="132"/>
    </row>
    <row r="181" spans="1:10" ht="12.75" customHeight="1" x14ac:dyDescent="0.25">
      <c r="A181" s="130"/>
      <c r="B181" s="130"/>
      <c r="C181" s="130"/>
      <c r="D181" s="132"/>
      <c r="E181" s="132"/>
      <c r="F181" s="131"/>
      <c r="G181" s="130"/>
      <c r="H181" s="130"/>
      <c r="I181" s="132"/>
      <c r="J181" s="132"/>
    </row>
    <row r="182" spans="1:10" ht="12.75" customHeight="1" x14ac:dyDescent="0.25">
      <c r="A182" s="130"/>
      <c r="B182" s="130"/>
      <c r="C182" s="130"/>
      <c r="D182" s="132"/>
      <c r="E182" s="132"/>
      <c r="F182" s="131"/>
      <c r="G182" s="130"/>
      <c r="H182" s="130"/>
      <c r="I182" s="132"/>
      <c r="J182" s="132"/>
    </row>
    <row r="183" spans="1:10" ht="12.75" customHeight="1" x14ac:dyDescent="0.25">
      <c r="A183" s="130"/>
      <c r="B183" s="130"/>
      <c r="C183" s="130"/>
      <c r="D183" s="132"/>
      <c r="E183" s="132"/>
      <c r="F183" s="132"/>
      <c r="G183" s="130"/>
      <c r="H183" s="130"/>
      <c r="I183" s="132"/>
      <c r="J183" s="132"/>
    </row>
    <row r="184" spans="1:10" ht="12.75" customHeight="1" x14ac:dyDescent="0.25">
      <c r="A184" s="130"/>
      <c r="B184" s="130"/>
      <c r="C184" s="130"/>
      <c r="D184" s="132"/>
      <c r="E184" s="132"/>
      <c r="F184" s="131"/>
      <c r="G184" s="130"/>
      <c r="H184" s="130"/>
      <c r="I184" s="132"/>
      <c r="J184" s="132"/>
    </row>
    <row r="185" spans="1:10" ht="12.75" customHeight="1" x14ac:dyDescent="0.25">
      <c r="A185" s="130"/>
      <c r="B185" s="130"/>
      <c r="C185" s="130"/>
      <c r="D185" s="132"/>
      <c r="E185" s="132"/>
      <c r="F185" s="131"/>
      <c r="G185" s="130"/>
      <c r="H185" s="130"/>
      <c r="I185" s="132"/>
      <c r="J185" s="132"/>
    </row>
    <row r="186" spans="1:10" ht="12.75" customHeight="1" x14ac:dyDescent="0.25">
      <c r="A186" s="130"/>
      <c r="B186" s="130"/>
      <c r="C186" s="130"/>
      <c r="D186" s="132"/>
      <c r="E186" s="132"/>
      <c r="F186" s="132"/>
      <c r="G186" s="130"/>
      <c r="H186" s="130"/>
      <c r="I186" s="132"/>
      <c r="J186" s="132"/>
    </row>
    <row r="187" spans="1:10" ht="12.75" customHeight="1" x14ac:dyDescent="0.25">
      <c r="A187" s="130"/>
      <c r="B187" s="130"/>
      <c r="C187" s="130"/>
      <c r="D187" s="132"/>
      <c r="E187" s="132"/>
      <c r="F187" s="131"/>
      <c r="G187" s="130"/>
      <c r="H187" s="130"/>
      <c r="I187" s="132"/>
      <c r="J187" s="132"/>
    </row>
    <row r="188" spans="1:10" ht="12.75" customHeight="1" x14ac:dyDescent="0.25">
      <c r="A188" s="130"/>
      <c r="B188" s="130"/>
      <c r="C188" s="130"/>
      <c r="D188" s="132"/>
      <c r="E188" s="132"/>
      <c r="F188" s="131"/>
      <c r="G188" s="130"/>
      <c r="H188" s="130"/>
      <c r="I188" s="132"/>
      <c r="J188" s="132"/>
    </row>
    <row r="189" spans="1:10" ht="12.75" customHeight="1" x14ac:dyDescent="0.25">
      <c r="A189" s="130"/>
      <c r="B189" s="130"/>
      <c r="C189" s="130"/>
      <c r="D189" s="132"/>
      <c r="E189" s="132"/>
      <c r="F189" s="132"/>
      <c r="G189" s="130"/>
      <c r="H189" s="130"/>
      <c r="I189" s="132"/>
      <c r="J189" s="132"/>
    </row>
    <row r="190" spans="1:10" ht="12.75" customHeight="1" x14ac:dyDescent="0.25">
      <c r="A190" s="130"/>
      <c r="B190" s="130"/>
      <c r="C190" s="130"/>
      <c r="D190" s="132"/>
      <c r="E190" s="132"/>
      <c r="F190" s="131"/>
      <c r="G190" s="130"/>
      <c r="H190" s="130"/>
      <c r="I190" s="132"/>
      <c r="J190" s="132"/>
    </row>
    <row r="191" spans="1:10" ht="12.75" customHeight="1" x14ac:dyDescent="0.25">
      <c r="A191" s="130"/>
      <c r="B191" s="130"/>
      <c r="C191" s="130"/>
      <c r="D191" s="132"/>
      <c r="E191" s="132"/>
      <c r="F191" s="131"/>
      <c r="G191" s="130"/>
      <c r="H191" s="130"/>
      <c r="I191" s="132"/>
      <c r="J191" s="132"/>
    </row>
    <row r="192" spans="1:10" ht="12.75" customHeight="1" x14ac:dyDescent="0.25">
      <c r="A192" s="130"/>
      <c r="B192" s="130"/>
      <c r="C192" s="130"/>
      <c r="D192" s="132"/>
      <c r="E192" s="132"/>
      <c r="F192" s="132"/>
      <c r="G192" s="130"/>
      <c r="H192" s="130"/>
      <c r="I192" s="132"/>
      <c r="J192" s="132"/>
    </row>
    <row r="193" spans="1:10" ht="12.75" customHeight="1" x14ac:dyDescent="0.25">
      <c r="A193" s="130"/>
      <c r="B193" s="130"/>
      <c r="C193" s="130"/>
      <c r="D193" s="132"/>
      <c r="E193" s="132"/>
      <c r="F193" s="131"/>
      <c r="G193" s="130"/>
      <c r="H193" s="130"/>
      <c r="I193" s="132"/>
      <c r="J193" s="132"/>
    </row>
    <row r="194" spans="1:10" ht="12.75" customHeight="1" x14ac:dyDescent="0.25">
      <c r="A194" s="130"/>
      <c r="B194" s="130"/>
      <c r="C194" s="130"/>
      <c r="D194" s="132"/>
      <c r="E194" s="132"/>
      <c r="F194" s="131"/>
      <c r="G194" s="130"/>
      <c r="H194" s="130"/>
      <c r="I194" s="132"/>
      <c r="J194" s="132"/>
    </row>
    <row r="195" spans="1:10" ht="12.75" customHeight="1" x14ac:dyDescent="0.25">
      <c r="A195" s="130"/>
      <c r="B195" s="130"/>
      <c r="C195" s="130"/>
      <c r="D195" s="132"/>
      <c r="E195" s="132"/>
      <c r="F195" s="132"/>
      <c r="G195" s="130"/>
      <c r="H195" s="130"/>
      <c r="I195" s="132"/>
      <c r="J195" s="132"/>
    </row>
    <row r="196" spans="1:10" ht="12.75" customHeight="1" x14ac:dyDescent="0.25">
      <c r="A196" s="130"/>
      <c r="B196" s="130"/>
      <c r="C196" s="130"/>
      <c r="D196" s="132"/>
      <c r="E196" s="132"/>
      <c r="F196" s="131"/>
      <c r="G196" s="130"/>
      <c r="H196" s="130"/>
      <c r="I196" s="132"/>
      <c r="J196" s="132"/>
    </row>
    <row r="197" spans="1:10" ht="12.75" customHeight="1" x14ac:dyDescent="0.25">
      <c r="A197" s="130"/>
      <c r="B197" s="130"/>
      <c r="C197" s="130"/>
      <c r="D197" s="132"/>
      <c r="E197" s="132"/>
      <c r="F197" s="131"/>
      <c r="G197" s="130"/>
      <c r="H197" s="130"/>
      <c r="I197" s="132"/>
      <c r="J197" s="132"/>
    </row>
    <row r="198" spans="1:10" ht="12.75" customHeight="1" x14ac:dyDescent="0.25">
      <c r="A198" s="130"/>
      <c r="B198" s="130"/>
      <c r="C198" s="130"/>
      <c r="D198" s="132"/>
      <c r="E198" s="132"/>
      <c r="F198" s="132"/>
      <c r="G198" s="130"/>
      <c r="H198" s="130"/>
      <c r="I198" s="132"/>
      <c r="J198" s="132"/>
    </row>
    <row r="199" spans="1:10" ht="12.75" customHeight="1" x14ac:dyDescent="0.25">
      <c r="A199" s="130"/>
      <c r="B199" s="130"/>
      <c r="C199" s="130"/>
      <c r="D199" s="132"/>
      <c r="E199" s="132"/>
      <c r="F199" s="131"/>
      <c r="G199" s="130"/>
      <c r="H199" s="130"/>
      <c r="I199" s="132"/>
      <c r="J199" s="132"/>
    </row>
    <row r="200" spans="1:10" ht="12.75" customHeight="1" x14ac:dyDescent="0.25">
      <c r="A200" s="130"/>
      <c r="B200" s="130"/>
      <c r="C200" s="130"/>
      <c r="D200" s="132"/>
      <c r="E200" s="132"/>
      <c r="F200" s="131"/>
      <c r="G200" s="130"/>
      <c r="H200" s="130"/>
      <c r="I200" s="132"/>
      <c r="J200" s="132"/>
    </row>
    <row r="201" spans="1:10" ht="12.75" customHeight="1" x14ac:dyDescent="0.25">
      <c r="A201" s="130"/>
      <c r="B201" s="130"/>
      <c r="C201" s="130"/>
      <c r="D201" s="132"/>
      <c r="E201" s="132"/>
      <c r="F201" s="132"/>
      <c r="G201" s="130"/>
      <c r="H201" s="130"/>
      <c r="I201" s="132"/>
      <c r="J201" s="132"/>
    </row>
    <row r="202" spans="1:10" ht="12.75" customHeight="1" x14ac:dyDescent="0.25">
      <c r="A202" s="130"/>
      <c r="B202" s="130"/>
      <c r="C202" s="130"/>
      <c r="D202" s="132"/>
      <c r="E202" s="132"/>
      <c r="F202" s="131"/>
      <c r="G202" s="130"/>
      <c r="H202" s="130"/>
      <c r="I202" s="132"/>
      <c r="J202" s="132"/>
    </row>
    <row r="203" spans="1:10" ht="12.75" customHeight="1" x14ac:dyDescent="0.25">
      <c r="A203" s="130"/>
      <c r="B203" s="130"/>
      <c r="C203" s="130"/>
      <c r="D203" s="132"/>
      <c r="E203" s="132"/>
      <c r="F203" s="131"/>
      <c r="G203" s="130"/>
      <c r="H203" s="130"/>
      <c r="I203" s="132"/>
      <c r="J203" s="132"/>
    </row>
    <row r="204" spans="1:10" ht="12.75" customHeight="1" x14ac:dyDescent="0.25">
      <c r="A204" s="130"/>
      <c r="B204" s="130"/>
      <c r="C204" s="130"/>
      <c r="D204" s="132"/>
      <c r="E204" s="132"/>
      <c r="F204" s="132"/>
      <c r="G204" s="130"/>
      <c r="H204" s="130"/>
      <c r="I204" s="132"/>
      <c r="J204" s="132"/>
    </row>
    <row r="205" spans="1:10" ht="12.75" customHeight="1" x14ac:dyDescent="0.25">
      <c r="A205" s="130"/>
      <c r="B205" s="130"/>
      <c r="C205" s="130"/>
      <c r="D205" s="132"/>
      <c r="E205" s="132"/>
      <c r="F205" s="131"/>
      <c r="G205" s="130"/>
      <c r="H205" s="130"/>
      <c r="I205" s="132"/>
      <c r="J205" s="132"/>
    </row>
    <row r="206" spans="1:10" ht="12.75" customHeight="1" x14ac:dyDescent="0.25">
      <c r="A206" s="130"/>
      <c r="B206" s="130"/>
      <c r="C206" s="130"/>
      <c r="D206" s="132"/>
      <c r="E206" s="132"/>
      <c r="F206" s="131"/>
      <c r="G206" s="130"/>
      <c r="H206" s="130"/>
      <c r="I206" s="132"/>
      <c r="J206" s="132"/>
    </row>
    <row r="207" spans="1:10" ht="12.75" customHeight="1" x14ac:dyDescent="0.25">
      <c r="A207" s="130"/>
      <c r="B207" s="130"/>
      <c r="C207" s="130"/>
      <c r="D207" s="132"/>
      <c r="E207" s="132"/>
      <c r="F207" s="132"/>
      <c r="G207" s="130"/>
      <c r="H207" s="130"/>
      <c r="I207" s="132"/>
      <c r="J207" s="132"/>
    </row>
    <row r="208" spans="1:10" ht="12.75" customHeight="1" x14ac:dyDescent="0.25">
      <c r="A208" s="130"/>
      <c r="B208" s="130"/>
      <c r="C208" s="130"/>
      <c r="D208" s="132"/>
      <c r="E208" s="132"/>
      <c r="F208" s="131"/>
      <c r="G208" s="130"/>
      <c r="H208" s="130"/>
      <c r="I208" s="132"/>
      <c r="J208" s="132"/>
    </row>
    <row r="209" spans="1:10" ht="12.75" customHeight="1" x14ac:dyDescent="0.25">
      <c r="A209" s="130"/>
      <c r="B209" s="130"/>
      <c r="C209" s="130"/>
      <c r="D209" s="132"/>
      <c r="E209" s="132"/>
      <c r="F209" s="131"/>
      <c r="G209" s="130"/>
      <c r="H209" s="130"/>
      <c r="I209" s="132"/>
      <c r="J209" s="132"/>
    </row>
    <row r="210" spans="1:10" ht="12.75" customHeight="1" x14ac:dyDescent="0.25">
      <c r="A210" s="130"/>
      <c r="B210" s="130"/>
      <c r="C210" s="130"/>
      <c r="D210" s="132"/>
      <c r="E210" s="132"/>
      <c r="F210" s="132"/>
      <c r="G210" s="130"/>
      <c r="H210" s="130"/>
      <c r="I210" s="132"/>
      <c r="J210" s="132"/>
    </row>
    <row r="211" spans="1:10" ht="12.75" customHeight="1" x14ac:dyDescent="0.25">
      <c r="A211" s="130"/>
      <c r="B211" s="130"/>
      <c r="C211" s="130"/>
      <c r="D211" s="132"/>
      <c r="E211" s="132"/>
      <c r="F211" s="131"/>
      <c r="G211" s="130"/>
      <c r="H211" s="130"/>
      <c r="I211" s="132"/>
      <c r="J211" s="132"/>
    </row>
    <row r="212" spans="1:10" ht="12.75" customHeight="1" x14ac:dyDescent="0.25">
      <c r="A212" s="130"/>
      <c r="B212" s="130"/>
      <c r="C212" s="130"/>
      <c r="D212" s="132"/>
      <c r="E212" s="132"/>
      <c r="F212" s="131"/>
      <c r="G212" s="130"/>
      <c r="H212" s="130"/>
      <c r="I212" s="132"/>
      <c r="J212" s="132"/>
    </row>
    <row r="213" spans="1:10" ht="12.75" customHeight="1" x14ac:dyDescent="0.25">
      <c r="A213" s="130"/>
      <c r="B213" s="130"/>
      <c r="C213" s="130"/>
      <c r="D213" s="132"/>
      <c r="E213" s="132"/>
      <c r="F213" s="132"/>
      <c r="G213" s="130"/>
      <c r="H213" s="130"/>
      <c r="I213" s="132"/>
      <c r="J213" s="132"/>
    </row>
    <row r="214" spans="1:10" ht="12.75" customHeight="1" x14ac:dyDescent="0.25">
      <c r="A214" s="130"/>
      <c r="B214" s="130"/>
      <c r="C214" s="130"/>
      <c r="D214" s="132"/>
      <c r="E214" s="132"/>
      <c r="F214" s="131"/>
      <c r="G214" s="130"/>
      <c r="H214" s="130"/>
      <c r="I214" s="132"/>
      <c r="J214" s="132"/>
    </row>
    <row r="215" spans="1:10" ht="12.75" customHeight="1" x14ac:dyDescent="0.25">
      <c r="A215" s="130"/>
      <c r="B215" s="130"/>
      <c r="C215" s="130"/>
      <c r="D215" s="132"/>
      <c r="E215" s="132"/>
      <c r="F215" s="131"/>
      <c r="G215" s="130"/>
      <c r="H215" s="130"/>
      <c r="I215" s="132"/>
      <c r="J215" s="132"/>
    </row>
    <row r="216" spans="1:10" ht="12.75" customHeight="1" x14ac:dyDescent="0.25">
      <c r="A216" s="130"/>
      <c r="B216" s="130"/>
      <c r="C216" s="130"/>
      <c r="D216" s="132"/>
      <c r="E216" s="132"/>
      <c r="F216" s="132"/>
      <c r="G216" s="130"/>
      <c r="H216" s="130"/>
      <c r="I216" s="132"/>
      <c r="J216" s="132"/>
    </row>
    <row r="217" spans="1:10" ht="12.75" customHeight="1" x14ac:dyDescent="0.25">
      <c r="A217" s="130"/>
      <c r="B217" s="130"/>
      <c r="C217" s="130"/>
      <c r="D217" s="132"/>
      <c r="E217" s="132"/>
      <c r="F217" s="131"/>
      <c r="G217" s="130"/>
      <c r="H217" s="130"/>
      <c r="I217" s="132"/>
      <c r="J217" s="132"/>
    </row>
    <row r="218" spans="1:10" ht="12.75" customHeight="1" x14ac:dyDescent="0.25">
      <c r="A218" s="130"/>
      <c r="B218" s="130"/>
      <c r="C218" s="130"/>
      <c r="D218" s="132"/>
      <c r="E218" s="132"/>
      <c r="F218" s="131"/>
      <c r="G218" s="130"/>
      <c r="H218" s="130"/>
      <c r="I218" s="132"/>
      <c r="J218" s="132"/>
    </row>
    <row r="219" spans="1:10" ht="12.75" customHeight="1" x14ac:dyDescent="0.25">
      <c r="A219" s="130"/>
      <c r="B219" s="130"/>
      <c r="C219" s="130"/>
      <c r="D219" s="132"/>
      <c r="E219" s="132"/>
      <c r="F219" s="132"/>
      <c r="G219" s="130"/>
      <c r="H219" s="130"/>
      <c r="I219" s="132"/>
      <c r="J219" s="132"/>
    </row>
    <row r="220" spans="1:10" ht="12.75" customHeight="1" x14ac:dyDescent="0.25">
      <c r="A220" s="130"/>
      <c r="B220" s="130"/>
      <c r="C220" s="130"/>
      <c r="D220" s="132"/>
      <c r="E220" s="132"/>
      <c r="F220" s="131"/>
      <c r="G220" s="130"/>
      <c r="H220" s="130"/>
      <c r="I220" s="132"/>
      <c r="J220" s="132"/>
    </row>
    <row r="221" spans="1:10" ht="12.75" customHeight="1" x14ac:dyDescent="0.25">
      <c r="A221" s="130"/>
      <c r="B221" s="130"/>
      <c r="C221" s="130"/>
      <c r="D221" s="132"/>
      <c r="E221" s="132"/>
      <c r="F221" s="131"/>
      <c r="G221" s="130"/>
      <c r="H221" s="130"/>
      <c r="I221" s="132"/>
      <c r="J221" s="132"/>
    </row>
    <row r="222" spans="1:10" ht="12.75" customHeight="1" x14ac:dyDescent="0.25">
      <c r="A222" s="130"/>
      <c r="B222" s="130"/>
      <c r="C222" s="130"/>
      <c r="D222" s="132"/>
      <c r="E222" s="132"/>
      <c r="F222" s="132"/>
      <c r="G222" s="130"/>
      <c r="H222" s="130"/>
      <c r="I222" s="132"/>
      <c r="J222" s="132"/>
    </row>
    <row r="223" spans="1:10" ht="12.75" customHeight="1" x14ac:dyDescent="0.25">
      <c r="A223" s="130"/>
      <c r="B223" s="130"/>
      <c r="C223" s="130"/>
      <c r="D223" s="132"/>
      <c r="E223" s="132"/>
      <c r="F223" s="131"/>
      <c r="G223" s="130"/>
      <c r="H223" s="130"/>
      <c r="I223" s="132"/>
      <c r="J223" s="132"/>
    </row>
    <row r="224" spans="1:10" ht="12.75" customHeight="1" x14ac:dyDescent="0.25">
      <c r="A224" s="130"/>
      <c r="B224" s="130"/>
      <c r="C224" s="130"/>
      <c r="D224" s="132"/>
      <c r="E224" s="132"/>
      <c r="F224" s="131"/>
      <c r="G224" s="130"/>
      <c r="H224" s="130"/>
      <c r="I224" s="132"/>
      <c r="J224" s="132"/>
    </row>
    <row r="225" spans="1:10" ht="12.75" customHeight="1" x14ac:dyDescent="0.25">
      <c r="A225" s="130"/>
      <c r="B225" s="130"/>
      <c r="C225" s="130"/>
      <c r="D225" s="132"/>
      <c r="E225" s="132"/>
      <c r="F225" s="132"/>
      <c r="G225" s="130"/>
      <c r="H225" s="130"/>
      <c r="I225" s="132"/>
      <c r="J225" s="132"/>
    </row>
    <row r="226" spans="1:10" ht="12.75" customHeight="1" x14ac:dyDescent="0.25">
      <c r="A226" s="130"/>
      <c r="B226" s="130"/>
      <c r="C226" s="130"/>
      <c r="D226" s="132"/>
      <c r="E226" s="132"/>
      <c r="F226" s="131"/>
      <c r="G226" s="130"/>
      <c r="H226" s="130"/>
      <c r="I226" s="132"/>
      <c r="J226" s="132"/>
    </row>
    <row r="227" spans="1:10" ht="12.75" customHeight="1" x14ac:dyDescent="0.25">
      <c r="A227" s="130"/>
      <c r="B227" s="130"/>
      <c r="C227" s="130"/>
      <c r="D227" s="132"/>
      <c r="E227" s="132"/>
      <c r="F227" s="131"/>
      <c r="G227" s="130"/>
      <c r="H227" s="130"/>
      <c r="I227" s="132"/>
      <c r="J227" s="132"/>
    </row>
    <row r="228" spans="1:10" ht="12.75" customHeight="1" x14ac:dyDescent="0.25">
      <c r="A228" s="130"/>
      <c r="B228" s="130"/>
      <c r="C228" s="130"/>
      <c r="D228" s="132"/>
      <c r="E228" s="132"/>
      <c r="F228" s="132"/>
      <c r="G228" s="130"/>
      <c r="H228" s="130"/>
      <c r="I228" s="132"/>
      <c r="J228" s="132"/>
    </row>
    <row r="229" spans="1:10" ht="12.75" customHeight="1" x14ac:dyDescent="0.25">
      <c r="A229" s="130"/>
      <c r="B229" s="130"/>
      <c r="C229" s="130"/>
      <c r="D229" s="132"/>
      <c r="E229" s="132"/>
      <c r="F229" s="131"/>
      <c r="G229" s="130"/>
      <c r="H229" s="130"/>
      <c r="I229" s="132"/>
      <c r="J229" s="132"/>
    </row>
    <row r="230" spans="1:10" ht="12.75" customHeight="1" x14ac:dyDescent="0.25">
      <c r="A230" s="130"/>
      <c r="B230" s="130"/>
      <c r="C230" s="130"/>
      <c r="D230" s="132"/>
      <c r="E230" s="132"/>
      <c r="F230" s="131"/>
      <c r="G230" s="130"/>
      <c r="H230" s="130"/>
      <c r="I230" s="132"/>
      <c r="J230" s="132"/>
    </row>
    <row r="231" spans="1:10" ht="12.75" customHeight="1" x14ac:dyDescent="0.25">
      <c r="A231" s="130"/>
      <c r="B231" s="130"/>
      <c r="C231" s="130"/>
      <c r="D231" s="132"/>
      <c r="E231" s="132"/>
      <c r="F231" s="132"/>
      <c r="G231" s="130"/>
      <c r="H231" s="130"/>
      <c r="I231" s="132"/>
      <c r="J231" s="132"/>
    </row>
    <row r="232" spans="1:10" ht="12.75" customHeight="1" x14ac:dyDescent="0.25">
      <c r="A232" s="130"/>
      <c r="B232" s="130"/>
      <c r="C232" s="130"/>
      <c r="D232" s="132"/>
      <c r="E232" s="132"/>
      <c r="F232" s="131"/>
      <c r="G232" s="130"/>
      <c r="H232" s="130"/>
      <c r="I232" s="132"/>
      <c r="J232" s="132"/>
    </row>
    <row r="233" spans="1:10" ht="12.75" customHeight="1" x14ac:dyDescent="0.25">
      <c r="A233" s="130"/>
      <c r="B233" s="130"/>
      <c r="C233" s="130"/>
      <c r="D233" s="132"/>
      <c r="E233" s="132"/>
      <c r="F233" s="131"/>
      <c r="G233" s="130"/>
      <c r="H233" s="130"/>
      <c r="I233" s="132"/>
      <c r="J233" s="132"/>
    </row>
    <row r="234" spans="1:10" ht="12.75" customHeight="1" x14ac:dyDescent="0.25">
      <c r="A234" s="130"/>
      <c r="B234" s="130"/>
      <c r="C234" s="130"/>
      <c r="D234" s="132"/>
      <c r="E234" s="132"/>
      <c r="F234" s="132"/>
      <c r="G234" s="130"/>
      <c r="H234" s="130"/>
      <c r="I234" s="132"/>
      <c r="J234" s="132"/>
    </row>
    <row r="235" spans="1:10" ht="12.75" customHeight="1" x14ac:dyDescent="0.25">
      <c r="A235" s="130"/>
      <c r="B235" s="130"/>
      <c r="C235" s="130"/>
      <c r="D235" s="132"/>
      <c r="E235" s="132"/>
      <c r="F235" s="131"/>
      <c r="G235" s="130"/>
      <c r="H235" s="130"/>
      <c r="I235" s="132"/>
      <c r="J235" s="132"/>
    </row>
    <row r="236" spans="1:10" ht="12.75" customHeight="1" x14ac:dyDescent="0.25">
      <c r="A236" s="130"/>
      <c r="B236" s="130"/>
      <c r="C236" s="130"/>
      <c r="D236" s="132"/>
      <c r="E236" s="132"/>
      <c r="F236" s="131"/>
      <c r="G236" s="130"/>
      <c r="H236" s="130"/>
      <c r="I236" s="132"/>
      <c r="J236" s="132"/>
    </row>
    <row r="237" spans="1:10" ht="12.75" customHeight="1" x14ac:dyDescent="0.25">
      <c r="A237" s="130"/>
      <c r="B237" s="130"/>
      <c r="C237" s="130"/>
      <c r="D237" s="132"/>
      <c r="E237" s="132"/>
      <c r="F237" s="132"/>
      <c r="G237" s="130"/>
      <c r="H237" s="130"/>
      <c r="I237" s="132"/>
      <c r="J237" s="132"/>
    </row>
    <row r="238" spans="1:10" ht="12.75" customHeight="1" x14ac:dyDescent="0.25">
      <c r="A238" s="130"/>
      <c r="B238" s="130"/>
      <c r="C238" s="130"/>
      <c r="D238" s="132"/>
      <c r="E238" s="132"/>
      <c r="F238" s="131"/>
      <c r="G238" s="130"/>
      <c r="H238" s="130"/>
      <c r="I238" s="132"/>
      <c r="J238" s="132"/>
    </row>
    <row r="239" spans="1:10" ht="12.75" customHeight="1" x14ac:dyDescent="0.25">
      <c r="A239" s="130"/>
      <c r="B239" s="130"/>
      <c r="C239" s="130"/>
      <c r="D239" s="132"/>
      <c r="E239" s="132"/>
      <c r="F239" s="131"/>
      <c r="G239" s="130"/>
      <c r="H239" s="130"/>
      <c r="I239" s="132"/>
      <c r="J239" s="132"/>
    </row>
    <row r="240" spans="1:10" ht="12.75" customHeight="1" x14ac:dyDescent="0.25">
      <c r="A240" s="130"/>
      <c r="B240" s="130"/>
      <c r="C240" s="130"/>
      <c r="D240" s="132"/>
      <c r="E240" s="132"/>
      <c r="F240" s="132"/>
      <c r="G240" s="130"/>
      <c r="H240" s="130"/>
      <c r="I240" s="132"/>
      <c r="J240" s="132"/>
    </row>
    <row r="241" spans="1:10" ht="12.75" customHeight="1" x14ac:dyDescent="0.25">
      <c r="A241" s="130"/>
      <c r="B241" s="130"/>
      <c r="C241" s="130"/>
      <c r="D241" s="132"/>
      <c r="E241" s="132"/>
      <c r="F241" s="131"/>
      <c r="G241" s="130"/>
      <c r="H241" s="130"/>
      <c r="I241" s="132"/>
      <c r="J241" s="132"/>
    </row>
    <row r="242" spans="1:10" ht="12.75" customHeight="1" x14ac:dyDescent="0.25">
      <c r="A242" s="130"/>
      <c r="B242" s="130"/>
      <c r="C242" s="130"/>
      <c r="D242" s="132"/>
      <c r="E242" s="132"/>
      <c r="F242" s="131"/>
      <c r="G242" s="130"/>
      <c r="H242" s="130"/>
      <c r="I242" s="132"/>
      <c r="J242" s="132"/>
    </row>
    <row r="243" spans="1:10" ht="12.75" customHeight="1" x14ac:dyDescent="0.25">
      <c r="A243" s="130"/>
      <c r="B243" s="130"/>
      <c r="C243" s="130"/>
      <c r="D243" s="132"/>
      <c r="E243" s="132"/>
      <c r="F243" s="132"/>
      <c r="G243" s="130"/>
      <c r="H243" s="130"/>
      <c r="I243" s="132"/>
      <c r="J243" s="132"/>
    </row>
    <row r="244" spans="1:10" ht="12.75" customHeight="1" x14ac:dyDescent="0.25">
      <c r="A244" s="130"/>
      <c r="B244" s="130"/>
      <c r="C244" s="130"/>
      <c r="D244" s="132"/>
      <c r="E244" s="132"/>
      <c r="F244" s="131"/>
      <c r="G244" s="130"/>
      <c r="H244" s="130"/>
      <c r="I244" s="132"/>
      <c r="J244" s="132"/>
    </row>
    <row r="245" spans="1:10" ht="12.75" customHeight="1" x14ac:dyDescent="0.25">
      <c r="A245" s="130"/>
      <c r="B245" s="130"/>
      <c r="C245" s="130"/>
      <c r="D245" s="132"/>
      <c r="E245" s="132"/>
      <c r="F245" s="131"/>
      <c r="G245" s="130"/>
      <c r="H245" s="130"/>
      <c r="I245" s="132"/>
      <c r="J245" s="132"/>
    </row>
    <row r="246" spans="1:10" ht="12.75" customHeight="1" x14ac:dyDescent="0.25">
      <c r="A246" s="130"/>
      <c r="B246" s="130"/>
      <c r="C246" s="130"/>
      <c r="D246" s="132"/>
      <c r="E246" s="132"/>
      <c r="F246" s="132"/>
      <c r="G246" s="130"/>
      <c r="H246" s="130"/>
      <c r="I246" s="132"/>
      <c r="J246" s="132"/>
    </row>
    <row r="247" spans="1:10" ht="12.75" customHeight="1" x14ac:dyDescent="0.25">
      <c r="A247" s="130"/>
      <c r="B247" s="130"/>
      <c r="C247" s="130"/>
      <c r="D247" s="132"/>
      <c r="E247" s="132"/>
      <c r="F247" s="131"/>
      <c r="G247" s="130"/>
      <c r="H247" s="130"/>
      <c r="I247" s="132"/>
      <c r="J247" s="132"/>
    </row>
    <row r="248" spans="1:10" ht="12.75" customHeight="1" x14ac:dyDescent="0.25">
      <c r="A248" s="130"/>
      <c r="B248" s="130"/>
      <c r="C248" s="130"/>
      <c r="D248" s="132"/>
      <c r="E248" s="132"/>
      <c r="F248" s="131"/>
      <c r="G248" s="130"/>
      <c r="H248" s="130"/>
      <c r="I248" s="132"/>
      <c r="J248" s="132"/>
    </row>
    <row r="249" spans="1:10" ht="12.75" customHeight="1" x14ac:dyDescent="0.25">
      <c r="A249" s="130"/>
      <c r="B249" s="130"/>
      <c r="C249" s="130"/>
      <c r="D249" s="132"/>
      <c r="E249" s="132"/>
      <c r="F249" s="132"/>
      <c r="G249" s="130"/>
      <c r="H249" s="130"/>
      <c r="I249" s="132"/>
      <c r="J249" s="132"/>
    </row>
    <row r="250" spans="1:10" ht="12.75" customHeight="1" x14ac:dyDescent="0.25">
      <c r="A250" s="130"/>
      <c r="B250" s="130"/>
      <c r="C250" s="130"/>
      <c r="D250" s="132"/>
      <c r="E250" s="132"/>
      <c r="F250" s="131"/>
      <c r="G250" s="130"/>
      <c r="H250" s="130"/>
      <c r="I250" s="132"/>
      <c r="J250" s="132"/>
    </row>
    <row r="251" spans="1:10" ht="12.75" customHeight="1" x14ac:dyDescent="0.25">
      <c r="A251" s="130"/>
      <c r="B251" s="130"/>
      <c r="C251" s="130"/>
      <c r="D251" s="132"/>
      <c r="E251" s="132"/>
      <c r="F251" s="131"/>
      <c r="G251" s="130"/>
      <c r="H251" s="130"/>
      <c r="I251" s="132"/>
      <c r="J251" s="132"/>
    </row>
    <row r="252" spans="1:10" ht="12.75" customHeight="1" x14ac:dyDescent="0.25">
      <c r="A252" s="130"/>
      <c r="B252" s="130"/>
      <c r="C252" s="130"/>
      <c r="D252" s="132"/>
      <c r="E252" s="132"/>
      <c r="F252" s="132"/>
      <c r="G252" s="130"/>
      <c r="H252" s="130"/>
      <c r="I252" s="132"/>
      <c r="J252" s="132"/>
    </row>
    <row r="253" spans="1:10" ht="12.75" customHeight="1" x14ac:dyDescent="0.25">
      <c r="A253" s="130"/>
      <c r="B253" s="130"/>
      <c r="C253" s="130"/>
      <c r="D253" s="132"/>
      <c r="E253" s="132"/>
      <c r="F253" s="131"/>
      <c r="G253" s="130"/>
      <c r="H253" s="130"/>
      <c r="I253" s="132"/>
      <c r="J253" s="132"/>
    </row>
    <row r="254" spans="1:10" ht="12.75" customHeight="1" x14ac:dyDescent="0.25">
      <c r="A254" s="130"/>
      <c r="B254" s="130"/>
      <c r="C254" s="130"/>
      <c r="D254" s="132"/>
      <c r="E254" s="132"/>
      <c r="F254" s="131"/>
      <c r="G254" s="130"/>
      <c r="H254" s="130"/>
      <c r="I254" s="132"/>
      <c r="J254" s="132"/>
    </row>
    <row r="255" spans="1:10" ht="12.75" customHeight="1" x14ac:dyDescent="0.25">
      <c r="A255" s="130"/>
      <c r="B255" s="130"/>
      <c r="C255" s="130"/>
      <c r="D255" s="132"/>
      <c r="E255" s="132"/>
      <c r="F255" s="132"/>
      <c r="G255" s="130"/>
      <c r="H255" s="130"/>
      <c r="I255" s="132"/>
      <c r="J255" s="132"/>
    </row>
    <row r="256" spans="1:10" ht="12.75" customHeight="1" x14ac:dyDescent="0.25">
      <c r="A256" s="130"/>
      <c r="B256" s="130"/>
      <c r="C256" s="130"/>
      <c r="D256" s="132"/>
      <c r="E256" s="132"/>
      <c r="F256" s="131"/>
      <c r="G256" s="130"/>
      <c r="H256" s="130"/>
      <c r="I256" s="132"/>
      <c r="J256" s="132"/>
    </row>
    <row r="257" spans="1:10" ht="12.75" customHeight="1" x14ac:dyDescent="0.25">
      <c r="A257" s="130"/>
      <c r="B257" s="130"/>
      <c r="C257" s="130"/>
      <c r="D257" s="132"/>
      <c r="E257" s="132"/>
      <c r="F257" s="131"/>
      <c r="G257" s="130"/>
      <c r="H257" s="130"/>
      <c r="I257" s="132"/>
      <c r="J257" s="132"/>
    </row>
    <row r="258" spans="1:10" ht="12.75" customHeight="1" x14ac:dyDescent="0.25">
      <c r="A258" s="130"/>
      <c r="B258" s="130"/>
      <c r="C258" s="130"/>
      <c r="D258" s="132"/>
      <c r="E258" s="132"/>
      <c r="F258" s="132"/>
      <c r="G258" s="130"/>
      <c r="H258" s="130"/>
      <c r="I258" s="132"/>
      <c r="J258" s="132"/>
    </row>
    <row r="259" spans="1:10" ht="12.75" customHeight="1" x14ac:dyDescent="0.25">
      <c r="A259" s="130"/>
      <c r="B259" s="130"/>
      <c r="C259" s="130"/>
      <c r="D259" s="132"/>
      <c r="E259" s="132"/>
      <c r="F259" s="131"/>
      <c r="G259" s="130"/>
      <c r="H259" s="130"/>
      <c r="I259" s="132"/>
      <c r="J259" s="132"/>
    </row>
    <row r="260" spans="1:10" ht="12.75" customHeight="1" x14ac:dyDescent="0.25">
      <c r="A260" s="130"/>
      <c r="B260" s="130"/>
      <c r="C260" s="130"/>
      <c r="D260" s="132"/>
      <c r="E260" s="132"/>
      <c r="F260" s="131"/>
      <c r="G260" s="130"/>
      <c r="H260" s="130"/>
      <c r="I260" s="132"/>
      <c r="J260" s="132"/>
    </row>
    <row r="261" spans="1:10" ht="12.75" customHeight="1" x14ac:dyDescent="0.25">
      <c r="A261" s="130"/>
      <c r="B261" s="130"/>
      <c r="C261" s="130"/>
      <c r="D261" s="132"/>
      <c r="E261" s="132"/>
      <c r="F261" s="132"/>
      <c r="G261" s="130"/>
      <c r="H261" s="130"/>
      <c r="I261" s="132"/>
      <c r="J261" s="132"/>
    </row>
    <row r="262" spans="1:10" ht="12.75" customHeight="1" x14ac:dyDescent="0.25">
      <c r="A262" s="130"/>
      <c r="B262" s="130"/>
      <c r="C262" s="130"/>
      <c r="D262" s="132"/>
      <c r="E262" s="132"/>
      <c r="F262" s="131"/>
      <c r="G262" s="130"/>
      <c r="H262" s="130"/>
      <c r="I262" s="132"/>
      <c r="J262" s="132"/>
    </row>
    <row r="263" spans="1:10" ht="12.75" customHeight="1" x14ac:dyDescent="0.25">
      <c r="A263" s="130"/>
      <c r="B263" s="130"/>
      <c r="C263" s="130"/>
      <c r="D263" s="132"/>
      <c r="E263" s="132"/>
      <c r="F263" s="131"/>
      <c r="G263" s="130"/>
      <c r="H263" s="130"/>
      <c r="I263" s="132"/>
      <c r="J263" s="132"/>
    </row>
    <row r="264" spans="1:10" ht="12.75" customHeight="1" x14ac:dyDescent="0.25">
      <c r="A264" s="130"/>
      <c r="B264" s="130"/>
      <c r="C264" s="130"/>
      <c r="D264" s="132"/>
      <c r="E264" s="132"/>
      <c r="F264" s="132"/>
      <c r="G264" s="130"/>
      <c r="H264" s="130"/>
      <c r="I264" s="132"/>
      <c r="J264" s="132"/>
    </row>
    <row r="265" spans="1:10" ht="12.75" customHeight="1" x14ac:dyDescent="0.25">
      <c r="A265" s="130"/>
      <c r="B265" s="130"/>
      <c r="C265" s="130"/>
      <c r="D265" s="132"/>
      <c r="E265" s="132"/>
      <c r="F265" s="131"/>
      <c r="G265" s="130"/>
      <c r="H265" s="130"/>
      <c r="I265" s="132"/>
      <c r="J265" s="132"/>
    </row>
    <row r="266" spans="1:10" ht="12.75" customHeight="1" x14ac:dyDescent="0.25">
      <c r="A266" s="130"/>
      <c r="B266" s="130"/>
      <c r="C266" s="130"/>
      <c r="D266" s="132"/>
      <c r="E266" s="132"/>
      <c r="F266" s="131"/>
      <c r="G266" s="130"/>
      <c r="H266" s="130"/>
      <c r="I266" s="132"/>
      <c r="J266" s="132"/>
    </row>
    <row r="267" spans="1:10" ht="12.75" customHeight="1" x14ac:dyDescent="0.25">
      <c r="A267" s="130"/>
      <c r="B267" s="130"/>
      <c r="C267" s="130"/>
      <c r="D267" s="132"/>
      <c r="E267" s="132"/>
      <c r="F267" s="132"/>
      <c r="G267" s="130"/>
      <c r="H267" s="130"/>
      <c r="I267" s="132"/>
      <c r="J267" s="132"/>
    </row>
    <row r="268" spans="1:10" ht="12.75" customHeight="1" x14ac:dyDescent="0.25">
      <c r="A268" s="130"/>
      <c r="B268" s="130"/>
      <c r="C268" s="130"/>
      <c r="D268" s="132"/>
      <c r="E268" s="132"/>
      <c r="F268" s="131"/>
      <c r="G268" s="130"/>
      <c r="H268" s="130"/>
      <c r="I268" s="132"/>
      <c r="J268" s="132"/>
    </row>
    <row r="269" spans="1:10" ht="12.75" customHeight="1" x14ac:dyDescent="0.25">
      <c r="A269" s="130"/>
      <c r="B269" s="130"/>
      <c r="C269" s="130"/>
      <c r="D269" s="132"/>
      <c r="E269" s="132"/>
      <c r="F269" s="131"/>
      <c r="G269" s="130"/>
      <c r="H269" s="130"/>
      <c r="I269" s="132"/>
      <c r="J269" s="132"/>
    </row>
    <row r="270" spans="1:10" ht="12.75" customHeight="1" x14ac:dyDescent="0.25">
      <c r="A270" s="130"/>
      <c r="B270" s="130"/>
      <c r="C270" s="130"/>
      <c r="D270" s="132"/>
      <c r="E270" s="132"/>
      <c r="F270" s="132"/>
      <c r="G270" s="130"/>
      <c r="H270" s="130"/>
      <c r="I270" s="132"/>
      <c r="J270" s="132"/>
    </row>
    <row r="271" spans="1:10" ht="12.75" customHeight="1" x14ac:dyDescent="0.25">
      <c r="A271" s="130"/>
      <c r="B271" s="130"/>
      <c r="C271" s="130"/>
      <c r="D271" s="132"/>
      <c r="E271" s="132"/>
      <c r="F271" s="131"/>
      <c r="G271" s="130"/>
      <c r="H271" s="130"/>
      <c r="I271" s="132"/>
      <c r="J271" s="132"/>
    </row>
    <row r="272" spans="1:10" ht="12.75" customHeight="1" x14ac:dyDescent="0.25">
      <c r="A272" s="130"/>
      <c r="B272" s="130"/>
      <c r="C272" s="130"/>
      <c r="D272" s="132"/>
      <c r="E272" s="132"/>
      <c r="F272" s="131"/>
      <c r="G272" s="130"/>
      <c r="H272" s="130"/>
      <c r="I272" s="132"/>
      <c r="J272" s="132"/>
    </row>
    <row r="273" spans="1:10" ht="12.75" customHeight="1" x14ac:dyDescent="0.25">
      <c r="A273" s="130"/>
      <c r="B273" s="130"/>
      <c r="C273" s="130"/>
      <c r="D273" s="132"/>
      <c r="E273" s="132"/>
      <c r="F273" s="132"/>
      <c r="G273" s="130"/>
      <c r="H273" s="130"/>
      <c r="I273" s="132"/>
      <c r="J273" s="132"/>
    </row>
    <row r="274" spans="1:10" ht="12.75" customHeight="1" x14ac:dyDescent="0.25">
      <c r="A274" s="130"/>
      <c r="B274" s="130"/>
      <c r="C274" s="130"/>
      <c r="D274" s="132"/>
      <c r="E274" s="132"/>
      <c r="F274" s="131"/>
      <c r="G274" s="130"/>
      <c r="H274" s="130"/>
      <c r="I274" s="132"/>
      <c r="J274" s="132"/>
    </row>
    <row r="275" spans="1:10" ht="12.75" customHeight="1" x14ac:dyDescent="0.25">
      <c r="A275" s="130"/>
      <c r="B275" s="130"/>
      <c r="C275" s="130"/>
      <c r="D275" s="132"/>
      <c r="E275" s="132"/>
      <c r="F275" s="131"/>
      <c r="G275" s="130"/>
      <c r="H275" s="130"/>
      <c r="I275" s="132"/>
      <c r="J275" s="132"/>
    </row>
    <row r="276" spans="1:10" ht="12.75" customHeight="1" x14ac:dyDescent="0.25">
      <c r="A276" s="130"/>
      <c r="B276" s="130"/>
      <c r="C276" s="130"/>
      <c r="D276" s="132"/>
      <c r="E276" s="132"/>
      <c r="F276" s="132"/>
      <c r="G276" s="130"/>
      <c r="H276" s="130"/>
      <c r="I276" s="132"/>
      <c r="J276" s="132"/>
    </row>
    <row r="277" spans="1:10" ht="12.75" customHeight="1" x14ac:dyDescent="0.25">
      <c r="A277" s="130"/>
      <c r="B277" s="130"/>
      <c r="C277" s="130"/>
      <c r="D277" s="132"/>
      <c r="E277" s="132"/>
      <c r="F277" s="131"/>
      <c r="G277" s="130"/>
      <c r="H277" s="130"/>
      <c r="I277" s="132"/>
      <c r="J277" s="132"/>
    </row>
    <row r="278" spans="1:10" ht="12.75" customHeight="1" x14ac:dyDescent="0.25">
      <c r="A278" s="130"/>
      <c r="B278" s="130"/>
      <c r="C278" s="130"/>
      <c r="D278" s="132"/>
      <c r="E278" s="132"/>
      <c r="F278" s="131"/>
      <c r="G278" s="130"/>
      <c r="H278" s="130"/>
      <c r="I278" s="132"/>
      <c r="J278" s="132"/>
    </row>
    <row r="279" spans="1:10" ht="12.75" customHeight="1" x14ac:dyDescent="0.25">
      <c r="A279" s="130"/>
      <c r="B279" s="130"/>
      <c r="C279" s="130"/>
      <c r="D279" s="132"/>
      <c r="E279" s="132"/>
      <c r="F279" s="132"/>
      <c r="G279" s="130"/>
      <c r="H279" s="130"/>
      <c r="I279" s="132"/>
      <c r="J279" s="132"/>
    </row>
    <row r="280" spans="1:10" ht="12.75" customHeight="1" x14ac:dyDescent="0.25">
      <c r="A280" s="130"/>
      <c r="B280" s="130"/>
      <c r="C280" s="130"/>
      <c r="D280" s="132"/>
      <c r="E280" s="132"/>
      <c r="F280" s="131"/>
      <c r="G280" s="130"/>
      <c r="H280" s="130"/>
      <c r="I280" s="132"/>
      <c r="J280" s="132"/>
    </row>
    <row r="281" spans="1:10" ht="12.75" customHeight="1" x14ac:dyDescent="0.25">
      <c r="A281" s="130"/>
      <c r="B281" s="130"/>
      <c r="C281" s="130"/>
      <c r="D281" s="132"/>
      <c r="E281" s="132"/>
      <c r="F281" s="131"/>
      <c r="G281" s="130"/>
      <c r="H281" s="130"/>
      <c r="I281" s="132"/>
      <c r="J281" s="132"/>
    </row>
    <row r="282" spans="1:10" ht="12.75" customHeight="1" x14ac:dyDescent="0.25">
      <c r="A282" s="130"/>
      <c r="B282" s="130"/>
      <c r="C282" s="130"/>
      <c r="D282" s="132"/>
      <c r="E282" s="132"/>
      <c r="F282" s="132"/>
      <c r="G282" s="130"/>
      <c r="H282" s="130"/>
      <c r="I282" s="132"/>
      <c r="J282" s="132"/>
    </row>
    <row r="283" spans="1:10" ht="12.75" customHeight="1" x14ac:dyDescent="0.25">
      <c r="A283" s="130"/>
      <c r="B283" s="130"/>
      <c r="C283" s="130"/>
      <c r="D283" s="132"/>
      <c r="E283" s="132"/>
      <c r="F283" s="131"/>
      <c r="G283" s="130"/>
      <c r="H283" s="130"/>
      <c r="I283" s="132"/>
      <c r="J283" s="132"/>
    </row>
    <row r="284" spans="1:10" ht="12.75" customHeight="1" x14ac:dyDescent="0.25">
      <c r="A284" s="130"/>
      <c r="B284" s="130"/>
      <c r="C284" s="130"/>
      <c r="D284" s="132"/>
      <c r="E284" s="132"/>
      <c r="F284" s="131"/>
      <c r="G284" s="130"/>
      <c r="H284" s="130"/>
      <c r="I284" s="132"/>
      <c r="J284" s="132"/>
    </row>
    <row r="285" spans="1:10" ht="12.75" customHeight="1" x14ac:dyDescent="0.25">
      <c r="A285" s="130"/>
      <c r="B285" s="130"/>
      <c r="C285" s="130"/>
      <c r="D285" s="132"/>
      <c r="E285" s="132"/>
      <c r="F285" s="132"/>
      <c r="G285" s="130"/>
      <c r="H285" s="130"/>
      <c r="I285" s="132"/>
      <c r="J285" s="132"/>
    </row>
    <row r="286" spans="1:10" ht="12.75" customHeight="1" x14ac:dyDescent="0.25">
      <c r="A286" s="130"/>
      <c r="B286" s="130"/>
      <c r="C286" s="130"/>
      <c r="D286" s="132"/>
      <c r="E286" s="132"/>
      <c r="F286" s="131"/>
      <c r="G286" s="130"/>
      <c r="H286" s="130"/>
      <c r="I286" s="132"/>
      <c r="J286" s="132"/>
    </row>
    <row r="287" spans="1:10" ht="12.75" customHeight="1" x14ac:dyDescent="0.25">
      <c r="A287" s="130"/>
      <c r="B287" s="130"/>
      <c r="C287" s="130"/>
      <c r="D287" s="132"/>
      <c r="E287" s="132"/>
      <c r="F287" s="131"/>
      <c r="G287" s="130"/>
      <c r="H287" s="130"/>
      <c r="I287" s="132"/>
      <c r="J287" s="132"/>
    </row>
    <row r="288" spans="1:10" ht="12.75" customHeight="1" x14ac:dyDescent="0.25">
      <c r="A288" s="130"/>
      <c r="B288" s="130"/>
      <c r="C288" s="130"/>
      <c r="D288" s="132"/>
      <c r="E288" s="132"/>
      <c r="F288" s="132"/>
      <c r="G288" s="130"/>
      <c r="H288" s="130"/>
      <c r="I288" s="132"/>
      <c r="J288" s="132"/>
    </row>
    <row r="289" spans="1:10" ht="12.75" customHeight="1" x14ac:dyDescent="0.25">
      <c r="A289" s="130"/>
      <c r="B289" s="130"/>
      <c r="C289" s="130"/>
      <c r="D289" s="132"/>
      <c r="E289" s="132"/>
      <c r="F289" s="131"/>
      <c r="G289" s="130"/>
      <c r="H289" s="130"/>
      <c r="I289" s="132"/>
      <c r="J289" s="132"/>
    </row>
    <row r="290" spans="1:10" ht="12.75" customHeight="1" x14ac:dyDescent="0.25">
      <c r="A290" s="130"/>
      <c r="B290" s="130"/>
      <c r="C290" s="130"/>
      <c r="D290" s="132"/>
      <c r="E290" s="132"/>
      <c r="F290" s="131"/>
      <c r="G290" s="130"/>
      <c r="H290" s="130"/>
      <c r="I290" s="132"/>
      <c r="J290" s="132"/>
    </row>
    <row r="291" spans="1:10" ht="12.75" customHeight="1" x14ac:dyDescent="0.25">
      <c r="A291" s="130"/>
      <c r="B291" s="130"/>
      <c r="C291" s="130"/>
      <c r="D291" s="132"/>
      <c r="E291" s="132"/>
      <c r="F291" s="132"/>
      <c r="G291" s="130"/>
      <c r="H291" s="130"/>
      <c r="I291" s="132"/>
      <c r="J291" s="132"/>
    </row>
    <row r="292" spans="1:10" ht="12.75" customHeight="1" x14ac:dyDescent="0.25">
      <c r="A292" s="130"/>
      <c r="B292" s="130"/>
      <c r="C292" s="130"/>
      <c r="D292" s="132"/>
      <c r="E292" s="132"/>
      <c r="F292" s="131"/>
      <c r="G292" s="130"/>
      <c r="H292" s="130"/>
      <c r="I292" s="132"/>
      <c r="J292" s="132"/>
    </row>
    <row r="293" spans="1:10" ht="12.75" customHeight="1" x14ac:dyDescent="0.25">
      <c r="A293" s="130"/>
      <c r="B293" s="130"/>
      <c r="C293" s="130"/>
      <c r="D293" s="132"/>
      <c r="E293" s="132"/>
      <c r="F293" s="131"/>
      <c r="G293" s="130"/>
      <c r="H293" s="130"/>
      <c r="I293" s="132"/>
      <c r="J293" s="132"/>
    </row>
    <row r="294" spans="1:10" ht="12.75" customHeight="1" x14ac:dyDescent="0.25">
      <c r="A294" s="130"/>
      <c r="B294" s="130"/>
      <c r="C294" s="130"/>
      <c r="D294" s="132"/>
      <c r="E294" s="132"/>
      <c r="F294" s="132"/>
      <c r="G294" s="130"/>
      <c r="H294" s="130"/>
      <c r="I294" s="132"/>
      <c r="J294" s="132"/>
    </row>
    <row r="295" spans="1:10" ht="12.75" customHeight="1" x14ac:dyDescent="0.25">
      <c r="A295" s="130"/>
      <c r="B295" s="130"/>
      <c r="C295" s="130"/>
      <c r="D295" s="132"/>
      <c r="E295" s="132"/>
      <c r="F295" s="131"/>
      <c r="G295" s="130"/>
      <c r="H295" s="130"/>
      <c r="I295" s="132"/>
      <c r="J295" s="132"/>
    </row>
    <row r="296" spans="1:10" ht="12.75" customHeight="1" x14ac:dyDescent="0.25">
      <c r="A296" s="130"/>
      <c r="B296" s="130"/>
      <c r="C296" s="130"/>
      <c r="D296" s="132"/>
      <c r="E296" s="132"/>
      <c r="F296" s="131"/>
      <c r="G296" s="130"/>
      <c r="H296" s="130"/>
      <c r="I296" s="132"/>
      <c r="J296" s="132"/>
    </row>
    <row r="297" spans="1:10" ht="12.75" customHeight="1" x14ac:dyDescent="0.25">
      <c r="A297" s="130"/>
      <c r="B297" s="130"/>
      <c r="C297" s="130"/>
      <c r="D297" s="132"/>
      <c r="E297" s="132"/>
      <c r="F297" s="132"/>
      <c r="G297" s="130"/>
      <c r="H297" s="130"/>
      <c r="I297" s="132"/>
      <c r="J297" s="132"/>
    </row>
    <row r="298" spans="1:10" ht="12.75" customHeight="1" x14ac:dyDescent="0.25">
      <c r="A298" s="130"/>
      <c r="B298" s="130"/>
      <c r="C298" s="130"/>
      <c r="D298" s="132"/>
      <c r="E298" s="132"/>
      <c r="F298" s="131"/>
      <c r="G298" s="130"/>
      <c r="H298" s="130"/>
      <c r="I298" s="132"/>
      <c r="J298" s="132"/>
    </row>
    <row r="299" spans="1:10" ht="12.75" customHeight="1" x14ac:dyDescent="0.25">
      <c r="A299" s="130"/>
      <c r="B299" s="130"/>
      <c r="C299" s="130"/>
      <c r="D299" s="132"/>
      <c r="E299" s="132"/>
      <c r="F299" s="131"/>
      <c r="G299" s="130"/>
      <c r="H299" s="130"/>
      <c r="I299" s="132"/>
      <c r="J299" s="132"/>
    </row>
    <row r="300" spans="1:10" ht="12.75" customHeight="1" x14ac:dyDescent="0.25">
      <c r="A300" s="130"/>
      <c r="B300" s="130"/>
      <c r="C300" s="130"/>
      <c r="D300" s="132"/>
      <c r="E300" s="132"/>
      <c r="F300" s="132"/>
      <c r="G300" s="130"/>
      <c r="H300" s="130"/>
      <c r="I300" s="132"/>
      <c r="J300" s="132"/>
    </row>
    <row r="301" spans="1:10" ht="12.75" customHeight="1" x14ac:dyDescent="0.25">
      <c r="A301" s="130"/>
      <c r="B301" s="130"/>
      <c r="C301" s="130"/>
      <c r="D301" s="132"/>
      <c r="E301" s="132"/>
      <c r="F301" s="131"/>
      <c r="G301" s="130"/>
      <c r="H301" s="130"/>
      <c r="I301" s="132"/>
      <c r="J301" s="132"/>
    </row>
    <row r="302" spans="1:10" ht="12.75" customHeight="1" x14ac:dyDescent="0.25">
      <c r="A302" s="130"/>
      <c r="B302" s="130"/>
      <c r="C302" s="130"/>
      <c r="D302" s="132"/>
      <c r="E302" s="132"/>
      <c r="F302" s="131"/>
      <c r="G302" s="130"/>
      <c r="H302" s="130"/>
      <c r="I302" s="132"/>
      <c r="J302" s="132"/>
    </row>
    <row r="303" spans="1:10" ht="12.75" customHeight="1" x14ac:dyDescent="0.25">
      <c r="A303" s="130"/>
      <c r="B303" s="130"/>
      <c r="C303" s="130"/>
      <c r="D303" s="132"/>
      <c r="E303" s="132"/>
      <c r="F303" s="132"/>
      <c r="G303" s="130"/>
      <c r="H303" s="130"/>
      <c r="I303" s="132"/>
      <c r="J303" s="132"/>
    </row>
    <row r="304" spans="1:10" ht="12.75" customHeight="1" x14ac:dyDescent="0.25">
      <c r="A304" s="130"/>
      <c r="B304" s="130"/>
      <c r="C304" s="130"/>
      <c r="D304" s="132"/>
      <c r="E304" s="132"/>
      <c r="F304" s="131"/>
      <c r="G304" s="130"/>
      <c r="H304" s="130"/>
      <c r="I304" s="132"/>
      <c r="J304" s="132"/>
    </row>
    <row r="305" spans="1:10" ht="12.75" customHeight="1" x14ac:dyDescent="0.25">
      <c r="A305" s="130"/>
      <c r="B305" s="130"/>
      <c r="C305" s="130"/>
      <c r="D305" s="132"/>
      <c r="E305" s="132"/>
      <c r="F305" s="131"/>
      <c r="G305" s="130"/>
      <c r="H305" s="130"/>
      <c r="I305" s="132"/>
      <c r="J305" s="132"/>
    </row>
    <row r="306" spans="1:10" ht="12.75" customHeight="1" x14ac:dyDescent="0.25">
      <c r="A306" s="130"/>
      <c r="B306" s="130"/>
      <c r="C306" s="130"/>
      <c r="D306" s="132"/>
      <c r="E306" s="132"/>
      <c r="F306" s="132"/>
      <c r="G306" s="130"/>
      <c r="H306" s="130"/>
      <c r="I306" s="132"/>
      <c r="J306" s="132"/>
    </row>
    <row r="307" spans="1:10" ht="12.75" customHeight="1" x14ac:dyDescent="0.25">
      <c r="A307" s="130"/>
      <c r="B307" s="130"/>
      <c r="C307" s="130"/>
      <c r="D307" s="132"/>
      <c r="E307" s="132"/>
      <c r="F307" s="131"/>
      <c r="G307" s="130"/>
      <c r="H307" s="130"/>
      <c r="I307" s="132"/>
      <c r="J307" s="132"/>
    </row>
    <row r="308" spans="1:10" ht="12.75" customHeight="1" x14ac:dyDescent="0.25">
      <c r="A308" s="130"/>
      <c r="B308" s="130"/>
      <c r="C308" s="130"/>
      <c r="D308" s="132"/>
      <c r="E308" s="132"/>
      <c r="F308" s="131"/>
      <c r="G308" s="130"/>
      <c r="H308" s="130"/>
      <c r="I308" s="132"/>
      <c r="J308" s="132"/>
    </row>
    <row r="309" spans="1:10" ht="12.75" customHeight="1" x14ac:dyDescent="0.25">
      <c r="A309" s="130"/>
      <c r="B309" s="130"/>
      <c r="C309" s="130"/>
      <c r="D309" s="132"/>
      <c r="E309" s="132"/>
      <c r="F309" s="132"/>
      <c r="G309" s="130"/>
      <c r="H309" s="130"/>
      <c r="I309" s="132"/>
      <c r="J309" s="132"/>
    </row>
    <row r="310" spans="1:10" ht="12.75" customHeight="1" x14ac:dyDescent="0.25">
      <c r="A310" s="130"/>
      <c r="B310" s="130"/>
      <c r="C310" s="130"/>
      <c r="D310" s="132"/>
      <c r="E310" s="132"/>
      <c r="F310" s="131"/>
      <c r="G310" s="130"/>
      <c r="H310" s="130"/>
      <c r="I310" s="132"/>
      <c r="J310" s="132"/>
    </row>
    <row r="311" spans="1:10" ht="12.75" customHeight="1" x14ac:dyDescent="0.25">
      <c r="A311" s="130"/>
      <c r="B311" s="130"/>
      <c r="C311" s="130"/>
      <c r="D311" s="132"/>
      <c r="E311" s="132"/>
      <c r="F311" s="131"/>
      <c r="G311" s="130"/>
      <c r="H311" s="130"/>
      <c r="I311" s="132"/>
      <c r="J311" s="132"/>
    </row>
    <row r="312" spans="1:10" ht="12.75" customHeight="1" x14ac:dyDescent="0.25">
      <c r="A312" s="130"/>
      <c r="B312" s="130"/>
      <c r="C312" s="130"/>
      <c r="D312" s="132"/>
      <c r="E312" s="132"/>
      <c r="F312" s="132"/>
      <c r="G312" s="130"/>
      <c r="H312" s="130"/>
      <c r="I312" s="132"/>
      <c r="J312" s="132"/>
    </row>
    <row r="313" spans="1:10" ht="12.75" customHeight="1" x14ac:dyDescent="0.25">
      <c r="A313" s="130"/>
      <c r="B313" s="130"/>
      <c r="C313" s="130"/>
      <c r="D313" s="132"/>
      <c r="E313" s="132"/>
      <c r="F313" s="131"/>
      <c r="G313" s="130"/>
      <c r="H313" s="130"/>
      <c r="I313" s="132"/>
      <c r="J313" s="132"/>
    </row>
    <row r="314" spans="1:10" ht="12.75" customHeight="1" x14ac:dyDescent="0.25">
      <c r="A314" s="130"/>
      <c r="B314" s="130"/>
      <c r="C314" s="130"/>
      <c r="D314" s="132"/>
      <c r="E314" s="132"/>
      <c r="F314" s="131"/>
      <c r="G314" s="130"/>
      <c r="H314" s="130"/>
      <c r="I314" s="132"/>
      <c r="J314" s="132"/>
    </row>
    <row r="315" spans="1:10" ht="12.75" customHeight="1" x14ac:dyDescent="0.25">
      <c r="A315" s="130"/>
      <c r="B315" s="130"/>
      <c r="C315" s="130"/>
      <c r="D315" s="132"/>
      <c r="E315" s="132"/>
      <c r="F315" s="132"/>
      <c r="G315" s="130"/>
      <c r="H315" s="130"/>
      <c r="I315" s="132"/>
      <c r="J315" s="132"/>
    </row>
    <row r="316" spans="1:10" x14ac:dyDescent="0.25">
      <c r="A316" s="130"/>
      <c r="B316" s="130"/>
      <c r="C316" s="130"/>
      <c r="D316" s="132"/>
      <c r="E316" s="132"/>
      <c r="F316" s="131"/>
      <c r="G316" s="130"/>
      <c r="H316" s="130"/>
      <c r="I316" s="132"/>
      <c r="J316" s="132"/>
    </row>
    <row r="317" spans="1:10" x14ac:dyDescent="0.25">
      <c r="A317" s="130"/>
      <c r="B317" s="130"/>
      <c r="C317" s="130"/>
      <c r="D317" s="132"/>
      <c r="E317" s="132"/>
      <c r="F317" s="131"/>
      <c r="G317" s="130"/>
      <c r="H317" s="130"/>
      <c r="I317" s="132"/>
      <c r="J317" s="132"/>
    </row>
    <row r="318" spans="1:10" x14ac:dyDescent="0.25">
      <c r="A318" s="130"/>
      <c r="B318" s="130"/>
      <c r="C318" s="130"/>
      <c r="D318" s="132"/>
      <c r="E318" s="132"/>
      <c r="F318" s="132"/>
      <c r="G318" s="130"/>
      <c r="H318" s="130"/>
      <c r="I318" s="132"/>
      <c r="J318" s="132"/>
    </row>
    <row r="319" spans="1:10" x14ac:dyDescent="0.25">
      <c r="A319" s="130"/>
      <c r="B319" s="130"/>
      <c r="C319" s="130"/>
      <c r="D319" s="132"/>
      <c r="E319" s="132"/>
      <c r="F319" s="131"/>
      <c r="G319" s="130"/>
      <c r="H319" s="130"/>
      <c r="I319" s="132"/>
      <c r="J319" s="132"/>
    </row>
    <row r="320" spans="1:10" x14ac:dyDescent="0.25">
      <c r="A320" s="130"/>
      <c r="B320" s="130"/>
      <c r="C320" s="130"/>
      <c r="D320" s="132"/>
      <c r="E320" s="132"/>
      <c r="F320" s="131"/>
      <c r="G320" s="130"/>
      <c r="H320" s="130"/>
      <c r="I320" s="132"/>
      <c r="J320" s="132"/>
    </row>
    <row r="321" spans="1:10" ht="12.75" customHeight="1" x14ac:dyDescent="0.25">
      <c r="A321" s="130"/>
      <c r="B321" s="130"/>
      <c r="C321" s="130"/>
      <c r="D321" s="132"/>
      <c r="E321" s="132"/>
      <c r="F321" s="132"/>
      <c r="G321" s="130"/>
      <c r="H321" s="130"/>
      <c r="I321" s="132"/>
      <c r="J321" s="132"/>
    </row>
    <row r="322" spans="1:10" ht="12.75" customHeight="1" x14ac:dyDescent="0.25">
      <c r="A322" s="130"/>
      <c r="B322" s="130"/>
      <c r="C322" s="130"/>
      <c r="D322" s="132"/>
      <c r="E322" s="132"/>
      <c r="F322" s="131"/>
      <c r="G322" s="130"/>
      <c r="H322" s="130"/>
      <c r="I322" s="132"/>
      <c r="J322" s="132"/>
    </row>
    <row r="323" spans="1:10" x14ac:dyDescent="0.25">
      <c r="A323" s="130"/>
      <c r="B323" s="130"/>
      <c r="C323" s="130"/>
      <c r="D323" s="132"/>
      <c r="E323" s="132"/>
      <c r="F323" s="131"/>
      <c r="G323" s="130"/>
      <c r="H323" s="130"/>
      <c r="I323" s="132"/>
      <c r="J323" s="132"/>
    </row>
    <row r="324" spans="1:10" x14ac:dyDescent="0.25">
      <c r="A324" s="130"/>
      <c r="B324" s="130"/>
      <c r="C324" s="130"/>
      <c r="D324" s="132"/>
      <c r="E324" s="132"/>
      <c r="F324" s="132"/>
      <c r="G324" s="130"/>
      <c r="H324" s="130"/>
      <c r="I324" s="132"/>
      <c r="J324" s="132"/>
    </row>
    <row r="325" spans="1:10" x14ac:dyDescent="0.25">
      <c r="A325" s="130"/>
      <c r="B325" s="130"/>
      <c r="C325" s="130"/>
      <c r="D325" s="132"/>
      <c r="E325" s="132"/>
      <c r="F325" s="131"/>
      <c r="G325" s="130"/>
      <c r="H325" s="130"/>
      <c r="I325" s="132"/>
      <c r="J325" s="132"/>
    </row>
    <row r="326" spans="1:10" x14ac:dyDescent="0.25">
      <c r="A326" s="130"/>
      <c r="B326" s="130"/>
      <c r="C326" s="130"/>
      <c r="D326" s="132"/>
      <c r="E326" s="132"/>
      <c r="F326" s="131"/>
      <c r="G326" s="130"/>
      <c r="H326" s="130"/>
      <c r="I326" s="132"/>
      <c r="J326" s="132"/>
    </row>
    <row r="327" spans="1:10" x14ac:dyDescent="0.25">
      <c r="A327" s="130"/>
      <c r="B327" s="130"/>
      <c r="C327" s="130"/>
      <c r="D327" s="132"/>
      <c r="E327" s="132"/>
      <c r="F327" s="132"/>
      <c r="G327" s="130"/>
      <c r="H327" s="130"/>
      <c r="I327" s="132"/>
      <c r="J327" s="132"/>
    </row>
    <row r="328" spans="1:10" ht="12.75" customHeight="1" x14ac:dyDescent="0.25">
      <c r="A328" s="130"/>
      <c r="B328" s="130"/>
      <c r="C328" s="130"/>
      <c r="D328" s="132"/>
      <c r="E328" s="132"/>
      <c r="F328" s="131"/>
      <c r="G328" s="130"/>
      <c r="H328" s="130"/>
      <c r="I328" s="132"/>
      <c r="J328" s="132"/>
    </row>
    <row r="329" spans="1:10" ht="12.75" customHeight="1" x14ac:dyDescent="0.25">
      <c r="A329" s="130"/>
      <c r="B329" s="130"/>
      <c r="C329" s="130"/>
      <c r="D329" s="132"/>
      <c r="E329" s="132"/>
      <c r="F329" s="131"/>
      <c r="G329" s="130"/>
      <c r="H329" s="130"/>
      <c r="I329" s="132"/>
      <c r="J329" s="132"/>
    </row>
    <row r="330" spans="1:10" x14ac:dyDescent="0.25">
      <c r="A330" s="130"/>
      <c r="B330" s="130"/>
      <c r="C330" s="130"/>
      <c r="D330" s="132"/>
      <c r="E330" s="132"/>
      <c r="F330" s="132"/>
      <c r="G330" s="130"/>
      <c r="H330" s="130"/>
      <c r="I330" s="132"/>
      <c r="J330" s="132"/>
    </row>
    <row r="331" spans="1:10" x14ac:dyDescent="0.25">
      <c r="A331" s="130"/>
      <c r="B331" s="130"/>
      <c r="C331" s="130"/>
      <c r="D331" s="132"/>
      <c r="E331" s="132"/>
      <c r="F331" s="131"/>
      <c r="G331" s="130"/>
      <c r="H331" s="130"/>
      <c r="I331" s="132"/>
      <c r="J331" s="132"/>
    </row>
    <row r="332" spans="1:10" x14ac:dyDescent="0.25">
      <c r="A332" s="130"/>
      <c r="B332" s="130"/>
      <c r="C332" s="130"/>
      <c r="D332" s="132"/>
      <c r="E332" s="132"/>
      <c r="F332" s="131"/>
      <c r="G332" s="130"/>
      <c r="H332" s="130"/>
      <c r="I332" s="132"/>
      <c r="J332" s="132"/>
    </row>
    <row r="333" spans="1:10" x14ac:dyDescent="0.25">
      <c r="A333" s="130"/>
      <c r="B333" s="130"/>
      <c r="C333" s="130"/>
      <c r="D333" s="132"/>
      <c r="E333" s="132"/>
      <c r="F333" s="132"/>
      <c r="G333" s="130"/>
      <c r="H333" s="130"/>
      <c r="I333" s="132"/>
      <c r="J333" s="132"/>
    </row>
    <row r="334" spans="1:10" x14ac:dyDescent="0.25">
      <c r="A334" s="130"/>
      <c r="B334" s="130"/>
      <c r="C334" s="130"/>
      <c r="D334" s="132"/>
      <c r="E334" s="132"/>
      <c r="F334" s="131"/>
      <c r="G334" s="130"/>
      <c r="H334" s="130"/>
      <c r="I334" s="132"/>
      <c r="J334" s="132"/>
    </row>
    <row r="335" spans="1:10" ht="12.75" customHeight="1" x14ac:dyDescent="0.25">
      <c r="A335" s="130"/>
      <c r="B335" s="130"/>
      <c r="C335" s="130"/>
      <c r="D335" s="132"/>
      <c r="E335" s="132"/>
      <c r="F335" s="131"/>
      <c r="G335" s="130"/>
      <c r="H335" s="130"/>
      <c r="I335" s="132"/>
      <c r="J335" s="132"/>
    </row>
    <row r="336" spans="1:10" ht="12.75" customHeight="1" x14ac:dyDescent="0.25">
      <c r="A336" s="130"/>
      <c r="B336" s="130"/>
      <c r="C336" s="130"/>
      <c r="D336" s="132"/>
      <c r="E336" s="132"/>
      <c r="F336" s="132"/>
      <c r="G336" s="130"/>
      <c r="H336" s="130"/>
      <c r="I336" s="132"/>
      <c r="J336" s="132"/>
    </row>
    <row r="337" spans="1:10" x14ac:dyDescent="0.25">
      <c r="A337" s="130"/>
      <c r="B337" s="130"/>
      <c r="C337" s="130"/>
      <c r="D337" s="132"/>
      <c r="E337" s="132"/>
      <c r="F337" s="131"/>
      <c r="G337" s="130"/>
      <c r="H337" s="130"/>
      <c r="I337" s="132"/>
      <c r="J337" s="132"/>
    </row>
    <row r="338" spans="1:10" x14ac:dyDescent="0.25">
      <c r="A338" s="130"/>
      <c r="B338" s="130"/>
      <c r="C338" s="130"/>
      <c r="D338" s="132"/>
      <c r="E338" s="132"/>
      <c r="F338" s="131"/>
      <c r="G338" s="130"/>
      <c r="H338" s="130"/>
      <c r="I338" s="132"/>
      <c r="J338" s="132"/>
    </row>
    <row r="339" spans="1:10" x14ac:dyDescent="0.25">
      <c r="A339" s="130"/>
      <c r="B339" s="130"/>
      <c r="C339" s="130"/>
      <c r="D339" s="132"/>
      <c r="E339" s="132"/>
      <c r="F339" s="132"/>
      <c r="G339" s="130"/>
      <c r="H339" s="130"/>
      <c r="I339" s="132"/>
      <c r="J339" s="132"/>
    </row>
    <row r="340" spans="1:10" x14ac:dyDescent="0.25">
      <c r="A340" s="130"/>
      <c r="B340" s="130"/>
      <c r="C340" s="130"/>
      <c r="D340" s="132"/>
      <c r="E340" s="132"/>
      <c r="F340" s="131"/>
      <c r="G340" s="130"/>
      <c r="H340" s="130"/>
      <c r="I340" s="132"/>
      <c r="J340" s="132"/>
    </row>
    <row r="341" spans="1:10" x14ac:dyDescent="0.25">
      <c r="A341" s="130"/>
      <c r="B341" s="130"/>
      <c r="C341" s="130"/>
      <c r="D341" s="132"/>
      <c r="E341" s="132"/>
      <c r="F341" s="131"/>
      <c r="G341" s="130"/>
      <c r="H341" s="130"/>
      <c r="I341" s="132"/>
      <c r="J341" s="132"/>
    </row>
    <row r="342" spans="1:10" ht="12.75" customHeight="1" x14ac:dyDescent="0.25">
      <c r="A342" s="130"/>
      <c r="B342" s="130"/>
      <c r="C342" s="130"/>
      <c r="D342" s="132"/>
      <c r="E342" s="132"/>
      <c r="F342" s="132"/>
      <c r="G342" s="130"/>
      <c r="H342" s="130"/>
      <c r="I342" s="132"/>
      <c r="J342" s="132"/>
    </row>
    <row r="343" spans="1:10" ht="12.75" customHeight="1" x14ac:dyDescent="0.25">
      <c r="A343" s="130"/>
      <c r="B343" s="130"/>
      <c r="C343" s="130"/>
      <c r="D343" s="132"/>
      <c r="E343" s="132"/>
      <c r="F343" s="131"/>
      <c r="G343" s="130"/>
      <c r="H343" s="130"/>
      <c r="I343" s="132"/>
      <c r="J343" s="132"/>
    </row>
    <row r="344" spans="1:10" x14ac:dyDescent="0.25">
      <c r="A344" s="130"/>
      <c r="B344" s="130"/>
      <c r="C344" s="130"/>
      <c r="D344" s="132"/>
      <c r="E344" s="132"/>
      <c r="F344" s="131"/>
      <c r="G344" s="130"/>
      <c r="H344" s="130"/>
      <c r="I344" s="132"/>
      <c r="J344" s="132"/>
    </row>
    <row r="345" spans="1:10" x14ac:dyDescent="0.25">
      <c r="A345" s="130"/>
      <c r="B345" s="130"/>
      <c r="C345" s="130"/>
      <c r="D345" s="132"/>
      <c r="E345" s="132"/>
      <c r="F345" s="132"/>
      <c r="G345" s="130"/>
      <c r="H345" s="130"/>
      <c r="I345" s="132"/>
      <c r="J345" s="132"/>
    </row>
    <row r="346" spans="1:10" x14ac:dyDescent="0.25">
      <c r="A346" s="130"/>
      <c r="B346" s="130"/>
      <c r="C346" s="130"/>
      <c r="D346" s="132"/>
      <c r="E346" s="132"/>
      <c r="F346" s="131"/>
      <c r="G346" s="130"/>
      <c r="H346" s="130"/>
      <c r="I346" s="132"/>
      <c r="J346" s="132"/>
    </row>
    <row r="347" spans="1:10" x14ac:dyDescent="0.25">
      <c r="A347" s="130"/>
      <c r="B347" s="130"/>
      <c r="C347" s="130"/>
      <c r="D347" s="132"/>
      <c r="E347" s="132"/>
      <c r="F347" s="131"/>
      <c r="G347" s="130"/>
      <c r="H347" s="130"/>
      <c r="I347" s="132"/>
      <c r="J347" s="132"/>
    </row>
    <row r="348" spans="1:10" x14ac:dyDescent="0.25">
      <c r="A348" s="130"/>
      <c r="B348" s="130"/>
      <c r="C348" s="130"/>
      <c r="D348" s="132"/>
      <c r="E348" s="132"/>
      <c r="F348" s="132"/>
      <c r="G348" s="130"/>
      <c r="H348" s="130"/>
      <c r="I348" s="132"/>
      <c r="J348" s="132"/>
    </row>
    <row r="349" spans="1:10" ht="12.75" customHeight="1" x14ac:dyDescent="0.25">
      <c r="A349" s="130"/>
      <c r="B349" s="130"/>
      <c r="C349" s="130"/>
      <c r="D349" s="132"/>
      <c r="E349" s="132"/>
      <c r="F349" s="131"/>
      <c r="G349" s="130"/>
      <c r="H349" s="130"/>
      <c r="I349" s="132"/>
      <c r="J349" s="132"/>
    </row>
    <row r="350" spans="1:10" ht="12.75" customHeight="1" x14ac:dyDescent="0.25">
      <c r="A350" s="130"/>
      <c r="B350" s="130"/>
      <c r="C350" s="130"/>
      <c r="D350" s="132"/>
      <c r="E350" s="132"/>
      <c r="F350" s="131"/>
      <c r="G350" s="130"/>
      <c r="H350" s="130"/>
      <c r="I350" s="132"/>
      <c r="J350" s="132"/>
    </row>
    <row r="351" spans="1:10" x14ac:dyDescent="0.25">
      <c r="A351" s="130"/>
      <c r="B351" s="130"/>
      <c r="C351" s="130"/>
      <c r="D351" s="132"/>
      <c r="E351" s="132"/>
      <c r="F351" s="132"/>
      <c r="G351" s="130"/>
      <c r="H351" s="130"/>
      <c r="I351" s="132"/>
      <c r="J351" s="132"/>
    </row>
    <row r="352" spans="1:10" x14ac:dyDescent="0.25">
      <c r="A352" s="130"/>
      <c r="B352" s="130"/>
      <c r="C352" s="130"/>
      <c r="D352" s="132"/>
      <c r="E352" s="132"/>
      <c r="F352" s="131"/>
      <c r="G352" s="130"/>
      <c r="H352" s="130"/>
      <c r="I352" s="132"/>
      <c r="J352" s="132"/>
    </row>
    <row r="353" spans="1:10" x14ac:dyDescent="0.25">
      <c r="A353" s="130"/>
      <c r="B353" s="130"/>
      <c r="C353" s="130"/>
      <c r="D353" s="132"/>
      <c r="E353" s="132"/>
      <c r="F353" s="131"/>
      <c r="G353" s="130"/>
      <c r="H353" s="130"/>
      <c r="I353" s="132"/>
      <c r="J353" s="132"/>
    </row>
    <row r="354" spans="1:10" x14ac:dyDescent="0.25">
      <c r="A354" s="130"/>
      <c r="B354" s="130"/>
      <c r="C354" s="130"/>
      <c r="D354" s="132"/>
      <c r="E354" s="132"/>
      <c r="F354" s="132"/>
      <c r="G354" s="130"/>
      <c r="H354" s="130"/>
      <c r="I354" s="132"/>
      <c r="J354" s="132"/>
    </row>
    <row r="355" spans="1:10" x14ac:dyDescent="0.25">
      <c r="A355" s="130"/>
      <c r="B355" s="130"/>
      <c r="C355" s="130"/>
      <c r="D355" s="132"/>
      <c r="E355" s="132"/>
      <c r="F355" s="131"/>
      <c r="G355" s="130"/>
      <c r="H355" s="130"/>
      <c r="I355" s="132"/>
      <c r="J355" s="132"/>
    </row>
    <row r="356" spans="1:10" ht="12.75" customHeight="1" x14ac:dyDescent="0.25">
      <c r="A356" s="130"/>
      <c r="B356" s="130"/>
      <c r="C356" s="130"/>
      <c r="D356" s="132"/>
      <c r="E356" s="132"/>
      <c r="F356" s="131"/>
      <c r="G356" s="130"/>
      <c r="H356" s="130"/>
      <c r="I356" s="132"/>
      <c r="J356" s="132"/>
    </row>
    <row r="357" spans="1:10" ht="12.75" customHeight="1" x14ac:dyDescent="0.25">
      <c r="A357" s="130"/>
      <c r="B357" s="130"/>
      <c r="C357" s="130"/>
      <c r="D357" s="132"/>
      <c r="E357" s="132"/>
      <c r="F357" s="132"/>
      <c r="G357" s="130"/>
      <c r="H357" s="130"/>
      <c r="I357" s="132"/>
      <c r="J357" s="132"/>
    </row>
    <row r="358" spans="1:10" x14ac:dyDescent="0.25">
      <c r="A358" s="130"/>
      <c r="B358" s="130"/>
      <c r="C358" s="130"/>
      <c r="D358" s="132"/>
      <c r="E358" s="132"/>
      <c r="F358" s="131"/>
      <c r="G358" s="130"/>
      <c r="H358" s="130"/>
      <c r="I358" s="132"/>
      <c r="J358" s="132"/>
    </row>
    <row r="359" spans="1:10" x14ac:dyDescent="0.25">
      <c r="A359" s="130"/>
      <c r="B359" s="130"/>
      <c r="C359" s="130"/>
      <c r="D359" s="132"/>
      <c r="E359" s="132"/>
      <c r="F359" s="131"/>
      <c r="G359" s="130"/>
      <c r="H359" s="130"/>
      <c r="I359" s="132"/>
      <c r="J359" s="132"/>
    </row>
    <row r="360" spans="1:10" x14ac:dyDescent="0.25">
      <c r="A360" s="130"/>
      <c r="B360" s="130"/>
      <c r="C360" s="130"/>
      <c r="D360" s="132"/>
      <c r="E360" s="132"/>
      <c r="F360" s="132"/>
      <c r="G360" s="130"/>
      <c r="H360" s="130"/>
      <c r="I360" s="132"/>
      <c r="J360" s="132"/>
    </row>
    <row r="361" spans="1:10" x14ac:dyDescent="0.25">
      <c r="A361" s="130"/>
      <c r="B361" s="130"/>
      <c r="C361" s="130"/>
      <c r="D361" s="132"/>
      <c r="E361" s="132"/>
      <c r="F361" s="131"/>
      <c r="G361" s="130"/>
      <c r="H361" s="130"/>
      <c r="I361" s="132"/>
      <c r="J361" s="132"/>
    </row>
    <row r="362" spans="1:10" x14ac:dyDescent="0.25">
      <c r="A362" s="130"/>
      <c r="B362" s="130"/>
      <c r="C362" s="130"/>
      <c r="D362" s="132"/>
      <c r="E362" s="132"/>
      <c r="F362" s="131"/>
      <c r="G362" s="130"/>
      <c r="H362" s="130"/>
      <c r="I362" s="132"/>
      <c r="J362" s="132"/>
    </row>
    <row r="363" spans="1:10" ht="12.75" customHeight="1" x14ac:dyDescent="0.25">
      <c r="A363" s="130"/>
      <c r="B363" s="130"/>
      <c r="C363" s="130"/>
      <c r="D363" s="132"/>
      <c r="E363" s="132"/>
      <c r="F363" s="132"/>
      <c r="G363" s="130"/>
      <c r="H363" s="130"/>
      <c r="I363" s="132"/>
      <c r="J363" s="132"/>
    </row>
    <row r="364" spans="1:10" ht="12.75" customHeight="1" x14ac:dyDescent="0.25">
      <c r="A364" s="130"/>
      <c r="B364" s="130"/>
      <c r="C364" s="130"/>
      <c r="D364" s="132"/>
      <c r="E364" s="132"/>
      <c r="F364" s="131"/>
      <c r="G364" s="130"/>
      <c r="H364" s="130"/>
      <c r="I364" s="132"/>
      <c r="J364" s="132"/>
    </row>
    <row r="365" spans="1:10" x14ac:dyDescent="0.25">
      <c r="A365" s="130"/>
      <c r="B365" s="130"/>
      <c r="C365" s="130"/>
      <c r="D365" s="132"/>
      <c r="E365" s="132"/>
      <c r="F365" s="131"/>
      <c r="G365" s="130"/>
      <c r="H365" s="130"/>
      <c r="I365" s="132"/>
      <c r="J365" s="132"/>
    </row>
    <row r="366" spans="1:10" x14ac:dyDescent="0.25">
      <c r="A366" s="130"/>
      <c r="B366" s="130"/>
      <c r="C366" s="130"/>
      <c r="D366" s="132"/>
      <c r="E366" s="132"/>
      <c r="F366" s="132"/>
      <c r="G366" s="130"/>
      <c r="H366" s="130"/>
      <c r="I366" s="132"/>
      <c r="J366" s="132"/>
    </row>
    <row r="367" spans="1:10" x14ac:dyDescent="0.25">
      <c r="A367" s="130"/>
      <c r="B367" s="130"/>
      <c r="C367" s="130"/>
      <c r="D367" s="132"/>
      <c r="E367" s="132"/>
      <c r="F367" s="131"/>
      <c r="G367" s="130"/>
      <c r="H367" s="130"/>
      <c r="I367" s="132"/>
      <c r="J367" s="132"/>
    </row>
    <row r="368" spans="1:10" x14ac:dyDescent="0.25">
      <c r="A368" s="130"/>
      <c r="B368" s="130"/>
      <c r="C368" s="130"/>
      <c r="D368" s="132"/>
      <c r="E368" s="132"/>
      <c r="F368" s="131"/>
      <c r="G368" s="130"/>
      <c r="H368" s="130"/>
      <c r="I368" s="132"/>
      <c r="J368" s="132"/>
    </row>
    <row r="369" spans="1:10" x14ac:dyDescent="0.25">
      <c r="A369" s="130"/>
      <c r="B369" s="130"/>
      <c r="C369" s="130"/>
      <c r="D369" s="132"/>
      <c r="E369" s="132"/>
      <c r="F369" s="132"/>
      <c r="G369" s="130"/>
      <c r="H369" s="130"/>
      <c r="I369" s="132"/>
      <c r="J369" s="132"/>
    </row>
    <row r="370" spans="1:10" ht="12.75" customHeight="1" x14ac:dyDescent="0.25">
      <c r="A370" s="130"/>
      <c r="B370" s="130"/>
      <c r="C370" s="130"/>
      <c r="D370" s="132"/>
      <c r="E370" s="132"/>
      <c r="F370" s="131"/>
      <c r="G370" s="130"/>
      <c r="H370" s="130"/>
      <c r="I370" s="132"/>
      <c r="J370" s="132"/>
    </row>
    <row r="371" spans="1:10" ht="12.75" customHeight="1" x14ac:dyDescent="0.25">
      <c r="A371" s="130"/>
      <c r="B371" s="130"/>
      <c r="C371" s="130"/>
      <c r="D371" s="132"/>
      <c r="E371" s="132"/>
      <c r="F371" s="131"/>
      <c r="G371" s="130"/>
      <c r="H371" s="130"/>
      <c r="I371" s="132"/>
      <c r="J371" s="132"/>
    </row>
    <row r="372" spans="1:10" x14ac:dyDescent="0.25">
      <c r="A372" s="130"/>
      <c r="B372" s="130"/>
      <c r="C372" s="130"/>
      <c r="D372" s="132"/>
      <c r="E372" s="132"/>
      <c r="F372" s="132"/>
      <c r="G372" s="130"/>
      <c r="H372" s="130"/>
      <c r="I372" s="132"/>
      <c r="J372" s="132"/>
    </row>
    <row r="373" spans="1:10" x14ac:dyDescent="0.25">
      <c r="A373" s="130"/>
      <c r="B373" s="130"/>
      <c r="C373" s="130"/>
      <c r="D373" s="132"/>
      <c r="E373" s="132"/>
      <c r="F373" s="131"/>
      <c r="G373" s="130"/>
      <c r="H373" s="130"/>
      <c r="I373" s="132"/>
      <c r="J373" s="132"/>
    </row>
    <row r="374" spans="1:10" x14ac:dyDescent="0.25">
      <c r="A374" s="130"/>
      <c r="B374" s="130"/>
      <c r="C374" s="130"/>
      <c r="D374" s="132"/>
      <c r="E374" s="132"/>
      <c r="F374" s="131"/>
      <c r="G374" s="130"/>
      <c r="H374" s="130"/>
      <c r="I374" s="132"/>
      <c r="J374" s="132"/>
    </row>
    <row r="375" spans="1:10" x14ac:dyDescent="0.25">
      <c r="A375" s="130"/>
      <c r="B375" s="130"/>
      <c r="C375" s="130"/>
      <c r="D375" s="132"/>
      <c r="E375" s="132"/>
      <c r="F375" s="132"/>
      <c r="G375" s="130"/>
      <c r="H375" s="130"/>
      <c r="I375" s="132"/>
      <c r="J375" s="132"/>
    </row>
    <row r="376" spans="1:10" x14ac:dyDescent="0.25">
      <c r="A376" s="130"/>
      <c r="B376" s="130"/>
      <c r="C376" s="130"/>
      <c r="D376" s="132"/>
      <c r="E376" s="132"/>
      <c r="F376" s="131"/>
      <c r="G376" s="130"/>
      <c r="H376" s="130"/>
      <c r="I376" s="132"/>
      <c r="J376" s="132"/>
    </row>
    <row r="377" spans="1:10" ht="12.75" customHeight="1" x14ac:dyDescent="0.25">
      <c r="A377" s="130"/>
      <c r="B377" s="130"/>
      <c r="C377" s="130"/>
      <c r="D377" s="132"/>
      <c r="E377" s="132"/>
      <c r="F377" s="131"/>
      <c r="G377" s="130"/>
      <c r="H377" s="130"/>
      <c r="I377" s="132"/>
      <c r="J377" s="132"/>
    </row>
    <row r="378" spans="1:10" ht="12.75" customHeight="1" x14ac:dyDescent="0.25">
      <c r="A378" s="130"/>
      <c r="B378" s="130"/>
      <c r="C378" s="130"/>
      <c r="D378" s="132"/>
      <c r="E378" s="132"/>
      <c r="F378" s="132"/>
      <c r="G378" s="130"/>
      <c r="H378" s="130"/>
      <c r="I378" s="132"/>
      <c r="J378" s="132"/>
    </row>
    <row r="379" spans="1:10" x14ac:dyDescent="0.25">
      <c r="A379" s="130"/>
      <c r="B379" s="130"/>
      <c r="C379" s="130"/>
      <c r="D379" s="132"/>
      <c r="E379" s="132"/>
      <c r="F379" s="131"/>
      <c r="G379" s="130"/>
      <c r="H379" s="130"/>
      <c r="I379" s="132"/>
      <c r="J379" s="132"/>
    </row>
    <row r="380" spans="1:10" x14ac:dyDescent="0.25">
      <c r="A380" s="130"/>
      <c r="B380" s="130"/>
      <c r="C380" s="130"/>
      <c r="D380" s="132"/>
      <c r="E380" s="132"/>
      <c r="F380" s="131"/>
      <c r="G380" s="130"/>
      <c r="H380" s="130"/>
      <c r="I380" s="132"/>
      <c r="J380" s="132"/>
    </row>
    <row r="381" spans="1:10" x14ac:dyDescent="0.25">
      <c r="A381" s="130"/>
      <c r="B381" s="130"/>
      <c r="C381" s="130"/>
      <c r="D381" s="132"/>
      <c r="E381" s="132"/>
      <c r="F381" s="132"/>
      <c r="G381" s="130"/>
      <c r="H381" s="130"/>
      <c r="I381" s="132"/>
      <c r="J381" s="132"/>
    </row>
    <row r="382" spans="1:10" x14ac:dyDescent="0.25">
      <c r="A382" s="130"/>
      <c r="B382" s="130"/>
      <c r="C382" s="130"/>
      <c r="D382" s="132"/>
      <c r="E382" s="132"/>
      <c r="F382" s="131"/>
      <c r="G382" s="130"/>
      <c r="H382" s="130"/>
      <c r="I382" s="132"/>
      <c r="J382" s="132"/>
    </row>
    <row r="383" spans="1:10" x14ac:dyDescent="0.25">
      <c r="A383" s="130"/>
      <c r="B383" s="130"/>
      <c r="C383" s="130"/>
      <c r="D383" s="132"/>
      <c r="E383" s="132"/>
      <c r="F383" s="131"/>
      <c r="G383" s="130"/>
      <c r="H383" s="130"/>
      <c r="I383" s="132"/>
      <c r="J383" s="132"/>
    </row>
    <row r="384" spans="1:10" ht="12.75" customHeight="1" x14ac:dyDescent="0.25">
      <c r="A384" s="130"/>
      <c r="B384" s="130"/>
      <c r="C384" s="130"/>
      <c r="D384" s="132"/>
      <c r="E384" s="132"/>
      <c r="F384" s="132"/>
      <c r="G384" s="130"/>
      <c r="H384" s="130"/>
      <c r="I384" s="132"/>
      <c r="J384" s="132"/>
    </row>
    <row r="385" spans="1:10" ht="12.75" customHeight="1" x14ac:dyDescent="0.25">
      <c r="A385" s="130"/>
      <c r="B385" s="130"/>
      <c r="C385" s="130"/>
      <c r="D385" s="132"/>
      <c r="E385" s="132"/>
      <c r="F385" s="131"/>
      <c r="G385" s="130"/>
      <c r="H385" s="130"/>
      <c r="I385" s="132"/>
      <c r="J385" s="132"/>
    </row>
    <row r="386" spans="1:10" x14ac:dyDescent="0.25">
      <c r="A386" s="130"/>
      <c r="B386" s="130"/>
      <c r="C386" s="130"/>
      <c r="D386" s="132"/>
      <c r="E386" s="132"/>
      <c r="F386" s="131"/>
      <c r="G386" s="130"/>
      <c r="H386" s="130"/>
      <c r="I386" s="132"/>
      <c r="J386" s="132"/>
    </row>
    <row r="387" spans="1:10" x14ac:dyDescent="0.25">
      <c r="A387" s="130"/>
      <c r="B387" s="130"/>
      <c r="C387" s="130"/>
      <c r="D387" s="132"/>
      <c r="E387" s="132"/>
      <c r="F387" s="132"/>
      <c r="G387" s="130"/>
      <c r="H387" s="130"/>
      <c r="I387" s="132"/>
      <c r="J387" s="132"/>
    </row>
    <row r="388" spans="1:10" x14ac:dyDescent="0.25">
      <c r="A388" s="130"/>
      <c r="B388" s="130"/>
      <c r="C388" s="130"/>
      <c r="D388" s="132"/>
      <c r="E388" s="132"/>
      <c r="F388" s="131"/>
      <c r="G388" s="130"/>
      <c r="H388" s="130"/>
      <c r="I388" s="132"/>
      <c r="J388" s="132"/>
    </row>
    <row r="389" spans="1:10" x14ac:dyDescent="0.25">
      <c r="A389" s="130"/>
      <c r="B389" s="130"/>
      <c r="C389" s="130"/>
      <c r="D389" s="132"/>
      <c r="E389" s="132"/>
      <c r="F389" s="131"/>
      <c r="G389" s="130"/>
      <c r="H389" s="130"/>
      <c r="I389" s="132"/>
      <c r="J389" s="132"/>
    </row>
    <row r="390" spans="1:10" x14ac:dyDescent="0.25">
      <c r="A390" s="130"/>
      <c r="B390" s="130"/>
      <c r="C390" s="130"/>
      <c r="D390" s="132"/>
      <c r="E390" s="132"/>
      <c r="F390" s="132"/>
      <c r="G390" s="130"/>
      <c r="H390" s="130"/>
      <c r="I390" s="132"/>
      <c r="J390" s="132"/>
    </row>
    <row r="391" spans="1:10" ht="12.75" customHeight="1" x14ac:dyDescent="0.25">
      <c r="A391" s="130"/>
      <c r="B391" s="130"/>
      <c r="C391" s="130"/>
      <c r="D391" s="132"/>
      <c r="E391" s="132"/>
      <c r="F391" s="131"/>
      <c r="G391" s="130"/>
      <c r="H391" s="130"/>
      <c r="I391" s="132"/>
      <c r="J391" s="132"/>
    </row>
    <row r="392" spans="1:10" ht="12.75" customHeight="1" x14ac:dyDescent="0.25">
      <c r="A392" s="130"/>
      <c r="B392" s="130"/>
      <c r="C392" s="130"/>
      <c r="D392" s="132"/>
      <c r="E392" s="132"/>
      <c r="F392" s="131"/>
      <c r="G392" s="130"/>
      <c r="H392" s="130"/>
      <c r="I392" s="132"/>
      <c r="J392" s="132"/>
    </row>
    <row r="393" spans="1:10" x14ac:dyDescent="0.25">
      <c r="A393" s="130"/>
      <c r="B393" s="130"/>
      <c r="C393" s="130"/>
      <c r="D393" s="132"/>
      <c r="E393" s="132"/>
      <c r="F393" s="132"/>
      <c r="G393" s="130"/>
      <c r="H393" s="130"/>
      <c r="I393" s="132"/>
      <c r="J393" s="132"/>
    </row>
    <row r="394" spans="1:10" x14ac:dyDescent="0.25">
      <c r="A394" s="130"/>
      <c r="B394" s="130"/>
      <c r="C394" s="130"/>
      <c r="D394" s="132"/>
      <c r="E394" s="132"/>
      <c r="F394" s="131"/>
      <c r="G394" s="130"/>
      <c r="H394" s="130"/>
      <c r="I394" s="132"/>
      <c r="J394" s="132"/>
    </row>
    <row r="395" spans="1:10" x14ac:dyDescent="0.25">
      <c r="A395" s="130"/>
      <c r="B395" s="130"/>
      <c r="C395" s="130"/>
      <c r="D395" s="132"/>
      <c r="E395" s="132"/>
      <c r="F395" s="131"/>
      <c r="G395" s="130"/>
      <c r="H395" s="130"/>
      <c r="I395" s="132"/>
      <c r="J395" s="132"/>
    </row>
    <row r="396" spans="1:10" x14ac:dyDescent="0.25">
      <c r="A396" s="130"/>
      <c r="B396" s="130"/>
      <c r="C396" s="130"/>
      <c r="D396" s="132"/>
      <c r="E396" s="132"/>
      <c r="F396" s="132"/>
      <c r="G396" s="130"/>
      <c r="H396" s="130"/>
      <c r="I396" s="132"/>
      <c r="J396" s="132"/>
    </row>
    <row r="397" spans="1:10" x14ac:dyDescent="0.25">
      <c r="A397" s="130"/>
      <c r="B397" s="130"/>
      <c r="C397" s="130"/>
      <c r="D397" s="132"/>
      <c r="E397" s="132"/>
      <c r="F397" s="131"/>
      <c r="G397" s="130"/>
      <c r="H397" s="130"/>
      <c r="I397" s="132"/>
      <c r="J397" s="132"/>
    </row>
    <row r="398" spans="1:10" ht="12.75" customHeight="1" x14ac:dyDescent="0.25">
      <c r="A398" s="130"/>
      <c r="B398" s="130"/>
      <c r="C398" s="130"/>
      <c r="D398" s="132"/>
      <c r="E398" s="132"/>
      <c r="F398" s="131"/>
      <c r="G398" s="130"/>
      <c r="H398" s="130"/>
      <c r="I398" s="132"/>
      <c r="J398" s="132"/>
    </row>
    <row r="399" spans="1:10" ht="12.75" customHeight="1" x14ac:dyDescent="0.25">
      <c r="A399" s="130"/>
      <c r="B399" s="130"/>
      <c r="C399" s="130"/>
      <c r="D399" s="132"/>
      <c r="E399" s="132"/>
      <c r="F399" s="132"/>
      <c r="G399" s="130"/>
      <c r="H399" s="130"/>
      <c r="I399" s="132"/>
      <c r="J399" s="132"/>
    </row>
    <row r="400" spans="1:10" x14ac:dyDescent="0.25">
      <c r="A400" s="130"/>
      <c r="B400" s="130"/>
      <c r="C400" s="130"/>
      <c r="D400" s="132"/>
      <c r="E400" s="132"/>
      <c r="F400" s="131"/>
      <c r="G400" s="130"/>
      <c r="H400" s="130"/>
      <c r="I400" s="132"/>
      <c r="J400" s="132"/>
    </row>
    <row r="401" spans="1:10" x14ac:dyDescent="0.25">
      <c r="A401" s="130"/>
      <c r="B401" s="130"/>
      <c r="C401" s="130"/>
      <c r="D401" s="132"/>
      <c r="E401" s="132"/>
      <c r="F401" s="131"/>
      <c r="G401" s="130"/>
      <c r="H401" s="130"/>
      <c r="I401" s="132"/>
      <c r="J401" s="132"/>
    </row>
    <row r="402" spans="1:10" x14ac:dyDescent="0.25">
      <c r="A402" s="130"/>
      <c r="B402" s="130"/>
      <c r="C402" s="130"/>
      <c r="D402" s="132"/>
      <c r="E402" s="132"/>
      <c r="F402" s="132"/>
      <c r="G402" s="130"/>
      <c r="H402" s="130"/>
      <c r="I402" s="132"/>
      <c r="J402" s="132"/>
    </row>
    <row r="403" spans="1:10" x14ac:dyDescent="0.25">
      <c r="A403" s="130"/>
      <c r="B403" s="130"/>
      <c r="C403" s="130"/>
      <c r="D403" s="132"/>
      <c r="E403" s="132"/>
      <c r="F403" s="131"/>
      <c r="G403" s="130"/>
      <c r="H403" s="130"/>
      <c r="I403" s="132"/>
      <c r="J403" s="132"/>
    </row>
    <row r="404" spans="1:10" x14ac:dyDescent="0.25">
      <c r="A404" s="130"/>
      <c r="B404" s="130"/>
      <c r="C404" s="130"/>
      <c r="D404" s="132"/>
      <c r="E404" s="132"/>
      <c r="F404" s="131"/>
      <c r="G404" s="130"/>
      <c r="H404" s="130"/>
      <c r="I404" s="132"/>
      <c r="J404" s="132"/>
    </row>
    <row r="405" spans="1:10" ht="12.75" customHeight="1" x14ac:dyDescent="0.25">
      <c r="A405" s="130"/>
      <c r="B405" s="130"/>
      <c r="C405" s="130"/>
      <c r="D405" s="132"/>
      <c r="E405" s="132"/>
      <c r="F405" s="132"/>
      <c r="G405" s="130"/>
      <c r="H405" s="130"/>
      <c r="I405" s="132"/>
      <c r="J405" s="132"/>
    </row>
    <row r="406" spans="1:10" ht="12.75" customHeight="1" x14ac:dyDescent="0.25">
      <c r="A406" s="130"/>
      <c r="B406" s="130"/>
      <c r="C406" s="130"/>
      <c r="D406" s="132"/>
      <c r="E406" s="132"/>
      <c r="F406" s="131"/>
      <c r="G406" s="130"/>
      <c r="H406" s="130"/>
      <c r="I406" s="132"/>
      <c r="J406" s="132"/>
    </row>
    <row r="407" spans="1:10" x14ac:dyDescent="0.25">
      <c r="A407" s="130"/>
      <c r="B407" s="130"/>
      <c r="C407" s="130"/>
      <c r="D407" s="132"/>
      <c r="E407" s="132"/>
      <c r="F407" s="131"/>
      <c r="G407" s="130"/>
      <c r="H407" s="130"/>
      <c r="I407" s="132"/>
      <c r="J407" s="132"/>
    </row>
    <row r="408" spans="1:10" x14ac:dyDescent="0.25">
      <c r="A408" s="130"/>
      <c r="B408" s="130"/>
      <c r="C408" s="130"/>
      <c r="D408" s="132"/>
      <c r="E408" s="132"/>
      <c r="F408" s="132"/>
      <c r="G408" s="130"/>
      <c r="H408" s="130"/>
      <c r="I408" s="132"/>
      <c r="J408" s="132"/>
    </row>
    <row r="409" spans="1:10" x14ac:dyDescent="0.25">
      <c r="A409" s="130"/>
      <c r="B409" s="130"/>
      <c r="C409" s="130"/>
      <c r="D409" s="132"/>
      <c r="E409" s="132"/>
      <c r="F409" s="131"/>
      <c r="G409" s="130"/>
      <c r="H409" s="130"/>
      <c r="I409" s="132"/>
      <c r="J409" s="132"/>
    </row>
    <row r="410" spans="1:10" x14ac:dyDescent="0.25">
      <c r="A410" s="130"/>
      <c r="B410" s="130"/>
      <c r="C410" s="130"/>
      <c r="D410" s="132"/>
      <c r="E410" s="132"/>
      <c r="F410" s="131"/>
      <c r="G410" s="130"/>
      <c r="H410" s="130"/>
      <c r="I410" s="132"/>
      <c r="J410" s="132"/>
    </row>
    <row r="411" spans="1:10" x14ac:dyDescent="0.25">
      <c r="A411" s="130"/>
      <c r="B411" s="130"/>
      <c r="C411" s="130"/>
      <c r="D411" s="132"/>
      <c r="E411" s="132"/>
      <c r="F411" s="132"/>
      <c r="G411" s="130"/>
      <c r="H411" s="130"/>
      <c r="I411" s="132"/>
      <c r="J411" s="132"/>
    </row>
    <row r="412" spans="1:10" ht="12.75" customHeight="1" x14ac:dyDescent="0.25">
      <c r="A412" s="130"/>
      <c r="B412" s="130"/>
      <c r="C412" s="130"/>
      <c r="D412" s="132"/>
      <c r="E412" s="132"/>
      <c r="F412" s="131"/>
      <c r="G412" s="130"/>
      <c r="H412" s="130"/>
      <c r="I412" s="132"/>
      <c r="J412" s="132"/>
    </row>
    <row r="413" spans="1:10" ht="12.75" customHeight="1" x14ac:dyDescent="0.25">
      <c r="A413" s="130"/>
      <c r="B413" s="130"/>
      <c r="C413" s="130"/>
      <c r="D413" s="132"/>
      <c r="E413" s="132"/>
      <c r="F413" s="131"/>
      <c r="G413" s="130"/>
      <c r="H413" s="130"/>
      <c r="I413" s="132"/>
      <c r="J413" s="132"/>
    </row>
    <row r="414" spans="1:10" x14ac:dyDescent="0.25">
      <c r="A414" s="130"/>
      <c r="B414" s="130"/>
      <c r="C414" s="130"/>
      <c r="D414" s="132"/>
      <c r="E414" s="132"/>
      <c r="F414" s="132"/>
      <c r="G414" s="130"/>
      <c r="H414" s="130"/>
      <c r="I414" s="132"/>
      <c r="J414" s="132"/>
    </row>
    <row r="415" spans="1:10" x14ac:dyDescent="0.25">
      <c r="A415" s="130"/>
      <c r="B415" s="130"/>
      <c r="C415" s="130"/>
      <c r="D415" s="132"/>
      <c r="E415" s="132"/>
      <c r="F415" s="131"/>
      <c r="G415" s="130"/>
      <c r="H415" s="130"/>
      <c r="I415" s="132"/>
      <c r="J415" s="132"/>
    </row>
    <row r="416" spans="1:10" x14ac:dyDescent="0.25">
      <c r="A416" s="130"/>
      <c r="B416" s="130"/>
      <c r="C416" s="130"/>
      <c r="D416" s="132"/>
      <c r="E416" s="132"/>
      <c r="F416" s="131"/>
      <c r="G416" s="130"/>
      <c r="H416" s="130"/>
      <c r="I416" s="132"/>
      <c r="J416" s="132"/>
    </row>
    <row r="417" spans="1:10" x14ac:dyDescent="0.25">
      <c r="A417" s="130"/>
      <c r="B417" s="130"/>
      <c r="C417" s="130"/>
      <c r="D417" s="132"/>
      <c r="E417" s="132"/>
      <c r="F417" s="132"/>
      <c r="G417" s="130"/>
      <c r="H417" s="130"/>
      <c r="I417" s="132"/>
      <c r="J417" s="132"/>
    </row>
    <row r="418" spans="1:10" x14ac:dyDescent="0.25">
      <c r="A418" s="130"/>
      <c r="B418" s="130"/>
      <c r="C418" s="130"/>
      <c r="D418" s="132"/>
      <c r="E418" s="132"/>
      <c r="F418" s="131"/>
      <c r="G418" s="130"/>
      <c r="H418" s="130"/>
      <c r="I418" s="132"/>
      <c r="J418" s="132"/>
    </row>
    <row r="419" spans="1:10" ht="12.75" customHeight="1" x14ac:dyDescent="0.25">
      <c r="A419" s="130"/>
      <c r="B419" s="130"/>
      <c r="C419" s="130"/>
      <c r="D419" s="132"/>
      <c r="E419" s="132"/>
      <c r="F419" s="131"/>
      <c r="G419" s="130"/>
      <c r="H419" s="130"/>
      <c r="I419" s="132"/>
      <c r="J419" s="132"/>
    </row>
    <row r="420" spans="1:10" ht="12.75" customHeight="1" x14ac:dyDescent="0.25">
      <c r="A420" s="130"/>
      <c r="B420" s="130"/>
      <c r="C420" s="130"/>
      <c r="D420" s="132"/>
      <c r="E420" s="132"/>
      <c r="F420" s="132"/>
      <c r="G420" s="130"/>
      <c r="H420" s="130"/>
      <c r="I420" s="132"/>
      <c r="J420" s="132"/>
    </row>
    <row r="421" spans="1:10" x14ac:dyDescent="0.25">
      <c r="A421" s="130"/>
      <c r="B421" s="130"/>
      <c r="C421" s="130"/>
      <c r="D421" s="132"/>
      <c r="E421" s="132"/>
      <c r="F421" s="131"/>
      <c r="G421" s="130"/>
      <c r="H421" s="130"/>
      <c r="I421" s="132"/>
      <c r="J421" s="132"/>
    </row>
    <row r="422" spans="1:10" x14ac:dyDescent="0.25">
      <c r="A422" s="130"/>
      <c r="B422" s="130"/>
      <c r="C422" s="130"/>
      <c r="D422" s="132"/>
      <c r="E422" s="132"/>
      <c r="F422" s="131"/>
      <c r="G422" s="130"/>
      <c r="H422" s="130"/>
      <c r="I422" s="132"/>
      <c r="J422" s="132"/>
    </row>
    <row r="423" spans="1:10" x14ac:dyDescent="0.25">
      <c r="A423" s="130"/>
      <c r="B423" s="130"/>
      <c r="C423" s="130"/>
      <c r="D423" s="132"/>
      <c r="E423" s="132"/>
      <c r="F423" s="132"/>
      <c r="G423" s="130"/>
      <c r="H423" s="130"/>
      <c r="I423" s="132"/>
      <c r="J423" s="132"/>
    </row>
    <row r="424" spans="1:10" x14ac:dyDescent="0.25">
      <c r="A424" s="130"/>
      <c r="B424" s="130"/>
      <c r="C424" s="130"/>
      <c r="D424" s="132"/>
      <c r="E424" s="132"/>
      <c r="F424" s="131"/>
      <c r="G424" s="130"/>
      <c r="H424" s="130"/>
      <c r="I424" s="132"/>
      <c r="J424" s="132"/>
    </row>
    <row r="425" spans="1:10" x14ac:dyDescent="0.25">
      <c r="A425" s="130"/>
      <c r="B425" s="130"/>
      <c r="C425" s="130"/>
      <c r="D425" s="132"/>
      <c r="E425" s="132"/>
      <c r="F425" s="131"/>
      <c r="G425" s="130"/>
      <c r="H425" s="130"/>
      <c r="I425" s="132"/>
      <c r="J425" s="132"/>
    </row>
    <row r="426" spans="1:10" ht="12.75" customHeight="1" x14ac:dyDescent="0.25">
      <c r="A426" s="130"/>
      <c r="B426" s="130"/>
      <c r="C426" s="130"/>
      <c r="D426" s="132"/>
      <c r="E426" s="132"/>
      <c r="F426" s="132"/>
      <c r="G426" s="130"/>
      <c r="H426" s="130"/>
      <c r="I426" s="132"/>
      <c r="J426" s="132"/>
    </row>
    <row r="427" spans="1:10" ht="12.75" customHeight="1" x14ac:dyDescent="0.25">
      <c r="A427" s="130"/>
      <c r="B427" s="130"/>
      <c r="C427" s="130"/>
      <c r="D427" s="132"/>
      <c r="E427" s="132"/>
      <c r="F427" s="131"/>
      <c r="G427" s="130"/>
      <c r="H427" s="130"/>
      <c r="I427" s="132"/>
      <c r="J427" s="132"/>
    </row>
    <row r="428" spans="1:10" x14ac:dyDescent="0.25">
      <c r="A428" s="130"/>
      <c r="B428" s="130"/>
      <c r="C428" s="130"/>
      <c r="D428" s="132"/>
      <c r="E428" s="132"/>
      <c r="F428" s="131"/>
      <c r="G428" s="130"/>
      <c r="H428" s="130"/>
      <c r="I428" s="132"/>
      <c r="J428" s="132"/>
    </row>
    <row r="429" spans="1:10" x14ac:dyDescent="0.25">
      <c r="A429" s="130"/>
      <c r="B429" s="130"/>
      <c r="C429" s="130"/>
      <c r="D429" s="132"/>
      <c r="E429" s="132"/>
      <c r="F429" s="132"/>
      <c r="G429" s="130"/>
      <c r="H429" s="130"/>
      <c r="I429" s="132"/>
      <c r="J429" s="132"/>
    </row>
    <row r="430" spans="1:10" x14ac:dyDescent="0.25">
      <c r="A430" s="130"/>
      <c r="B430" s="130"/>
      <c r="C430" s="130"/>
      <c r="D430" s="132"/>
      <c r="E430" s="132"/>
      <c r="F430" s="131"/>
      <c r="G430" s="130"/>
      <c r="H430" s="130"/>
      <c r="I430" s="132"/>
      <c r="J430" s="132"/>
    </row>
    <row r="431" spans="1:10" x14ac:dyDescent="0.25">
      <c r="A431" s="130"/>
      <c r="B431" s="130"/>
      <c r="C431" s="130"/>
      <c r="D431" s="132"/>
      <c r="E431" s="132"/>
      <c r="F431" s="131"/>
      <c r="G431" s="130"/>
      <c r="H431" s="130"/>
      <c r="I431" s="132"/>
      <c r="J431" s="132"/>
    </row>
    <row r="432" spans="1:10" x14ac:dyDescent="0.25">
      <c r="A432" s="130"/>
      <c r="B432" s="130"/>
      <c r="C432" s="130"/>
      <c r="D432" s="132"/>
      <c r="E432" s="132"/>
      <c r="F432" s="132"/>
      <c r="G432" s="130"/>
      <c r="H432" s="130"/>
      <c r="I432" s="132"/>
      <c r="J432" s="132"/>
    </row>
    <row r="433" spans="1:10" ht="12.75" customHeight="1" x14ac:dyDescent="0.25">
      <c r="A433" s="130"/>
      <c r="B433" s="130"/>
      <c r="C433" s="130"/>
      <c r="D433" s="132"/>
      <c r="E433" s="132"/>
      <c r="F433" s="131"/>
      <c r="G433" s="130"/>
      <c r="H433" s="130"/>
      <c r="I433" s="132"/>
      <c r="J433" s="132"/>
    </row>
    <row r="434" spans="1:10" ht="12.75" customHeight="1" x14ac:dyDescent="0.25">
      <c r="A434" s="130"/>
      <c r="B434" s="130"/>
      <c r="C434" s="130"/>
      <c r="D434" s="132"/>
      <c r="E434" s="132"/>
      <c r="F434" s="131"/>
      <c r="G434" s="130"/>
      <c r="H434" s="130"/>
      <c r="I434" s="132"/>
      <c r="J434" s="132"/>
    </row>
    <row r="435" spans="1:10" x14ac:dyDescent="0.25">
      <c r="A435" s="130"/>
      <c r="B435" s="130"/>
      <c r="C435" s="130"/>
      <c r="D435" s="132"/>
      <c r="E435" s="132"/>
      <c r="F435" s="132"/>
      <c r="G435" s="130"/>
      <c r="H435" s="130"/>
      <c r="I435" s="132"/>
      <c r="J435" s="132"/>
    </row>
    <row r="436" spans="1:10" x14ac:dyDescent="0.25">
      <c r="A436" s="130"/>
      <c r="B436" s="130"/>
      <c r="C436" s="130"/>
      <c r="D436" s="132"/>
      <c r="E436" s="132"/>
      <c r="F436" s="131"/>
      <c r="G436" s="130"/>
      <c r="H436" s="130"/>
      <c r="I436" s="132"/>
      <c r="J436" s="132"/>
    </row>
    <row r="437" spans="1:10" x14ac:dyDescent="0.25">
      <c r="A437" s="130"/>
      <c r="B437" s="130"/>
      <c r="C437" s="130"/>
      <c r="D437" s="132"/>
      <c r="E437" s="132"/>
      <c r="F437" s="131"/>
      <c r="G437" s="130"/>
      <c r="H437" s="130"/>
      <c r="I437" s="132"/>
      <c r="J437" s="132"/>
    </row>
    <row r="438" spans="1:10" x14ac:dyDescent="0.25">
      <c r="A438" s="130"/>
      <c r="B438" s="130"/>
      <c r="C438" s="130"/>
      <c r="D438" s="132"/>
      <c r="E438" s="132"/>
      <c r="F438" s="132"/>
      <c r="G438" s="130"/>
      <c r="H438" s="130"/>
      <c r="I438" s="132"/>
      <c r="J438" s="132"/>
    </row>
    <row r="439" spans="1:10" x14ac:dyDescent="0.25">
      <c r="A439" s="130"/>
      <c r="B439" s="130"/>
      <c r="C439" s="130"/>
      <c r="D439" s="132"/>
      <c r="E439" s="132"/>
      <c r="F439" s="131"/>
      <c r="G439" s="130"/>
      <c r="H439" s="130"/>
      <c r="I439" s="132"/>
      <c r="J439" s="132"/>
    </row>
    <row r="440" spans="1:10" ht="12.75" customHeight="1" x14ac:dyDescent="0.25">
      <c r="A440" s="130"/>
      <c r="B440" s="130"/>
      <c r="C440" s="130"/>
      <c r="D440" s="132"/>
      <c r="E440" s="132"/>
      <c r="F440" s="131"/>
      <c r="G440" s="130"/>
      <c r="H440" s="130"/>
      <c r="I440" s="132"/>
      <c r="J440" s="132"/>
    </row>
    <row r="441" spans="1:10" ht="12.75" customHeight="1" x14ac:dyDescent="0.25">
      <c r="A441" s="130"/>
      <c r="B441" s="130"/>
      <c r="C441" s="130"/>
      <c r="D441" s="132"/>
      <c r="E441" s="132"/>
      <c r="F441" s="132"/>
      <c r="G441" s="130"/>
      <c r="H441" s="130"/>
      <c r="I441" s="132"/>
      <c r="J441" s="132"/>
    </row>
    <row r="442" spans="1:10" x14ac:dyDescent="0.25">
      <c r="A442" s="130"/>
      <c r="B442" s="130"/>
      <c r="C442" s="130"/>
      <c r="D442" s="132"/>
      <c r="E442" s="132"/>
      <c r="F442" s="131"/>
      <c r="G442" s="130"/>
      <c r="H442" s="130"/>
      <c r="I442" s="132"/>
      <c r="J442" s="132"/>
    </row>
    <row r="443" spans="1:10" x14ac:dyDescent="0.25">
      <c r="A443" s="130"/>
      <c r="B443" s="130"/>
      <c r="C443" s="130"/>
      <c r="D443" s="132"/>
      <c r="E443" s="132"/>
      <c r="F443" s="131"/>
      <c r="G443" s="130"/>
      <c r="H443" s="130"/>
      <c r="I443" s="132"/>
      <c r="J443" s="132"/>
    </row>
    <row r="444" spans="1:10" x14ac:dyDescent="0.25">
      <c r="A444" s="130"/>
      <c r="B444" s="130"/>
      <c r="C444" s="130"/>
      <c r="D444" s="132"/>
      <c r="E444" s="132"/>
      <c r="F444" s="132"/>
      <c r="G444" s="130"/>
      <c r="H444" s="130"/>
      <c r="I444" s="132"/>
      <c r="J444" s="132"/>
    </row>
    <row r="445" spans="1:10" x14ac:dyDescent="0.25">
      <c r="A445" s="130"/>
      <c r="B445" s="130"/>
      <c r="C445" s="130"/>
      <c r="D445" s="132"/>
      <c r="E445" s="132"/>
      <c r="F445" s="131"/>
      <c r="G445" s="130"/>
      <c r="H445" s="130"/>
      <c r="I445" s="132"/>
      <c r="J445" s="132"/>
    </row>
    <row r="446" spans="1:10" x14ac:dyDescent="0.25">
      <c r="A446" s="130"/>
      <c r="B446" s="130"/>
      <c r="C446" s="130"/>
      <c r="D446" s="132"/>
      <c r="E446" s="132"/>
      <c r="F446" s="131"/>
      <c r="G446" s="130"/>
      <c r="H446" s="130"/>
      <c r="I446" s="132"/>
      <c r="J446" s="132"/>
    </row>
    <row r="447" spans="1:10" ht="12.75" customHeight="1" x14ac:dyDescent="0.25">
      <c r="A447" s="130"/>
      <c r="B447" s="130"/>
      <c r="C447" s="130"/>
      <c r="D447" s="132"/>
      <c r="E447" s="132"/>
      <c r="F447" s="132"/>
      <c r="G447" s="130"/>
      <c r="H447" s="130"/>
      <c r="I447" s="132"/>
      <c r="J447" s="132"/>
    </row>
    <row r="448" spans="1:10" ht="12.75" customHeight="1" x14ac:dyDescent="0.25">
      <c r="A448" s="130"/>
      <c r="B448" s="130"/>
      <c r="C448" s="130"/>
      <c r="D448" s="132"/>
      <c r="E448" s="132"/>
      <c r="F448" s="131"/>
      <c r="G448" s="130"/>
      <c r="H448" s="130"/>
      <c r="I448" s="132"/>
      <c r="J448" s="132"/>
    </row>
    <row r="449" spans="1:10" x14ac:dyDescent="0.25">
      <c r="A449" s="130"/>
      <c r="B449" s="130"/>
      <c r="C449" s="130"/>
      <c r="D449" s="132"/>
      <c r="E449" s="132"/>
      <c r="F449" s="131"/>
      <c r="G449" s="130"/>
      <c r="H449" s="130"/>
      <c r="I449" s="132"/>
      <c r="J449" s="132"/>
    </row>
    <row r="450" spans="1:10" x14ac:dyDescent="0.25">
      <c r="A450" s="130"/>
      <c r="B450" s="130"/>
      <c r="C450" s="130"/>
      <c r="D450" s="132"/>
      <c r="E450" s="132"/>
      <c r="F450" s="132"/>
      <c r="G450" s="130"/>
      <c r="H450" s="130"/>
      <c r="I450" s="132"/>
      <c r="J450" s="132"/>
    </row>
    <row r="451" spans="1:10" x14ac:dyDescent="0.25">
      <c r="A451" s="130"/>
      <c r="B451" s="130"/>
      <c r="C451" s="130"/>
      <c r="D451" s="132"/>
      <c r="E451" s="132"/>
      <c r="F451" s="131"/>
      <c r="G451" s="130"/>
      <c r="H451" s="130"/>
      <c r="I451" s="132"/>
      <c r="J451" s="132"/>
    </row>
    <row r="452" spans="1:10" x14ac:dyDescent="0.25">
      <c r="A452" s="130"/>
      <c r="B452" s="130"/>
      <c r="C452" s="130"/>
      <c r="D452" s="132"/>
      <c r="E452" s="132"/>
      <c r="F452" s="131"/>
      <c r="G452" s="130"/>
      <c r="H452" s="130"/>
      <c r="I452" s="132"/>
      <c r="J452" s="132"/>
    </row>
    <row r="453" spans="1:10" x14ac:dyDescent="0.25">
      <c r="A453" s="130"/>
      <c r="B453" s="130"/>
      <c r="C453" s="130"/>
      <c r="D453" s="132"/>
      <c r="E453" s="132"/>
      <c r="F453" s="132"/>
      <c r="G453" s="130"/>
      <c r="H453" s="130"/>
      <c r="I453" s="132"/>
      <c r="J453" s="132"/>
    </row>
    <row r="454" spans="1:10" ht="12.75" customHeight="1" x14ac:dyDescent="0.25">
      <c r="A454" s="130"/>
      <c r="B454" s="130"/>
      <c r="C454" s="130"/>
      <c r="D454" s="132"/>
      <c r="E454" s="132"/>
      <c r="F454" s="131"/>
      <c r="G454" s="130"/>
      <c r="H454" s="130"/>
      <c r="I454" s="132"/>
      <c r="J454" s="132"/>
    </row>
    <row r="455" spans="1:10" ht="12.75" customHeight="1" x14ac:dyDescent="0.25">
      <c r="A455" s="130"/>
      <c r="B455" s="130"/>
      <c r="C455" s="130"/>
      <c r="D455" s="132"/>
      <c r="E455" s="132"/>
      <c r="F455" s="131"/>
      <c r="G455" s="130"/>
      <c r="H455" s="130"/>
      <c r="I455" s="132"/>
      <c r="J455" s="132"/>
    </row>
    <row r="456" spans="1:10" x14ac:dyDescent="0.25">
      <c r="A456" s="130"/>
      <c r="B456" s="130"/>
      <c r="C456" s="130"/>
      <c r="D456" s="132"/>
      <c r="E456" s="132"/>
      <c r="F456" s="132"/>
      <c r="G456" s="130"/>
      <c r="H456" s="130"/>
      <c r="I456" s="132"/>
      <c r="J456" s="132"/>
    </row>
    <row r="457" spans="1:10" x14ac:dyDescent="0.25">
      <c r="A457" s="130"/>
      <c r="B457" s="130"/>
      <c r="C457" s="130"/>
      <c r="D457" s="132"/>
      <c r="E457" s="132"/>
      <c r="F457" s="131"/>
      <c r="G457" s="130"/>
      <c r="H457" s="130"/>
      <c r="I457" s="132"/>
      <c r="J457" s="132"/>
    </row>
    <row r="458" spans="1:10" x14ac:dyDescent="0.25">
      <c r="A458" s="130"/>
      <c r="B458" s="130"/>
      <c r="C458" s="130"/>
      <c r="D458" s="132"/>
      <c r="E458" s="132"/>
      <c r="F458" s="131"/>
      <c r="G458" s="130"/>
      <c r="H458" s="130"/>
      <c r="I458" s="132"/>
      <c r="J458" s="132"/>
    </row>
    <row r="459" spans="1:10" x14ac:dyDescent="0.25">
      <c r="A459" s="130"/>
      <c r="B459" s="130"/>
      <c r="C459" s="130"/>
      <c r="D459" s="132"/>
      <c r="E459" s="132"/>
      <c r="F459" s="132"/>
      <c r="G459" s="130"/>
      <c r="H459" s="130"/>
      <c r="I459" s="132"/>
      <c r="J459" s="132"/>
    </row>
    <row r="460" spans="1:10" x14ac:dyDescent="0.25">
      <c r="A460" s="130"/>
      <c r="B460" s="130"/>
      <c r="C460" s="130"/>
      <c r="D460" s="132"/>
      <c r="E460" s="132"/>
      <c r="F460" s="131"/>
      <c r="G460" s="130"/>
      <c r="H460" s="130"/>
      <c r="I460" s="132"/>
      <c r="J460" s="132"/>
    </row>
    <row r="461" spans="1:10" ht="12.75" customHeight="1" x14ac:dyDescent="0.25">
      <c r="A461" s="130"/>
      <c r="B461" s="130"/>
      <c r="C461" s="130"/>
      <c r="D461" s="132"/>
      <c r="E461" s="132"/>
      <c r="F461" s="131"/>
      <c r="G461" s="130"/>
      <c r="H461" s="130"/>
      <c r="I461" s="132"/>
      <c r="J461" s="132"/>
    </row>
    <row r="462" spans="1:10" ht="12.75" customHeight="1" x14ac:dyDescent="0.25">
      <c r="A462" s="130"/>
      <c r="B462" s="130"/>
      <c r="C462" s="130"/>
      <c r="D462" s="132"/>
      <c r="E462" s="132"/>
      <c r="F462" s="132"/>
      <c r="G462" s="130"/>
      <c r="H462" s="130"/>
      <c r="I462" s="132"/>
      <c r="J462" s="132"/>
    </row>
    <row r="463" spans="1:10" x14ac:dyDescent="0.25">
      <c r="A463" s="130"/>
      <c r="B463" s="130"/>
      <c r="C463" s="130"/>
      <c r="D463" s="132"/>
      <c r="E463" s="132"/>
      <c r="F463" s="131"/>
      <c r="G463" s="130"/>
      <c r="H463" s="130"/>
      <c r="I463" s="132"/>
      <c r="J463" s="132"/>
    </row>
    <row r="464" spans="1:10" x14ac:dyDescent="0.25">
      <c r="A464" s="130"/>
      <c r="B464" s="130"/>
      <c r="C464" s="130"/>
      <c r="D464" s="132"/>
      <c r="E464" s="132"/>
      <c r="F464" s="131"/>
      <c r="G464" s="130"/>
      <c r="H464" s="130"/>
      <c r="I464" s="132"/>
      <c r="J464" s="132"/>
    </row>
    <row r="465" spans="1:10" x14ac:dyDescent="0.25">
      <c r="A465" s="130"/>
      <c r="B465" s="130"/>
      <c r="C465" s="130"/>
      <c r="D465" s="132"/>
      <c r="E465" s="132"/>
      <c r="F465" s="132"/>
      <c r="G465" s="130"/>
      <c r="H465" s="130"/>
      <c r="I465" s="132"/>
      <c r="J465" s="132"/>
    </row>
    <row r="466" spans="1:10" x14ac:dyDescent="0.25">
      <c r="A466" s="130"/>
      <c r="B466" s="130"/>
      <c r="C466" s="130"/>
      <c r="D466" s="132"/>
      <c r="E466" s="132"/>
      <c r="F466" s="131"/>
      <c r="G466" s="130"/>
      <c r="H466" s="130"/>
      <c r="I466" s="132"/>
      <c r="J466" s="132"/>
    </row>
    <row r="467" spans="1:10" x14ac:dyDescent="0.25">
      <c r="A467" s="130"/>
      <c r="B467" s="130"/>
      <c r="C467" s="130"/>
      <c r="D467" s="132"/>
      <c r="E467" s="132"/>
      <c r="F467" s="131"/>
      <c r="G467" s="130"/>
      <c r="H467" s="130"/>
      <c r="I467" s="132"/>
      <c r="J467" s="132"/>
    </row>
    <row r="468" spans="1:10" ht="12.75" customHeight="1" x14ac:dyDescent="0.25">
      <c r="A468" s="130"/>
      <c r="B468" s="130"/>
      <c r="C468" s="130"/>
      <c r="D468" s="132"/>
      <c r="E468" s="132"/>
      <c r="F468" s="132"/>
      <c r="G468" s="130"/>
      <c r="H468" s="130"/>
      <c r="I468" s="132"/>
      <c r="J468" s="132"/>
    </row>
    <row r="469" spans="1:10" ht="12.75" customHeight="1" x14ac:dyDescent="0.25">
      <c r="A469" s="130"/>
      <c r="B469" s="130"/>
      <c r="C469" s="130"/>
      <c r="D469" s="132"/>
      <c r="E469" s="132"/>
      <c r="F469" s="131"/>
      <c r="G469" s="130"/>
      <c r="H469" s="130"/>
      <c r="I469" s="132"/>
      <c r="J469" s="132"/>
    </row>
    <row r="470" spans="1:10" x14ac:dyDescent="0.25">
      <c r="A470" s="130"/>
      <c r="B470" s="130"/>
      <c r="C470" s="130"/>
      <c r="D470" s="132"/>
      <c r="E470" s="132"/>
      <c r="F470" s="131"/>
      <c r="G470" s="130"/>
      <c r="H470" s="130"/>
      <c r="I470" s="132"/>
      <c r="J470" s="132"/>
    </row>
    <row r="471" spans="1:10" x14ac:dyDescent="0.25">
      <c r="A471" s="130"/>
      <c r="B471" s="130"/>
      <c r="C471" s="130"/>
      <c r="D471" s="132"/>
      <c r="E471" s="132"/>
      <c r="F471" s="132"/>
      <c r="G471" s="130"/>
      <c r="H471" s="130"/>
      <c r="I471" s="132"/>
      <c r="J471" s="132"/>
    </row>
    <row r="472" spans="1:10" x14ac:dyDescent="0.25">
      <c r="A472" s="130"/>
      <c r="B472" s="130"/>
      <c r="C472" s="130"/>
      <c r="D472" s="132"/>
      <c r="E472" s="132"/>
      <c r="F472" s="131"/>
      <c r="G472" s="130"/>
      <c r="H472" s="130"/>
      <c r="I472" s="132"/>
      <c r="J472" s="132"/>
    </row>
    <row r="473" spans="1:10" x14ac:dyDescent="0.25">
      <c r="A473" s="130"/>
      <c r="B473" s="130"/>
      <c r="C473" s="130"/>
      <c r="D473" s="132"/>
      <c r="E473" s="132"/>
      <c r="F473" s="131"/>
      <c r="G473" s="130"/>
      <c r="H473" s="130"/>
      <c r="I473" s="132"/>
      <c r="J473" s="132"/>
    </row>
    <row r="474" spans="1:10" x14ac:dyDescent="0.25">
      <c r="A474" s="130"/>
      <c r="B474" s="130"/>
      <c r="C474" s="130"/>
      <c r="D474" s="132"/>
      <c r="E474" s="132"/>
      <c r="F474" s="132"/>
      <c r="G474" s="130"/>
      <c r="H474" s="130"/>
      <c r="I474" s="132"/>
      <c r="J474" s="132"/>
    </row>
    <row r="475" spans="1:10" ht="12.75" customHeight="1" x14ac:dyDescent="0.25">
      <c r="A475" s="130"/>
      <c r="B475" s="130"/>
      <c r="C475" s="130"/>
      <c r="D475" s="132"/>
      <c r="E475" s="132"/>
      <c r="F475" s="131"/>
      <c r="G475" s="130"/>
      <c r="H475" s="130"/>
      <c r="I475" s="132"/>
      <c r="J475" s="132"/>
    </row>
    <row r="476" spans="1:10" ht="12.75" customHeight="1" x14ac:dyDescent="0.25">
      <c r="A476" s="130"/>
      <c r="B476" s="130"/>
      <c r="C476" s="130"/>
      <c r="D476" s="132"/>
      <c r="E476" s="132"/>
      <c r="F476" s="131"/>
      <c r="G476" s="130"/>
      <c r="H476" s="130"/>
      <c r="I476" s="132"/>
      <c r="J476" s="132"/>
    </row>
    <row r="477" spans="1:10" x14ac:dyDescent="0.25">
      <c r="A477" s="130"/>
      <c r="B477" s="130"/>
      <c r="C477" s="130"/>
      <c r="D477" s="132"/>
      <c r="E477" s="132"/>
      <c r="F477" s="132"/>
      <c r="G477" s="130"/>
      <c r="H477" s="130"/>
      <c r="I477" s="132"/>
      <c r="J477" s="132"/>
    </row>
    <row r="478" spans="1:10" x14ac:dyDescent="0.25">
      <c r="A478" s="130"/>
      <c r="B478" s="130"/>
      <c r="C478" s="130"/>
      <c r="D478" s="132"/>
      <c r="E478" s="132"/>
      <c r="F478" s="131"/>
      <c r="G478" s="130"/>
      <c r="H478" s="130"/>
      <c r="I478" s="132"/>
      <c r="J478" s="132"/>
    </row>
    <row r="479" spans="1:10" x14ac:dyDescent="0.25">
      <c r="A479" s="130"/>
      <c r="B479" s="130"/>
      <c r="C479" s="130"/>
      <c r="D479" s="132"/>
      <c r="E479" s="132"/>
      <c r="F479" s="131"/>
      <c r="G479" s="130"/>
      <c r="H479" s="130"/>
      <c r="I479" s="132"/>
      <c r="J479" s="132"/>
    </row>
    <row r="480" spans="1:10" x14ac:dyDescent="0.25">
      <c r="A480" s="130"/>
      <c r="B480" s="130"/>
      <c r="C480" s="130"/>
      <c r="D480" s="132"/>
      <c r="E480" s="132"/>
      <c r="F480" s="132"/>
      <c r="G480" s="130"/>
      <c r="H480" s="130"/>
      <c r="I480" s="132"/>
      <c r="J480" s="132"/>
    </row>
    <row r="481" spans="1:10" x14ac:dyDescent="0.25">
      <c r="A481" s="130"/>
      <c r="B481" s="130"/>
      <c r="C481" s="130"/>
      <c r="D481" s="132"/>
      <c r="E481" s="132"/>
      <c r="F481" s="131"/>
      <c r="G481" s="130"/>
      <c r="H481" s="130"/>
      <c r="I481" s="132"/>
      <c r="J481" s="132"/>
    </row>
    <row r="482" spans="1:10" ht="12.75" customHeight="1" x14ac:dyDescent="0.25">
      <c r="A482" s="130"/>
      <c r="B482" s="130"/>
      <c r="C482" s="130"/>
      <c r="D482" s="132"/>
      <c r="E482" s="132"/>
      <c r="F482" s="131"/>
      <c r="G482" s="130"/>
      <c r="H482" s="130"/>
      <c r="I482" s="132"/>
      <c r="J482" s="132"/>
    </row>
    <row r="483" spans="1:10" ht="12.75" customHeight="1" x14ac:dyDescent="0.25">
      <c r="A483" s="130"/>
      <c r="B483" s="130"/>
      <c r="C483" s="130"/>
      <c r="D483" s="132"/>
      <c r="E483" s="132"/>
      <c r="F483" s="132"/>
      <c r="G483" s="130"/>
      <c r="H483" s="130"/>
      <c r="I483" s="132"/>
      <c r="J483" s="132"/>
    </row>
    <row r="484" spans="1:10" ht="12.75" customHeight="1" x14ac:dyDescent="0.25">
      <c r="A484" s="130"/>
      <c r="B484" s="130"/>
      <c r="C484" s="130"/>
      <c r="D484" s="132"/>
      <c r="E484" s="132"/>
      <c r="F484" s="131"/>
      <c r="G484" s="130"/>
      <c r="H484" s="130"/>
      <c r="I484" s="132"/>
      <c r="J484" s="132"/>
    </row>
    <row r="485" spans="1:10" x14ac:dyDescent="0.25">
      <c r="A485" s="130"/>
      <c r="B485" s="130"/>
      <c r="C485" s="130"/>
      <c r="D485" s="132"/>
      <c r="E485" s="132"/>
      <c r="F485" s="131"/>
      <c r="G485" s="130"/>
      <c r="H485" s="130"/>
      <c r="I485" s="132"/>
      <c r="J485" s="132"/>
    </row>
    <row r="486" spans="1:10" ht="12.75" customHeight="1" x14ac:dyDescent="0.25">
      <c r="A486" s="130"/>
      <c r="B486" s="130"/>
      <c r="C486" s="130"/>
      <c r="D486" s="132"/>
      <c r="E486" s="132"/>
      <c r="F486" s="132"/>
      <c r="G486" s="130"/>
      <c r="H486" s="130"/>
      <c r="I486" s="132"/>
      <c r="J486" s="132"/>
    </row>
    <row r="487" spans="1:10" x14ac:dyDescent="0.25">
      <c r="A487" s="130"/>
      <c r="B487" s="130"/>
      <c r="C487" s="130"/>
      <c r="D487" s="132"/>
      <c r="E487" s="132"/>
      <c r="F487" s="131"/>
      <c r="G487" s="130"/>
      <c r="H487" s="130"/>
      <c r="I487" s="132"/>
      <c r="J487" s="132"/>
    </row>
    <row r="488" spans="1:10" ht="12.75" customHeight="1" x14ac:dyDescent="0.25">
      <c r="A488" s="130"/>
      <c r="B488" s="130"/>
      <c r="C488" s="130"/>
      <c r="D488" s="132"/>
      <c r="E488" s="132"/>
      <c r="F488" s="131"/>
      <c r="G488" s="130"/>
      <c r="H488" s="130"/>
      <c r="I488" s="132"/>
      <c r="J488" s="132"/>
    </row>
    <row r="489" spans="1:10" x14ac:dyDescent="0.25">
      <c r="A489" s="130"/>
      <c r="B489" s="130"/>
      <c r="C489" s="130"/>
      <c r="D489" s="132"/>
      <c r="E489" s="132"/>
      <c r="F489" s="132"/>
      <c r="G489" s="130"/>
      <c r="H489" s="130"/>
      <c r="I489" s="132"/>
      <c r="J489" s="132"/>
    </row>
    <row r="490" spans="1:10" x14ac:dyDescent="0.25">
      <c r="A490" s="130"/>
      <c r="B490" s="130"/>
      <c r="C490" s="130"/>
      <c r="D490" s="132"/>
      <c r="E490" s="132"/>
      <c r="F490" s="131"/>
      <c r="G490" s="130"/>
      <c r="H490" s="130"/>
      <c r="I490" s="132"/>
      <c r="J490" s="132"/>
    </row>
    <row r="491" spans="1:10" ht="12.75" customHeight="1" x14ac:dyDescent="0.25">
      <c r="A491" s="130"/>
      <c r="B491" s="130"/>
      <c r="C491" s="130"/>
      <c r="D491" s="132"/>
      <c r="E491" s="132"/>
      <c r="F491" s="131"/>
      <c r="G491" s="130"/>
      <c r="H491" s="130"/>
      <c r="I491" s="132"/>
      <c r="J491" s="132"/>
    </row>
    <row r="492" spans="1:10" x14ac:dyDescent="0.25">
      <c r="A492" s="130"/>
      <c r="B492" s="130"/>
      <c r="C492" s="130"/>
      <c r="D492" s="132"/>
      <c r="E492" s="132"/>
      <c r="F492" s="132"/>
      <c r="G492" s="130"/>
      <c r="H492" s="130"/>
      <c r="I492" s="132"/>
      <c r="J492" s="132"/>
    </row>
    <row r="493" spans="1:10" x14ac:dyDescent="0.25">
      <c r="A493" s="130"/>
      <c r="B493" s="130"/>
      <c r="C493" s="130"/>
      <c r="D493" s="132"/>
      <c r="E493" s="132"/>
      <c r="F493" s="131"/>
      <c r="G493" s="130"/>
      <c r="H493" s="130"/>
      <c r="I493" s="132"/>
      <c r="J493" s="132"/>
    </row>
    <row r="494" spans="1:10" x14ac:dyDescent="0.25">
      <c r="A494" s="130"/>
      <c r="B494" s="130"/>
      <c r="C494" s="130"/>
      <c r="D494" s="132"/>
      <c r="E494" s="132"/>
      <c r="F494" s="131"/>
      <c r="G494" s="130"/>
      <c r="H494" s="130"/>
      <c r="I494" s="132"/>
      <c r="J494" s="132"/>
    </row>
    <row r="495" spans="1:10" x14ac:dyDescent="0.25">
      <c r="A495" s="130"/>
      <c r="B495" s="130"/>
      <c r="C495" s="130"/>
      <c r="D495" s="132"/>
      <c r="E495" s="132"/>
      <c r="F495" s="132"/>
      <c r="G495" s="130"/>
      <c r="H495" s="130"/>
      <c r="I495" s="132"/>
      <c r="J495" s="132"/>
    </row>
    <row r="496" spans="1:10" ht="12.75" customHeight="1" x14ac:dyDescent="0.25">
      <c r="A496" s="130"/>
      <c r="B496" s="130"/>
      <c r="C496" s="130"/>
      <c r="D496" s="132"/>
      <c r="E496" s="132"/>
      <c r="F496" s="131"/>
      <c r="G496" s="130"/>
      <c r="H496" s="130"/>
      <c r="I496" s="132"/>
      <c r="J496" s="132"/>
    </row>
    <row r="497" spans="1:10" ht="12.75" customHeight="1" x14ac:dyDescent="0.25">
      <c r="A497" s="130"/>
      <c r="B497" s="130"/>
      <c r="C497" s="130"/>
      <c r="D497" s="132"/>
      <c r="E497" s="132"/>
      <c r="F497" s="131"/>
      <c r="G497" s="130"/>
      <c r="H497" s="130"/>
      <c r="I497" s="132"/>
      <c r="J497" s="132"/>
    </row>
    <row r="498" spans="1:10" x14ac:dyDescent="0.25">
      <c r="A498" s="130"/>
      <c r="B498" s="130"/>
      <c r="C498" s="130"/>
      <c r="D498" s="132"/>
      <c r="E498" s="132"/>
      <c r="F498" s="132"/>
      <c r="G498" s="130"/>
      <c r="H498" s="130"/>
      <c r="I498" s="132"/>
      <c r="J498" s="132"/>
    </row>
    <row r="499" spans="1:10" x14ac:dyDescent="0.25">
      <c r="A499" s="130"/>
      <c r="B499" s="130"/>
      <c r="C499" s="130"/>
      <c r="D499" s="132"/>
      <c r="E499" s="132"/>
      <c r="F499" s="131"/>
      <c r="G499" s="130"/>
      <c r="H499" s="130"/>
      <c r="I499" s="132"/>
      <c r="J499" s="132"/>
    </row>
    <row r="500" spans="1:10" x14ac:dyDescent="0.25">
      <c r="A500" s="130"/>
      <c r="B500" s="130"/>
      <c r="C500" s="130"/>
      <c r="D500" s="132"/>
      <c r="E500" s="132"/>
      <c r="F500" s="131"/>
      <c r="G500" s="130"/>
      <c r="H500" s="130"/>
      <c r="I500" s="132"/>
      <c r="J500" s="132"/>
    </row>
    <row r="501" spans="1:10" x14ac:dyDescent="0.25">
      <c r="A501" s="130"/>
      <c r="B501" s="130"/>
      <c r="C501" s="130"/>
      <c r="D501" s="132"/>
      <c r="E501" s="132"/>
      <c r="F501" s="132"/>
      <c r="G501" s="130"/>
      <c r="H501" s="130"/>
      <c r="I501" s="132"/>
      <c r="J501" s="132"/>
    </row>
    <row r="502" spans="1:10" x14ac:dyDescent="0.25">
      <c r="A502" s="130"/>
      <c r="B502" s="130"/>
      <c r="C502" s="130"/>
      <c r="D502" s="132"/>
      <c r="E502" s="132"/>
      <c r="F502" s="131"/>
      <c r="G502" s="130"/>
      <c r="H502" s="130"/>
      <c r="I502" s="132"/>
      <c r="J502" s="132"/>
    </row>
    <row r="503" spans="1:10" x14ac:dyDescent="0.25">
      <c r="A503" s="130"/>
      <c r="B503" s="130"/>
      <c r="C503" s="130"/>
      <c r="D503" s="132"/>
      <c r="E503" s="132"/>
      <c r="F503" s="131"/>
      <c r="G503" s="130"/>
      <c r="H503" s="130"/>
      <c r="I503" s="132"/>
      <c r="J503" s="132"/>
    </row>
    <row r="504" spans="1:10" x14ac:dyDescent="0.25">
      <c r="A504" s="130"/>
      <c r="B504" s="130"/>
      <c r="C504" s="130"/>
      <c r="D504" s="132"/>
      <c r="E504" s="132"/>
      <c r="F504" s="132"/>
      <c r="G504" s="130"/>
      <c r="H504" s="130"/>
      <c r="I504" s="132"/>
      <c r="J504" s="132"/>
    </row>
    <row r="505" spans="1:10" x14ac:dyDescent="0.25">
      <c r="A505" s="130"/>
      <c r="B505" s="130"/>
      <c r="C505" s="130"/>
      <c r="D505" s="132"/>
      <c r="E505" s="132"/>
      <c r="F505" s="131"/>
      <c r="G505" s="130"/>
      <c r="H505" s="130"/>
      <c r="I505" s="132"/>
      <c r="J505" s="132"/>
    </row>
    <row r="506" spans="1:10" x14ac:dyDescent="0.25">
      <c r="A506" s="130"/>
      <c r="B506" s="130"/>
      <c r="C506" s="130"/>
      <c r="D506" s="132"/>
      <c r="E506" s="132"/>
      <c r="F506" s="131"/>
      <c r="G506" s="130"/>
      <c r="H506" s="130"/>
      <c r="I506" s="132"/>
      <c r="J506" s="132"/>
    </row>
    <row r="507" spans="1:10" x14ac:dyDescent="0.25">
      <c r="A507" s="130"/>
      <c r="B507" s="130"/>
      <c r="C507" s="130"/>
      <c r="D507" s="132"/>
      <c r="E507" s="132"/>
      <c r="F507" s="132"/>
      <c r="G507" s="130"/>
      <c r="H507" s="130"/>
      <c r="I507" s="132"/>
      <c r="J507" s="132"/>
    </row>
    <row r="508" spans="1:10" x14ac:dyDescent="0.25">
      <c r="A508" s="130"/>
      <c r="B508" s="130"/>
      <c r="C508" s="130"/>
      <c r="D508" s="132"/>
      <c r="E508" s="132"/>
      <c r="F508" s="131"/>
      <c r="G508" s="130"/>
      <c r="H508" s="130"/>
      <c r="I508" s="132"/>
      <c r="J508" s="132"/>
    </row>
    <row r="509" spans="1:10" x14ac:dyDescent="0.25">
      <c r="A509" s="130"/>
      <c r="B509" s="130"/>
      <c r="C509" s="130"/>
      <c r="D509" s="132"/>
      <c r="E509" s="132"/>
      <c r="F509" s="131"/>
      <c r="G509" s="130"/>
      <c r="H509" s="130"/>
      <c r="I509" s="132"/>
      <c r="J509" s="132"/>
    </row>
    <row r="510" spans="1:10" x14ac:dyDescent="0.25">
      <c r="A510" s="130"/>
      <c r="B510" s="130"/>
      <c r="C510" s="130"/>
      <c r="D510" s="132"/>
      <c r="E510" s="132"/>
      <c r="F510" s="132"/>
      <c r="G510" s="130"/>
      <c r="H510" s="130"/>
      <c r="I510" s="132"/>
      <c r="J510" s="132"/>
    </row>
    <row r="511" spans="1:10" x14ac:dyDescent="0.25">
      <c r="A511" s="130"/>
      <c r="B511" s="130"/>
      <c r="C511" s="130"/>
      <c r="D511" s="132"/>
      <c r="E511" s="132"/>
      <c r="F511" s="131"/>
      <c r="G511" s="130"/>
      <c r="H511" s="130"/>
      <c r="I511" s="132"/>
      <c r="J511" s="132"/>
    </row>
    <row r="512" spans="1:10" x14ac:dyDescent="0.25">
      <c r="A512" s="130"/>
      <c r="B512" s="130"/>
      <c r="C512" s="130"/>
      <c r="D512" s="132"/>
      <c r="E512" s="132"/>
      <c r="F512" s="131"/>
      <c r="G512" s="130"/>
      <c r="H512" s="130"/>
      <c r="I512" s="132"/>
      <c r="J512" s="132"/>
    </row>
    <row r="513" spans="1:10" x14ac:dyDescent="0.25">
      <c r="A513" s="130"/>
      <c r="B513" s="130"/>
      <c r="C513" s="130"/>
      <c r="D513" s="132"/>
      <c r="E513" s="132"/>
      <c r="F513" s="132"/>
      <c r="G513" s="130"/>
      <c r="H513" s="130"/>
      <c r="I513" s="132"/>
      <c r="J513" s="132"/>
    </row>
    <row r="514" spans="1:10" x14ac:dyDescent="0.25">
      <c r="A514" s="130"/>
      <c r="B514" s="130"/>
      <c r="C514" s="130"/>
      <c r="D514" s="132"/>
      <c r="E514" s="132"/>
      <c r="F514" s="131"/>
      <c r="G514" s="130"/>
      <c r="H514" s="130"/>
      <c r="I514" s="132"/>
      <c r="J514" s="132"/>
    </row>
    <row r="515" spans="1:10" x14ac:dyDescent="0.25">
      <c r="A515" s="130"/>
      <c r="B515" s="130"/>
      <c r="C515" s="130"/>
      <c r="D515" s="132"/>
      <c r="E515" s="132"/>
      <c r="F515" s="132"/>
      <c r="G515" s="130"/>
      <c r="H515" s="130"/>
      <c r="I515" s="132"/>
      <c r="J515" s="132"/>
    </row>
    <row r="516" spans="1:10" x14ac:dyDescent="0.25">
      <c r="A516" s="130"/>
      <c r="B516" s="130"/>
      <c r="C516" s="130"/>
      <c r="D516" s="132"/>
      <c r="E516" s="132"/>
      <c r="F516" s="131"/>
      <c r="G516" s="130"/>
      <c r="H516" s="130"/>
      <c r="I516" s="132"/>
      <c r="J516" s="132"/>
    </row>
    <row r="517" spans="1:10" x14ac:dyDescent="0.25">
      <c r="A517" s="130"/>
      <c r="B517" s="130"/>
      <c r="C517" s="130"/>
      <c r="D517" s="132"/>
      <c r="E517" s="132"/>
      <c r="F517" s="132"/>
      <c r="G517" s="130"/>
      <c r="H517" s="130"/>
      <c r="I517" s="132"/>
      <c r="J517" s="132"/>
    </row>
    <row r="518" spans="1:10" x14ac:dyDescent="0.25">
      <c r="A518" s="130"/>
      <c r="B518" s="130"/>
      <c r="C518" s="130"/>
      <c r="D518" s="132"/>
      <c r="E518" s="132"/>
      <c r="F518" s="131"/>
      <c r="G518" s="130"/>
      <c r="H518" s="130"/>
      <c r="I518" s="132"/>
      <c r="J518" s="132"/>
    </row>
    <row r="519" spans="1:10" x14ac:dyDescent="0.25">
      <c r="A519" s="130"/>
      <c r="B519" s="130"/>
      <c r="C519" s="130"/>
      <c r="D519" s="132"/>
      <c r="E519" s="132"/>
      <c r="F519" s="132"/>
      <c r="G519" s="130"/>
      <c r="H519" s="130"/>
      <c r="I519" s="132"/>
      <c r="J519" s="132"/>
    </row>
    <row r="520" spans="1:10" x14ac:dyDescent="0.25">
      <c r="A520" s="130"/>
      <c r="B520" s="130"/>
      <c r="C520" s="130"/>
      <c r="D520" s="132"/>
      <c r="E520" s="132"/>
      <c r="F520" s="131"/>
      <c r="G520" s="130"/>
      <c r="H520" s="130"/>
      <c r="I520" s="132"/>
      <c r="J520" s="132"/>
    </row>
    <row r="521" spans="1:10" x14ac:dyDescent="0.25">
      <c r="A521" s="130"/>
      <c r="B521" s="130"/>
      <c r="C521" s="130"/>
      <c r="D521" s="132"/>
      <c r="E521" s="132"/>
      <c r="F521" s="132"/>
      <c r="G521" s="130"/>
      <c r="H521" s="130"/>
      <c r="I521" s="132"/>
      <c r="J521" s="132"/>
    </row>
    <row r="522" spans="1:10" x14ac:dyDescent="0.25">
      <c r="A522" s="130"/>
      <c r="B522" s="130"/>
      <c r="C522" s="130"/>
      <c r="D522" s="132"/>
      <c r="E522" s="132"/>
      <c r="F522" s="131"/>
      <c r="G522" s="130"/>
      <c r="H522" s="130"/>
      <c r="I522" s="132"/>
      <c r="J522" s="132"/>
    </row>
    <row r="523" spans="1:10" x14ac:dyDescent="0.25">
      <c r="A523" s="130"/>
      <c r="B523" s="130"/>
      <c r="C523" s="130"/>
      <c r="D523" s="132"/>
      <c r="E523" s="132"/>
      <c r="F523" s="132"/>
      <c r="G523" s="130"/>
      <c r="H523" s="130"/>
      <c r="I523" s="132"/>
      <c r="J523" s="132"/>
    </row>
    <row r="524" spans="1:10" x14ac:dyDescent="0.25">
      <c r="A524" s="130"/>
      <c r="B524" s="130"/>
      <c r="C524" s="130"/>
      <c r="D524" s="132"/>
      <c r="E524" s="132"/>
      <c r="F524" s="131"/>
      <c r="G524" s="130"/>
      <c r="H524" s="130"/>
      <c r="I524" s="132"/>
      <c r="J524" s="132"/>
    </row>
    <row r="525" spans="1:10" x14ac:dyDescent="0.25">
      <c r="A525" s="130"/>
      <c r="B525" s="130"/>
      <c r="C525" s="130"/>
      <c r="D525" s="132"/>
      <c r="E525" s="132"/>
      <c r="F525" s="132"/>
      <c r="G525" s="130"/>
      <c r="H525" s="130"/>
      <c r="I525" s="132"/>
      <c r="J525" s="132"/>
    </row>
    <row r="526" spans="1:10" x14ac:dyDescent="0.25">
      <c r="A526" s="130"/>
      <c r="B526" s="130"/>
      <c r="C526" s="130"/>
      <c r="D526" s="132"/>
      <c r="E526" s="132"/>
      <c r="F526" s="131"/>
      <c r="G526" s="130"/>
      <c r="H526" s="130"/>
      <c r="I526" s="132"/>
      <c r="J526" s="132"/>
    </row>
    <row r="527" spans="1:10" x14ac:dyDescent="0.25">
      <c r="A527" s="130"/>
      <c r="B527" s="130"/>
      <c r="C527" s="130"/>
      <c r="D527" s="132"/>
      <c r="E527" s="132"/>
      <c r="F527" s="132"/>
      <c r="G527" s="130"/>
      <c r="H527" s="130"/>
      <c r="I527" s="132"/>
      <c r="J527" s="132"/>
    </row>
    <row r="528" spans="1:10" x14ac:dyDescent="0.25">
      <c r="A528" s="130"/>
      <c r="B528" s="130"/>
      <c r="C528" s="130"/>
      <c r="D528" s="132"/>
      <c r="E528" s="132"/>
      <c r="F528" s="131"/>
      <c r="G528" s="130"/>
      <c r="H528" s="130"/>
      <c r="I528" s="132"/>
      <c r="J528" s="132"/>
    </row>
    <row r="529" spans="1:10" x14ac:dyDescent="0.25">
      <c r="A529" s="130"/>
      <c r="B529" s="130"/>
      <c r="C529" s="130"/>
      <c r="D529" s="132"/>
      <c r="E529" s="132"/>
      <c r="F529" s="132"/>
      <c r="G529" s="130"/>
      <c r="H529" s="130"/>
      <c r="I529" s="132"/>
      <c r="J529" s="132"/>
    </row>
    <row r="530" spans="1:10" x14ac:dyDescent="0.25">
      <c r="A530" s="130"/>
      <c r="B530" s="130"/>
      <c r="C530" s="130"/>
      <c r="D530" s="132"/>
      <c r="E530" s="132"/>
      <c r="F530" s="131"/>
      <c r="G530" s="130"/>
      <c r="H530" s="130"/>
      <c r="I530" s="132"/>
      <c r="J530" s="132"/>
    </row>
    <row r="531" spans="1:10" x14ac:dyDescent="0.25">
      <c r="A531" s="130"/>
      <c r="B531" s="130"/>
      <c r="C531" s="130"/>
      <c r="D531" s="132"/>
      <c r="E531" s="132"/>
      <c r="F531" s="132"/>
      <c r="G531" s="130"/>
      <c r="H531" s="130"/>
      <c r="I531" s="132"/>
      <c r="J531" s="132"/>
    </row>
    <row r="532" spans="1:10" x14ac:dyDescent="0.25">
      <c r="A532" s="130"/>
      <c r="B532" s="130"/>
      <c r="C532" s="130"/>
      <c r="D532" s="132"/>
      <c r="E532" s="132"/>
      <c r="F532" s="131"/>
      <c r="G532" s="130"/>
      <c r="H532" s="130"/>
      <c r="I532" s="132"/>
      <c r="J532" s="132"/>
    </row>
    <row r="533" spans="1:10" x14ac:dyDescent="0.25">
      <c r="A533" s="130"/>
      <c r="B533" s="130"/>
      <c r="C533" s="130"/>
      <c r="D533" s="132"/>
      <c r="E533" s="132"/>
      <c r="F533" s="132"/>
      <c r="G533" s="130"/>
      <c r="H533" s="130"/>
      <c r="I533" s="132"/>
      <c r="J533" s="132"/>
    </row>
    <row r="534" spans="1:10" x14ac:dyDescent="0.25">
      <c r="A534" s="130"/>
      <c r="B534" s="130"/>
      <c r="C534" s="130"/>
      <c r="D534" s="132"/>
      <c r="E534" s="132"/>
      <c r="F534" s="131"/>
      <c r="G534" s="130"/>
      <c r="H534" s="130"/>
      <c r="I534" s="132"/>
      <c r="J534" s="132"/>
    </row>
    <row r="535" spans="1:10" x14ac:dyDescent="0.25">
      <c r="A535" s="130"/>
      <c r="B535" s="130"/>
      <c r="C535" s="130"/>
      <c r="D535" s="132"/>
      <c r="E535" s="132"/>
      <c r="F535" s="132"/>
      <c r="G535" s="130"/>
      <c r="H535" s="130"/>
      <c r="I535" s="132"/>
      <c r="J535" s="132"/>
    </row>
    <row r="536" spans="1:10" x14ac:dyDescent="0.25">
      <c r="A536" s="130"/>
      <c r="B536" s="130"/>
      <c r="C536" s="130"/>
      <c r="D536" s="132"/>
      <c r="E536" s="132"/>
      <c r="F536" s="131"/>
      <c r="G536" s="130"/>
      <c r="H536" s="130"/>
      <c r="I536" s="132"/>
      <c r="J536" s="132"/>
    </row>
    <row r="537" spans="1:10" x14ac:dyDescent="0.25">
      <c r="A537" s="130"/>
      <c r="B537" s="130"/>
      <c r="C537" s="130"/>
      <c r="D537" s="132"/>
      <c r="E537" s="132"/>
      <c r="F537" s="132"/>
      <c r="G537" s="130"/>
      <c r="H537" s="130"/>
      <c r="I537" s="132"/>
      <c r="J537" s="132"/>
    </row>
    <row r="538" spans="1:10" x14ac:dyDescent="0.25">
      <c r="A538" s="130"/>
      <c r="B538" s="130"/>
      <c r="C538" s="130"/>
      <c r="D538" s="132"/>
      <c r="E538" s="132"/>
      <c r="F538" s="131"/>
      <c r="G538" s="130"/>
      <c r="H538" s="130"/>
      <c r="I538" s="132"/>
      <c r="J538" s="132"/>
    </row>
    <row r="539" spans="1:10" x14ac:dyDescent="0.25">
      <c r="A539" s="130"/>
      <c r="B539" s="130"/>
      <c r="C539" s="130"/>
      <c r="D539" s="132"/>
      <c r="E539" s="132"/>
      <c r="F539" s="132"/>
      <c r="G539" s="130"/>
      <c r="H539" s="130"/>
      <c r="I539" s="132"/>
      <c r="J539" s="132"/>
    </row>
    <row r="540" spans="1:10" x14ac:dyDescent="0.25">
      <c r="A540" s="130"/>
      <c r="B540" s="130"/>
      <c r="C540" s="130"/>
      <c r="D540" s="132"/>
      <c r="E540" s="132"/>
      <c r="F540" s="131"/>
      <c r="G540" s="130"/>
      <c r="H540" s="130"/>
      <c r="I540" s="132"/>
      <c r="J540" s="132"/>
    </row>
    <row r="541" spans="1:10" x14ac:dyDescent="0.25">
      <c r="A541" s="130"/>
      <c r="B541" s="130"/>
      <c r="C541" s="130"/>
      <c r="D541" s="132"/>
      <c r="E541" s="132"/>
      <c r="F541" s="132"/>
      <c r="G541" s="130"/>
      <c r="H541" s="130"/>
      <c r="I541" s="132"/>
      <c r="J541" s="132"/>
    </row>
    <row r="542" spans="1:10" x14ac:dyDescent="0.25">
      <c r="A542" s="130"/>
      <c r="B542" s="130"/>
      <c r="C542" s="130"/>
      <c r="D542" s="132"/>
      <c r="E542" s="132"/>
      <c r="F542" s="131"/>
      <c r="G542" s="130"/>
      <c r="H542" s="130"/>
      <c r="I542" s="132"/>
      <c r="J542" s="132"/>
    </row>
    <row r="543" spans="1:10" ht="12.75" customHeight="1" x14ac:dyDescent="0.25">
      <c r="A543" s="130"/>
      <c r="B543" s="130"/>
      <c r="C543" s="130"/>
      <c r="D543" s="132"/>
      <c r="E543" s="132"/>
      <c r="F543" s="132"/>
      <c r="G543" s="130"/>
      <c r="H543" s="130"/>
      <c r="I543" s="132"/>
      <c r="J543" s="132"/>
    </row>
    <row r="566" spans="1:10" x14ac:dyDescent="0.25">
      <c r="A566" s="135"/>
      <c r="B566" s="135"/>
      <c r="C566" s="136"/>
      <c r="D566" s="110"/>
      <c r="E566" s="110"/>
      <c r="F566" s="137"/>
      <c r="G566" s="137"/>
      <c r="H566" s="137"/>
      <c r="I566" s="137"/>
      <c r="J566" s="137"/>
    </row>
    <row r="567" spans="1:10" x14ac:dyDescent="0.25">
      <c r="A567" s="135"/>
      <c r="B567" s="135"/>
      <c r="C567" s="136"/>
      <c r="D567" s="110"/>
      <c r="E567" s="110"/>
      <c r="F567" s="137"/>
      <c r="G567" s="137"/>
      <c r="H567" s="137"/>
      <c r="I567" s="137"/>
      <c r="J567" s="137"/>
    </row>
    <row r="568" spans="1:10" x14ac:dyDescent="0.25">
      <c r="A568" s="135"/>
      <c r="B568" s="135"/>
      <c r="C568" s="136"/>
      <c r="D568" s="110"/>
      <c r="E568" s="110"/>
      <c r="F568" s="137"/>
      <c r="G568" s="137"/>
      <c r="H568" s="137"/>
      <c r="I568" s="137"/>
      <c r="J568" s="137"/>
    </row>
    <row r="569" spans="1:10" x14ac:dyDescent="0.25">
      <c r="A569" s="135"/>
      <c r="B569" s="135"/>
      <c r="C569" s="136"/>
      <c r="D569" s="110"/>
      <c r="E569" s="110"/>
      <c r="F569" s="137"/>
      <c r="G569" s="137"/>
      <c r="H569" s="137"/>
      <c r="I569" s="137"/>
      <c r="J569" s="137"/>
    </row>
    <row r="570" spans="1:10" x14ac:dyDescent="0.25">
      <c r="A570" s="135"/>
      <c r="B570" s="135"/>
      <c r="C570" s="136"/>
      <c r="D570" s="110"/>
      <c r="E570" s="110"/>
      <c r="F570" s="137"/>
      <c r="G570" s="137"/>
      <c r="H570" s="137"/>
      <c r="I570" s="137"/>
      <c r="J570" s="137"/>
    </row>
    <row r="571" spans="1:10" x14ac:dyDescent="0.25">
      <c r="A571" s="135"/>
      <c r="B571" s="135"/>
      <c r="C571" s="136"/>
      <c r="D571" s="110"/>
      <c r="E571" s="110"/>
      <c r="F571" s="137"/>
      <c r="G571" s="137"/>
      <c r="H571" s="137"/>
      <c r="I571" s="137"/>
      <c r="J571" s="137"/>
    </row>
    <row r="572" spans="1:10" x14ac:dyDescent="0.25">
      <c r="A572" s="135"/>
      <c r="B572" s="135"/>
      <c r="C572" s="136"/>
      <c r="D572" s="110"/>
      <c r="E572" s="110"/>
      <c r="F572" s="137"/>
      <c r="G572" s="137"/>
      <c r="H572" s="137"/>
      <c r="I572" s="137"/>
      <c r="J572" s="137"/>
    </row>
    <row r="573" spans="1:10" x14ac:dyDescent="0.25">
      <c r="A573" s="135"/>
      <c r="B573" s="135"/>
      <c r="C573" s="136"/>
      <c r="D573" s="110"/>
      <c r="E573" s="110"/>
      <c r="F573" s="137"/>
      <c r="G573" s="137"/>
      <c r="H573" s="137"/>
      <c r="I573" s="137"/>
      <c r="J573" s="137"/>
    </row>
    <row r="574" spans="1:10" x14ac:dyDescent="0.25">
      <c r="A574" s="135"/>
      <c r="B574" s="135"/>
      <c r="C574" s="136"/>
      <c r="D574" s="110"/>
      <c r="E574" s="110"/>
      <c r="F574" s="137"/>
      <c r="G574" s="137"/>
      <c r="H574" s="137"/>
      <c r="I574" s="137"/>
      <c r="J574" s="137"/>
    </row>
    <row r="575" spans="1:10" x14ac:dyDescent="0.25">
      <c r="A575" s="135"/>
      <c r="B575" s="135"/>
      <c r="C575" s="136"/>
      <c r="D575" s="110"/>
      <c r="E575" s="110"/>
      <c r="F575" s="137"/>
      <c r="G575" s="137"/>
      <c r="H575" s="137"/>
      <c r="I575" s="137"/>
      <c r="J575" s="137"/>
    </row>
    <row r="576" spans="1:10" x14ac:dyDescent="0.25">
      <c r="A576" s="135"/>
      <c r="B576" s="135"/>
      <c r="C576" s="136"/>
      <c r="D576" s="110"/>
      <c r="E576" s="110"/>
      <c r="F576" s="137"/>
      <c r="G576" s="137"/>
      <c r="H576" s="137"/>
      <c r="I576" s="137"/>
      <c r="J576" s="137"/>
    </row>
    <row r="577" spans="1:10" x14ac:dyDescent="0.25">
      <c r="A577" s="136"/>
      <c r="B577" s="136"/>
      <c r="C577" s="138"/>
      <c r="D577" s="139"/>
      <c r="E577" s="139"/>
      <c r="F577" s="140"/>
      <c r="G577" s="141"/>
      <c r="H577" s="140"/>
      <c r="I577" s="140"/>
      <c r="J577" s="140"/>
    </row>
    <row r="578" spans="1:10" x14ac:dyDescent="0.25">
      <c r="A578" s="136"/>
      <c r="B578" s="136"/>
      <c r="C578" s="138"/>
      <c r="D578" s="139"/>
      <c r="E578" s="139"/>
      <c r="F578" s="140"/>
      <c r="G578" s="141"/>
      <c r="H578" s="140"/>
      <c r="I578" s="140"/>
      <c r="J578" s="140"/>
    </row>
    <row r="579" spans="1:10" x14ac:dyDescent="0.25">
      <c r="A579" s="136"/>
      <c r="B579" s="136"/>
      <c r="C579" s="138"/>
      <c r="D579" s="139"/>
      <c r="E579" s="139"/>
      <c r="F579" s="140"/>
      <c r="G579" s="141"/>
      <c r="H579" s="140"/>
      <c r="I579" s="140"/>
      <c r="J579" s="140"/>
    </row>
    <row r="580" spans="1:10" x14ac:dyDescent="0.25">
      <c r="A580" s="136"/>
      <c r="B580" s="136"/>
      <c r="C580" s="138"/>
      <c r="D580" s="139"/>
      <c r="E580" s="139"/>
      <c r="F580" s="140"/>
      <c r="G580" s="141"/>
      <c r="H580" s="140"/>
      <c r="I580" s="140"/>
      <c r="J580" s="140"/>
    </row>
    <row r="581" spans="1:10" x14ac:dyDescent="0.25">
      <c r="A581" s="136"/>
      <c r="B581" s="136"/>
      <c r="C581" s="138"/>
      <c r="D581" s="139"/>
      <c r="E581" s="139"/>
      <c r="F581" s="140"/>
      <c r="G581" s="141"/>
      <c r="H581" s="140"/>
      <c r="I581" s="140"/>
      <c r="J581" s="140"/>
    </row>
    <row r="582" spans="1:10" x14ac:dyDescent="0.25">
      <c r="A582" s="136"/>
      <c r="B582" s="136"/>
      <c r="C582" s="138"/>
      <c r="D582" s="139"/>
      <c r="E582" s="139"/>
      <c r="F582" s="140"/>
      <c r="G582" s="141"/>
      <c r="H582" s="140"/>
      <c r="I582" s="140"/>
      <c r="J582" s="140"/>
    </row>
    <row r="583" spans="1:10" x14ac:dyDescent="0.25">
      <c r="A583" s="136"/>
      <c r="B583" s="136"/>
      <c r="C583" s="138"/>
      <c r="D583" s="139"/>
      <c r="E583" s="139"/>
      <c r="F583" s="140"/>
      <c r="G583" s="141"/>
      <c r="H583" s="140"/>
      <c r="I583" s="140"/>
      <c r="J583" s="140"/>
    </row>
    <row r="584" spans="1:10" x14ac:dyDescent="0.25">
      <c r="A584" s="136"/>
      <c r="B584" s="136"/>
      <c r="C584" s="138"/>
      <c r="D584" s="139"/>
      <c r="E584" s="139"/>
      <c r="F584" s="140"/>
      <c r="G584" s="141"/>
      <c r="H584" s="140"/>
      <c r="I584" s="140"/>
      <c r="J584" s="140"/>
    </row>
    <row r="585" spans="1:10" x14ac:dyDescent="0.25">
      <c r="A585" s="136"/>
      <c r="B585" s="136"/>
      <c r="C585" s="138"/>
      <c r="D585" s="139"/>
      <c r="E585" s="139"/>
      <c r="F585" s="140"/>
      <c r="G585" s="141"/>
      <c r="H585" s="140"/>
      <c r="I585" s="140"/>
      <c r="J585" s="140"/>
    </row>
    <row r="586" spans="1:10" x14ac:dyDescent="0.25">
      <c r="A586" s="136"/>
      <c r="B586" s="136"/>
      <c r="C586" s="138"/>
      <c r="D586" s="139"/>
      <c r="E586" s="139"/>
      <c r="F586" s="140"/>
      <c r="G586" s="141"/>
      <c r="H586" s="140"/>
      <c r="I586" s="140"/>
      <c r="J586" s="140"/>
    </row>
    <row r="587" spans="1:10" x14ac:dyDescent="0.25">
      <c r="A587" s="136"/>
      <c r="B587" s="136"/>
      <c r="C587" s="138"/>
      <c r="D587" s="139"/>
      <c r="E587" s="139"/>
      <c r="F587" s="140"/>
      <c r="G587" s="141"/>
      <c r="H587" s="140"/>
      <c r="I587" s="140"/>
      <c r="J587" s="140"/>
    </row>
    <row r="588" spans="1:10" x14ac:dyDescent="0.25">
      <c r="A588" s="136"/>
      <c r="B588" s="136"/>
      <c r="C588" s="138"/>
      <c r="D588" s="139"/>
      <c r="E588" s="139"/>
      <c r="F588" s="140"/>
      <c r="G588" s="141"/>
      <c r="H588" s="140"/>
      <c r="I588" s="140"/>
      <c r="J588" s="140"/>
    </row>
    <row r="589" spans="1:10" x14ac:dyDescent="0.25">
      <c r="B589" s="142"/>
    </row>
    <row r="590" spans="1:10" x14ac:dyDescent="0.25">
      <c r="B590" s="142"/>
    </row>
    <row r="591" spans="1:10" x14ac:dyDescent="0.25">
      <c r="B591" s="142"/>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0" priority="2" stopIfTrue="1" operator="equal">
      <formula>"Y"</formula>
    </cfRule>
  </conditionalFormatting>
  <conditionalFormatting sqref="E63 E2:E4">
    <cfRule type="cellIs" dxfId="9"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3.2" x14ac:dyDescent="0.25"/>
  <cols>
    <col min="1" max="1" width="32.33203125" bestFit="1" customWidth="1"/>
    <col min="2" max="2" width="7" style="6" bestFit="1" customWidth="1"/>
    <col min="3" max="3" width="37" style="8" bestFit="1" customWidth="1"/>
    <col min="4" max="4" width="5.6640625" style="7" hidden="1" customWidth="1"/>
    <col min="5" max="5" width="29.88671875" bestFit="1" customWidth="1"/>
    <col min="6" max="6" width="26.5546875" bestFit="1" customWidth="1"/>
  </cols>
  <sheetData>
    <row r="1" spans="1:6" ht="27" thickBot="1" x14ac:dyDescent="0.3">
      <c r="A1" s="23" t="s">
        <v>15</v>
      </c>
      <c r="B1" s="24" t="s">
        <v>16</v>
      </c>
      <c r="C1" s="25" t="s">
        <v>17</v>
      </c>
      <c r="D1" s="26" t="s">
        <v>131</v>
      </c>
      <c r="E1" s="27" t="s">
        <v>18</v>
      </c>
      <c r="F1" s="28" t="s">
        <v>19</v>
      </c>
    </row>
    <row r="2" spans="1:6" x14ac:dyDescent="0.25">
      <c r="A2" s="98"/>
      <c r="B2" s="19"/>
      <c r="C2" s="20"/>
      <c r="D2" s="99"/>
      <c r="E2" s="21"/>
      <c r="F2" s="22"/>
    </row>
    <row r="3" spans="1:6" x14ac:dyDescent="0.25">
      <c r="A3" s="96"/>
      <c r="B3" s="5"/>
      <c r="C3" s="10"/>
      <c r="D3" s="12"/>
      <c r="E3" s="9"/>
      <c r="F3" s="13"/>
    </row>
    <row r="4" spans="1:6" x14ac:dyDescent="0.25">
      <c r="A4" s="96"/>
      <c r="B4" s="5"/>
      <c r="C4" s="10"/>
      <c r="D4" s="12"/>
      <c r="E4" s="9"/>
      <c r="F4" s="13"/>
    </row>
    <row r="5" spans="1:6" x14ac:dyDescent="0.25">
      <c r="A5" s="96"/>
      <c r="B5" s="5"/>
      <c r="C5" s="10"/>
      <c r="D5" s="12"/>
      <c r="E5" s="9"/>
      <c r="F5" s="13"/>
    </row>
    <row r="6" spans="1:6" x14ac:dyDescent="0.25">
      <c r="A6" s="96"/>
      <c r="B6" s="5"/>
      <c r="C6" s="10"/>
      <c r="D6" s="12"/>
      <c r="E6" s="9"/>
      <c r="F6" s="13"/>
    </row>
    <row r="7" spans="1:6" x14ac:dyDescent="0.25">
      <c r="A7" s="96"/>
      <c r="B7" s="5"/>
      <c r="C7" s="10"/>
      <c r="D7" s="12"/>
      <c r="E7" s="9"/>
      <c r="F7" s="13"/>
    </row>
    <row r="8" spans="1:6" x14ac:dyDescent="0.25">
      <c r="A8" s="96"/>
      <c r="B8" s="5"/>
      <c r="C8" s="10"/>
      <c r="D8" s="12"/>
      <c r="E8" s="9"/>
      <c r="F8" s="13"/>
    </row>
    <row r="9" spans="1:6" x14ac:dyDescent="0.25">
      <c r="A9" s="96"/>
      <c r="B9" s="5"/>
      <c r="C9" s="10"/>
      <c r="D9" s="12"/>
      <c r="E9" s="9"/>
      <c r="F9" s="13"/>
    </row>
    <row r="10" spans="1:6" x14ac:dyDescent="0.25">
      <c r="A10" s="96"/>
      <c r="B10" s="5"/>
      <c r="C10" s="10"/>
      <c r="D10" s="12"/>
      <c r="E10" s="9"/>
      <c r="F10" s="13"/>
    </row>
    <row r="11" spans="1:6" x14ac:dyDescent="0.25">
      <c r="A11" s="96"/>
      <c r="B11" s="5"/>
      <c r="C11" s="10"/>
      <c r="D11" s="12"/>
      <c r="E11" s="9"/>
      <c r="F11" s="13"/>
    </row>
    <row r="12" spans="1:6" x14ac:dyDescent="0.25">
      <c r="A12" s="96"/>
      <c r="B12" s="5"/>
      <c r="C12" s="10"/>
      <c r="D12" s="12"/>
      <c r="E12" s="9"/>
      <c r="F12" s="13"/>
    </row>
    <row r="13" spans="1:6" x14ac:dyDescent="0.25">
      <c r="A13" s="96"/>
      <c r="B13" s="5"/>
      <c r="C13" s="10"/>
      <c r="D13" s="12"/>
      <c r="E13" s="9"/>
      <c r="F13" s="13"/>
    </row>
    <row r="14" spans="1:6" x14ac:dyDescent="0.25">
      <c r="A14" s="96"/>
      <c r="B14" s="5"/>
      <c r="C14" s="10"/>
      <c r="D14" s="11"/>
      <c r="E14" s="9"/>
      <c r="F14" s="13"/>
    </row>
    <row r="15" spans="1:6" x14ac:dyDescent="0.25">
      <c r="A15" s="96"/>
      <c r="B15" s="5"/>
      <c r="C15" s="10"/>
      <c r="D15" s="12"/>
      <c r="E15" s="9"/>
      <c r="F15" s="13"/>
    </row>
    <row r="16" spans="1:6" x14ac:dyDescent="0.25">
      <c r="A16" s="96"/>
      <c r="B16" s="5"/>
      <c r="C16" s="10"/>
      <c r="D16" s="12"/>
      <c r="E16" s="9"/>
      <c r="F16" s="13"/>
    </row>
    <row r="17" spans="1:6" x14ac:dyDescent="0.25">
      <c r="A17" s="96"/>
      <c r="B17" s="5"/>
      <c r="C17" s="10"/>
      <c r="D17" s="12"/>
      <c r="E17" s="9"/>
      <c r="F17" s="13"/>
    </row>
    <row r="18" spans="1:6" x14ac:dyDescent="0.25">
      <c r="A18" s="96"/>
      <c r="B18" s="5"/>
      <c r="C18" s="10"/>
      <c r="D18" s="12"/>
      <c r="E18" s="9"/>
      <c r="F18" s="13"/>
    </row>
    <row r="19" spans="1:6" x14ac:dyDescent="0.25">
      <c r="A19" s="96"/>
      <c r="B19" s="5"/>
      <c r="C19" s="10"/>
      <c r="D19" s="12"/>
      <c r="E19" s="9"/>
      <c r="F19" s="13"/>
    </row>
    <row r="20" spans="1:6" x14ac:dyDescent="0.25">
      <c r="A20" s="96"/>
      <c r="B20" s="5"/>
      <c r="C20" s="10"/>
      <c r="D20" s="12"/>
      <c r="E20" s="9"/>
      <c r="F20" s="13"/>
    </row>
    <row r="21" spans="1:6" x14ac:dyDescent="0.25">
      <c r="A21" s="96"/>
      <c r="B21" s="5"/>
      <c r="C21" s="10"/>
      <c r="D21" s="12"/>
      <c r="E21" s="9"/>
      <c r="F21" s="13"/>
    </row>
    <row r="22" spans="1:6" x14ac:dyDescent="0.25">
      <c r="A22" s="96"/>
      <c r="B22" s="5"/>
      <c r="C22" s="10"/>
      <c r="D22" s="12"/>
      <c r="E22" s="9"/>
      <c r="F22" s="13"/>
    </row>
    <row r="23" spans="1:6" x14ac:dyDescent="0.25">
      <c r="A23" s="96"/>
      <c r="B23" s="5"/>
      <c r="C23" s="10"/>
      <c r="D23" s="12"/>
      <c r="E23" s="9"/>
      <c r="F23" s="13"/>
    </row>
    <row r="24" spans="1:6" x14ac:dyDescent="0.25">
      <c r="A24" s="96"/>
      <c r="B24" s="5"/>
      <c r="C24" s="10"/>
      <c r="D24" s="12"/>
      <c r="E24" s="9"/>
      <c r="F24" s="13"/>
    </row>
    <row r="25" spans="1:6" x14ac:dyDescent="0.25">
      <c r="A25" s="96"/>
      <c r="B25" s="5"/>
      <c r="C25" s="10"/>
      <c r="D25" s="12"/>
      <c r="E25" s="9"/>
      <c r="F25" s="13"/>
    </row>
    <row r="26" spans="1:6" x14ac:dyDescent="0.25">
      <c r="A26" s="96"/>
      <c r="B26" s="5"/>
      <c r="C26" s="10"/>
      <c r="D26" s="12"/>
      <c r="E26" s="9"/>
      <c r="F26" s="13"/>
    </row>
    <row r="27" spans="1:6" x14ac:dyDescent="0.25">
      <c r="A27" s="96"/>
      <c r="B27" s="5"/>
      <c r="C27" s="10"/>
      <c r="D27" s="12"/>
      <c r="E27" s="9"/>
      <c r="F27" s="13"/>
    </row>
    <row r="28" spans="1:6" x14ac:dyDescent="0.25">
      <c r="A28" s="96"/>
      <c r="B28" s="5"/>
      <c r="C28" s="10"/>
      <c r="D28" s="12"/>
      <c r="E28" s="9"/>
      <c r="F28" s="13"/>
    </row>
    <row r="29" spans="1:6" x14ac:dyDescent="0.25">
      <c r="A29" s="96"/>
      <c r="B29" s="5"/>
      <c r="C29" s="10"/>
      <c r="D29" s="12"/>
      <c r="E29" s="9"/>
      <c r="F29" s="13"/>
    </row>
    <row r="30" spans="1:6" x14ac:dyDescent="0.25">
      <c r="A30" s="96"/>
      <c r="B30" s="5"/>
      <c r="C30" s="10"/>
      <c r="D30" s="11"/>
      <c r="E30" s="9"/>
      <c r="F30" s="13"/>
    </row>
    <row r="31" spans="1:6" x14ac:dyDescent="0.25">
      <c r="A31" s="96"/>
      <c r="B31" s="5"/>
      <c r="C31" s="10"/>
      <c r="D31" s="12"/>
      <c r="E31" s="9"/>
      <c r="F31" s="13"/>
    </row>
    <row r="32" spans="1:6" x14ac:dyDescent="0.25">
      <c r="A32" s="96"/>
      <c r="B32" s="5"/>
      <c r="C32" s="10"/>
      <c r="D32" s="12"/>
      <c r="E32" s="9"/>
      <c r="F32" s="13"/>
    </row>
    <row r="33" spans="1:6" x14ac:dyDescent="0.25">
      <c r="A33" s="96"/>
      <c r="B33" s="5"/>
      <c r="C33" s="10"/>
      <c r="D33" s="12"/>
      <c r="E33" s="9"/>
      <c r="F33" s="13"/>
    </row>
    <row r="34" spans="1:6" x14ac:dyDescent="0.25">
      <c r="A34" s="96"/>
      <c r="B34" s="5"/>
      <c r="C34" s="10"/>
      <c r="D34" s="12"/>
      <c r="E34" s="9"/>
      <c r="F34" s="13"/>
    </row>
    <row r="35" spans="1:6" x14ac:dyDescent="0.25">
      <c r="A35" s="96"/>
      <c r="B35" s="5"/>
      <c r="C35" s="10"/>
      <c r="D35" s="12"/>
      <c r="E35" s="9"/>
      <c r="F35" s="13"/>
    </row>
    <row r="36" spans="1:6" x14ac:dyDescent="0.25">
      <c r="A36" s="96"/>
      <c r="B36" s="5"/>
      <c r="C36" s="10"/>
      <c r="D36" s="12"/>
      <c r="E36" s="9"/>
      <c r="F36" s="13"/>
    </row>
    <row r="37" spans="1:6" x14ac:dyDescent="0.25">
      <c r="A37" s="96"/>
      <c r="B37" s="5"/>
      <c r="C37" s="10"/>
      <c r="D37" s="12"/>
      <c r="E37" s="9"/>
      <c r="F37" s="29"/>
    </row>
    <row r="38" spans="1:6" x14ac:dyDescent="0.25">
      <c r="A38" s="96"/>
      <c r="B38" s="5"/>
      <c r="C38" s="10"/>
      <c r="D38" s="12"/>
      <c r="E38" s="9"/>
      <c r="F38" s="13"/>
    </row>
    <row r="39" spans="1:6" x14ac:dyDescent="0.25">
      <c r="A39" s="96"/>
      <c r="B39" s="5"/>
      <c r="C39" s="10"/>
      <c r="D39" s="12"/>
      <c r="E39" s="9"/>
      <c r="F39" s="13"/>
    </row>
    <row r="40" spans="1:6" x14ac:dyDescent="0.25">
      <c r="A40" s="96"/>
      <c r="B40" s="5"/>
      <c r="C40" s="10"/>
      <c r="D40" s="12"/>
      <c r="E40" s="9"/>
      <c r="F40" s="13"/>
    </row>
    <row r="41" spans="1:6" x14ac:dyDescent="0.25">
      <c r="A41" s="96"/>
      <c r="B41" s="5"/>
      <c r="C41" s="10"/>
      <c r="D41" s="12"/>
      <c r="E41" s="9"/>
      <c r="F41" s="13"/>
    </row>
    <row r="42" spans="1:6" x14ac:dyDescent="0.25">
      <c r="A42" s="96"/>
      <c r="B42" s="5"/>
      <c r="C42" s="10"/>
      <c r="D42" s="12"/>
      <c r="E42" s="9"/>
      <c r="F42" s="13"/>
    </row>
    <row r="43" spans="1:6" x14ac:dyDescent="0.25">
      <c r="A43" s="96"/>
      <c r="B43" s="5"/>
      <c r="C43" s="10"/>
      <c r="D43" s="12"/>
      <c r="E43" s="9"/>
      <c r="F43" s="13"/>
    </row>
    <row r="44" spans="1:6" x14ac:dyDescent="0.25">
      <c r="A44" s="96"/>
      <c r="B44" s="5"/>
      <c r="C44" s="10"/>
      <c r="D44" s="12"/>
      <c r="E44" s="9"/>
      <c r="F44" s="13"/>
    </row>
    <row r="45" spans="1:6" x14ac:dyDescent="0.25">
      <c r="A45" s="96"/>
      <c r="B45" s="5"/>
      <c r="C45" s="10"/>
      <c r="D45" s="12"/>
      <c r="E45" s="9"/>
      <c r="F45" s="13"/>
    </row>
    <row r="46" spans="1:6" x14ac:dyDescent="0.25">
      <c r="A46" s="96"/>
      <c r="B46" s="5"/>
      <c r="C46" s="10"/>
      <c r="D46" s="12"/>
      <c r="E46" s="9"/>
      <c r="F46" s="13"/>
    </row>
    <row r="47" spans="1:6" x14ac:dyDescent="0.25">
      <c r="A47" s="96"/>
      <c r="B47" s="5"/>
      <c r="C47" s="10"/>
      <c r="D47" s="12"/>
      <c r="E47" s="9"/>
      <c r="F47" s="13"/>
    </row>
    <row r="48" spans="1:6" x14ac:dyDescent="0.25">
      <c r="A48" s="96"/>
      <c r="B48" s="5"/>
      <c r="C48" s="10"/>
      <c r="D48" s="12"/>
      <c r="E48" s="9"/>
      <c r="F48" s="13"/>
    </row>
    <row r="49" spans="1:6" x14ac:dyDescent="0.25">
      <c r="A49" s="96"/>
      <c r="B49" s="5"/>
      <c r="C49" s="10"/>
      <c r="D49" s="12"/>
      <c r="E49" s="9"/>
      <c r="F49" s="29"/>
    </row>
    <row r="50" spans="1:6" x14ac:dyDescent="0.25">
      <c r="A50" s="96"/>
      <c r="B50" s="5"/>
      <c r="C50" s="10"/>
      <c r="D50" s="12"/>
      <c r="E50" s="9"/>
      <c r="F50" s="13"/>
    </row>
    <row r="51" spans="1:6" x14ac:dyDescent="0.25">
      <c r="A51" s="96"/>
      <c r="B51" s="5"/>
      <c r="C51" s="10"/>
      <c r="D51" s="12"/>
      <c r="E51" s="9"/>
      <c r="F51" s="13"/>
    </row>
    <row r="52" spans="1:6" x14ac:dyDescent="0.25">
      <c r="A52" s="96"/>
      <c r="B52" s="5"/>
      <c r="C52" s="10"/>
      <c r="D52" s="12"/>
      <c r="E52" s="9"/>
      <c r="F52" s="13"/>
    </row>
    <row r="53" spans="1:6" x14ac:dyDescent="0.25">
      <c r="A53" s="96"/>
      <c r="B53" s="5"/>
      <c r="C53" s="10"/>
      <c r="D53" s="12"/>
      <c r="E53" s="9"/>
      <c r="F53" s="13"/>
    </row>
    <row r="54" spans="1:6" x14ac:dyDescent="0.25">
      <c r="A54" s="96"/>
      <c r="B54" s="5"/>
      <c r="C54" s="10"/>
      <c r="D54" s="12"/>
      <c r="E54" s="9"/>
      <c r="F54" s="13"/>
    </row>
    <row r="55" spans="1:6" x14ac:dyDescent="0.25">
      <c r="A55" s="96"/>
      <c r="B55" s="5"/>
      <c r="C55" s="10"/>
      <c r="D55" s="12"/>
      <c r="E55" s="9"/>
      <c r="F55" s="13"/>
    </row>
    <row r="56" spans="1:6" x14ac:dyDescent="0.25">
      <c r="A56" s="96"/>
      <c r="B56" s="5"/>
      <c r="C56" s="10"/>
      <c r="D56" s="12"/>
      <c r="E56" s="9"/>
      <c r="F56" s="13"/>
    </row>
    <row r="57" spans="1:6" x14ac:dyDescent="0.25">
      <c r="A57" s="96"/>
      <c r="B57" s="5"/>
      <c r="C57" s="10"/>
      <c r="D57" s="12"/>
      <c r="E57" s="9"/>
      <c r="F57" s="13"/>
    </row>
    <row r="58" spans="1:6" x14ac:dyDescent="0.25">
      <c r="A58" s="96"/>
      <c r="B58" s="5"/>
      <c r="C58" s="10"/>
      <c r="D58" s="12"/>
      <c r="E58" s="9"/>
      <c r="F58" s="13"/>
    </row>
    <row r="59" spans="1:6" x14ac:dyDescent="0.25">
      <c r="A59" s="96"/>
      <c r="B59" s="5"/>
      <c r="C59" s="10"/>
      <c r="D59" s="12"/>
      <c r="E59" s="9"/>
      <c r="F59" s="13"/>
    </row>
    <row r="60" spans="1:6" x14ac:dyDescent="0.25">
      <c r="A60" s="96"/>
      <c r="B60" s="5"/>
      <c r="C60" s="10"/>
      <c r="D60" s="12"/>
      <c r="E60" s="9"/>
      <c r="F60" s="13"/>
    </row>
    <row r="61" spans="1:6" x14ac:dyDescent="0.25">
      <c r="A61" s="96"/>
      <c r="B61" s="5"/>
      <c r="C61" s="10"/>
      <c r="D61" s="12"/>
      <c r="E61" s="9"/>
      <c r="F61" s="13"/>
    </row>
    <row r="62" spans="1:6" x14ac:dyDescent="0.25">
      <c r="A62" s="96"/>
      <c r="B62" s="5"/>
      <c r="C62" s="10"/>
      <c r="D62" s="12"/>
      <c r="E62" s="9"/>
      <c r="F62" s="13"/>
    </row>
    <row r="63" spans="1:6" x14ac:dyDescent="0.25">
      <c r="A63" s="96"/>
      <c r="B63" s="5"/>
      <c r="C63" s="10"/>
      <c r="D63" s="12"/>
      <c r="E63" s="9"/>
      <c r="F63" s="13"/>
    </row>
    <row r="64" spans="1:6" x14ac:dyDescent="0.25">
      <c r="A64" s="96"/>
      <c r="B64" s="5"/>
      <c r="C64" s="10"/>
      <c r="D64" s="12"/>
      <c r="E64" s="9"/>
      <c r="F64" s="13"/>
    </row>
    <row r="65" spans="1:6" x14ac:dyDescent="0.25">
      <c r="A65" s="96"/>
      <c r="B65" s="5"/>
      <c r="C65" s="10"/>
      <c r="D65" s="12"/>
      <c r="E65" s="9"/>
      <c r="F65" s="13"/>
    </row>
    <row r="66" spans="1:6" x14ac:dyDescent="0.25">
      <c r="A66" s="96"/>
      <c r="B66" s="5"/>
      <c r="C66" s="10"/>
      <c r="D66" s="12"/>
      <c r="E66" s="9"/>
      <c r="F66" s="13"/>
    </row>
    <row r="67" spans="1:6" x14ac:dyDescent="0.25">
      <c r="A67" s="96"/>
      <c r="B67" s="5"/>
      <c r="C67" s="10"/>
      <c r="D67" s="12"/>
      <c r="E67" s="9"/>
      <c r="F67" s="13"/>
    </row>
    <row r="68" spans="1:6" x14ac:dyDescent="0.25">
      <c r="A68" s="96"/>
      <c r="B68" s="5"/>
      <c r="C68" s="10"/>
      <c r="D68" s="12"/>
      <c r="E68" s="9"/>
      <c r="F68" s="13"/>
    </row>
    <row r="69" spans="1:6" x14ac:dyDescent="0.25">
      <c r="A69" s="96"/>
      <c r="B69" s="5"/>
      <c r="C69" s="10"/>
      <c r="D69" s="12"/>
      <c r="E69" s="9"/>
      <c r="F69" s="13"/>
    </row>
    <row r="70" spans="1:6" x14ac:dyDescent="0.25">
      <c r="A70" s="96"/>
      <c r="B70" s="5"/>
      <c r="C70" s="10"/>
      <c r="D70" s="12"/>
      <c r="E70" s="9"/>
      <c r="F70" s="13"/>
    </row>
    <row r="71" spans="1:6" x14ac:dyDescent="0.25">
      <c r="A71" s="96"/>
      <c r="B71" s="5"/>
      <c r="C71" s="10"/>
      <c r="D71" s="12"/>
      <c r="E71" s="9"/>
      <c r="F71" s="13"/>
    </row>
    <row r="72" spans="1:6" x14ac:dyDescent="0.25">
      <c r="A72" s="96"/>
      <c r="B72" s="5"/>
      <c r="C72" s="10"/>
      <c r="D72" s="12"/>
      <c r="E72" s="9"/>
      <c r="F72" s="13"/>
    </row>
    <row r="73" spans="1:6" ht="13.8" thickBot="1" x14ac:dyDescent="0.3">
      <c r="A73" s="97"/>
      <c r="B73" s="14"/>
      <c r="C73" s="15"/>
      <c r="D73" s="16"/>
      <c r="E73" s="17"/>
      <c r="F73" s="18"/>
    </row>
    <row r="74" spans="1:6" x14ac:dyDescent="0.25">
      <c r="A74" s="100"/>
      <c r="B74" s="93"/>
      <c r="C74" s="94"/>
      <c r="D74" s="95"/>
      <c r="E74" s="92"/>
      <c r="F74" s="92"/>
    </row>
    <row r="75" spans="1:6" x14ac:dyDescent="0.25">
      <c r="A75" s="92"/>
      <c r="B75" s="93"/>
      <c r="C75" s="94"/>
      <c r="D75" s="95"/>
      <c r="E75" s="92"/>
      <c r="F75" s="92"/>
    </row>
    <row r="76" spans="1:6" x14ac:dyDescent="0.25">
      <c r="A76" s="92"/>
      <c r="B76" s="93"/>
      <c r="C76" s="94"/>
      <c r="D76" s="95"/>
      <c r="E76" s="92"/>
      <c r="F76" s="92"/>
    </row>
    <row r="77" spans="1:6" x14ac:dyDescent="0.25">
      <c r="A77" s="92"/>
      <c r="B77" s="93"/>
      <c r="C77" s="94"/>
      <c r="D77" s="95"/>
      <c r="E77" s="92"/>
      <c r="F77" s="92"/>
    </row>
    <row r="78" spans="1:6" x14ac:dyDescent="0.25">
      <c r="A78" s="92"/>
      <c r="B78" s="93"/>
      <c r="C78" s="94"/>
      <c r="D78" s="95"/>
      <c r="E78" s="92"/>
      <c r="F78" s="92"/>
    </row>
    <row r="79" spans="1:6" x14ac:dyDescent="0.25">
      <c r="A79" s="92"/>
      <c r="B79" s="93"/>
      <c r="C79" s="94"/>
      <c r="D79" s="95"/>
      <c r="E79" s="92"/>
      <c r="F79" s="92"/>
    </row>
    <row r="80" spans="1:6" x14ac:dyDescent="0.25">
      <c r="A80" s="92"/>
      <c r="B80" s="93"/>
      <c r="C80" s="94"/>
      <c r="D80" s="95"/>
      <c r="E80" s="92"/>
      <c r="F80" s="92"/>
    </row>
    <row r="81" spans="1:6" x14ac:dyDescent="0.25">
      <c r="A81" s="92"/>
      <c r="B81" s="93"/>
      <c r="C81" s="94"/>
      <c r="D81" s="95"/>
      <c r="E81" s="92"/>
      <c r="F81" s="92"/>
    </row>
    <row r="82" spans="1:6" x14ac:dyDescent="0.25">
      <c r="A82" s="92"/>
      <c r="B82" s="93"/>
      <c r="C82" s="94"/>
      <c r="D82" s="95"/>
      <c r="E82" s="92"/>
      <c r="F82" s="92"/>
    </row>
    <row r="83" spans="1:6" x14ac:dyDescent="0.25">
      <c r="A83" s="92"/>
      <c r="B83" s="93"/>
      <c r="C83" s="94"/>
      <c r="D83" s="95"/>
      <c r="E83" s="92"/>
      <c r="F83" s="92"/>
    </row>
    <row r="84" spans="1:6" x14ac:dyDescent="0.25">
      <c r="A84" s="92"/>
      <c r="B84" s="93"/>
      <c r="C84" s="94"/>
      <c r="D84" s="95"/>
      <c r="E84" s="92"/>
      <c r="F84" s="92"/>
    </row>
    <row r="85" spans="1:6" x14ac:dyDescent="0.25">
      <c r="A85" s="92"/>
      <c r="B85" s="93"/>
      <c r="C85" s="94"/>
      <c r="D85" s="95"/>
      <c r="E85" s="92"/>
      <c r="F85" s="92"/>
    </row>
    <row r="86" spans="1:6" x14ac:dyDescent="0.25">
      <c r="A86" s="92"/>
      <c r="B86" s="93"/>
      <c r="C86" s="94"/>
      <c r="D86" s="95"/>
      <c r="E86" s="92"/>
      <c r="F86" s="92"/>
    </row>
    <row r="87" spans="1:6" x14ac:dyDescent="0.25">
      <c r="A87" s="92"/>
      <c r="B87" s="93"/>
      <c r="C87" s="94"/>
      <c r="D87" s="95"/>
      <c r="E87" s="92"/>
      <c r="F87" s="92"/>
    </row>
    <row r="88" spans="1:6" x14ac:dyDescent="0.25">
      <c r="A88" s="92"/>
      <c r="B88" s="93"/>
      <c r="C88" s="94"/>
      <c r="D88" s="95"/>
      <c r="E88" s="92"/>
      <c r="F88" s="92"/>
    </row>
    <row r="89" spans="1:6" x14ac:dyDescent="0.25">
      <c r="A89" s="92"/>
      <c r="B89" s="93"/>
      <c r="C89" s="94"/>
      <c r="D89" s="95"/>
      <c r="E89" s="92"/>
      <c r="F89" s="92"/>
    </row>
    <row r="90" spans="1:6" x14ac:dyDescent="0.25">
      <c r="A90" s="92"/>
      <c r="B90" s="93"/>
      <c r="C90" s="94"/>
      <c r="D90" s="95"/>
      <c r="E90" s="92"/>
      <c r="F90" s="92"/>
    </row>
    <row r="91" spans="1:6" x14ac:dyDescent="0.25">
      <c r="A91" s="92"/>
      <c r="B91" s="93"/>
      <c r="C91" s="94"/>
      <c r="D91" s="95"/>
      <c r="E91" s="92"/>
      <c r="F91" s="92"/>
    </row>
    <row r="92" spans="1:6" x14ac:dyDescent="0.25">
      <c r="A92" s="92"/>
      <c r="B92" s="93"/>
      <c r="C92" s="94"/>
      <c r="D92" s="95"/>
      <c r="E92" s="92"/>
      <c r="F92" s="92"/>
    </row>
    <row r="93" spans="1:6" x14ac:dyDescent="0.25">
      <c r="A93" s="92"/>
      <c r="B93" s="93"/>
      <c r="C93" s="94"/>
      <c r="D93" s="95"/>
      <c r="E93" s="92"/>
      <c r="F93" s="92"/>
    </row>
    <row r="94" spans="1:6" x14ac:dyDescent="0.25">
      <c r="A94" s="92"/>
      <c r="B94" s="93"/>
      <c r="C94" s="94"/>
      <c r="D94" s="95"/>
      <c r="E94" s="92"/>
      <c r="F94" s="92"/>
    </row>
    <row r="95" spans="1:6" x14ac:dyDescent="0.25">
      <c r="A95" s="92"/>
      <c r="B95" s="93"/>
      <c r="C95" s="94"/>
      <c r="D95" s="95"/>
      <c r="E95" s="92"/>
      <c r="F95" s="92"/>
    </row>
    <row r="96" spans="1:6" x14ac:dyDescent="0.25">
      <c r="A96" s="92"/>
      <c r="B96" s="93"/>
      <c r="C96" s="94"/>
      <c r="D96" s="95"/>
      <c r="E96" s="92"/>
      <c r="F96" s="92"/>
    </row>
    <row r="97" spans="1:6" x14ac:dyDescent="0.25">
      <c r="A97" s="92"/>
      <c r="B97" s="93"/>
      <c r="C97" s="94"/>
      <c r="D97" s="95"/>
      <c r="E97" s="92"/>
      <c r="F97" s="92"/>
    </row>
    <row r="98" spans="1:6" x14ac:dyDescent="0.25">
      <c r="A98" s="92"/>
      <c r="B98" s="93"/>
      <c r="C98" s="94"/>
      <c r="D98" s="95"/>
      <c r="E98" s="92"/>
      <c r="F98" s="92"/>
    </row>
    <row r="99" spans="1:6" x14ac:dyDescent="0.25">
      <c r="A99" s="92"/>
      <c r="B99" s="93"/>
      <c r="C99" s="94"/>
      <c r="D99" s="95"/>
      <c r="E99" s="92"/>
      <c r="F99" s="92"/>
    </row>
    <row r="100" spans="1:6" x14ac:dyDescent="0.25">
      <c r="A100" s="92"/>
      <c r="B100" s="93"/>
      <c r="C100" s="94"/>
      <c r="D100" s="95"/>
      <c r="E100" s="92"/>
      <c r="F100" s="92"/>
    </row>
    <row r="101" spans="1:6" x14ac:dyDescent="0.25">
      <c r="A101" s="92"/>
      <c r="B101" s="93"/>
      <c r="C101" s="94"/>
      <c r="D101" s="95"/>
      <c r="E101" s="92"/>
      <c r="F101" s="92"/>
    </row>
    <row r="102" spans="1:6" x14ac:dyDescent="0.25">
      <c r="A102" s="92"/>
      <c r="B102" s="93"/>
      <c r="C102" s="94"/>
      <c r="D102" s="95"/>
      <c r="E102" s="92"/>
      <c r="F102" s="92"/>
    </row>
    <row r="103" spans="1:6" x14ac:dyDescent="0.25">
      <c r="A103" s="92"/>
      <c r="B103" s="93"/>
      <c r="C103" s="94"/>
      <c r="D103" s="95"/>
      <c r="E103" s="92"/>
      <c r="F103" s="92"/>
    </row>
    <row r="104" spans="1:6" x14ac:dyDescent="0.25">
      <c r="A104" s="92"/>
      <c r="B104" s="93"/>
      <c r="C104" s="94"/>
      <c r="D104" s="95"/>
      <c r="E104" s="92"/>
      <c r="F104" s="92"/>
    </row>
    <row r="105" spans="1:6" x14ac:dyDescent="0.25">
      <c r="A105" s="92"/>
      <c r="B105" s="93"/>
      <c r="C105" s="94"/>
      <c r="D105" s="95"/>
      <c r="E105" s="92"/>
      <c r="F105" s="92"/>
    </row>
    <row r="106" spans="1:6" x14ac:dyDescent="0.25">
      <c r="A106" s="92"/>
      <c r="B106" s="93"/>
      <c r="C106" s="94"/>
      <c r="D106" s="95"/>
      <c r="E106" s="92"/>
      <c r="F106" s="92"/>
    </row>
    <row r="107" spans="1:6" x14ac:dyDescent="0.25">
      <c r="A107" s="92"/>
      <c r="B107" s="93"/>
      <c r="C107" s="94"/>
      <c r="D107" s="95"/>
      <c r="E107" s="92"/>
      <c r="F107" s="92"/>
    </row>
    <row r="108" spans="1:6" x14ac:dyDescent="0.25">
      <c r="A108" s="92"/>
      <c r="B108" s="93"/>
      <c r="C108" s="94"/>
      <c r="D108" s="95"/>
      <c r="E108" s="92"/>
      <c r="F108" s="92"/>
    </row>
    <row r="109" spans="1:6" x14ac:dyDescent="0.25">
      <c r="A109" s="92"/>
      <c r="B109" s="93"/>
      <c r="C109" s="94"/>
      <c r="D109" s="95"/>
      <c r="E109" s="92"/>
      <c r="F109" s="92"/>
    </row>
    <row r="110" spans="1:6" x14ac:dyDescent="0.25">
      <c r="A110" s="92"/>
      <c r="B110" s="93"/>
      <c r="C110" s="94"/>
      <c r="D110" s="95"/>
      <c r="E110" s="92"/>
      <c r="F110" s="92"/>
    </row>
    <row r="111" spans="1:6" x14ac:dyDescent="0.25">
      <c r="A111" s="92"/>
      <c r="B111" s="93"/>
      <c r="C111" s="94"/>
      <c r="D111" s="95"/>
      <c r="E111" s="92"/>
      <c r="F111" s="92"/>
    </row>
    <row r="112" spans="1:6" x14ac:dyDescent="0.25">
      <c r="A112" s="92"/>
      <c r="B112" s="93"/>
      <c r="C112" s="94"/>
      <c r="D112" s="95"/>
      <c r="E112" s="92"/>
      <c r="F112" s="92"/>
    </row>
    <row r="113" spans="1:6" x14ac:dyDescent="0.25">
      <c r="A113" s="92"/>
      <c r="B113" s="93"/>
      <c r="C113" s="94"/>
      <c r="D113" s="95"/>
      <c r="E113" s="92"/>
      <c r="F113" s="92"/>
    </row>
    <row r="114" spans="1:6" x14ac:dyDescent="0.25">
      <c r="A114" s="92"/>
      <c r="B114" s="93"/>
      <c r="C114" s="94"/>
      <c r="D114" s="95"/>
      <c r="E114" s="92"/>
      <c r="F114" s="92"/>
    </row>
    <row r="115" spans="1:6" x14ac:dyDescent="0.25">
      <c r="A115" s="92"/>
      <c r="B115" s="93"/>
      <c r="C115" s="94"/>
      <c r="D115" s="95"/>
      <c r="E115" s="92"/>
      <c r="F115" s="92"/>
    </row>
    <row r="116" spans="1:6" x14ac:dyDescent="0.25">
      <c r="A116" s="92"/>
      <c r="B116" s="93"/>
      <c r="C116" s="94"/>
      <c r="D116" s="95"/>
      <c r="E116" s="92"/>
      <c r="F116" s="92"/>
    </row>
    <row r="117" spans="1:6" x14ac:dyDescent="0.25">
      <c r="A117" s="92"/>
      <c r="B117" s="93"/>
      <c r="C117" s="94"/>
      <c r="D117" s="95"/>
      <c r="E117" s="92"/>
      <c r="F117" s="92"/>
    </row>
    <row r="118" spans="1:6" x14ac:dyDescent="0.25">
      <c r="A118" s="92"/>
      <c r="B118" s="93"/>
      <c r="C118" s="94"/>
      <c r="D118" s="95"/>
      <c r="E118" s="92"/>
      <c r="F118" s="92"/>
    </row>
    <row r="119" spans="1:6" x14ac:dyDescent="0.25">
      <c r="A119" s="92"/>
      <c r="B119" s="93"/>
      <c r="C119" s="94"/>
      <c r="D119" s="95"/>
      <c r="E119" s="92"/>
      <c r="F119" s="92"/>
    </row>
    <row r="120" spans="1:6" x14ac:dyDescent="0.25">
      <c r="A120" s="92"/>
      <c r="B120" s="93"/>
      <c r="C120" s="94"/>
      <c r="D120" s="95"/>
      <c r="E120" s="92"/>
      <c r="F120" s="92"/>
    </row>
    <row r="121" spans="1:6" x14ac:dyDescent="0.25">
      <c r="A121" s="92"/>
      <c r="B121" s="93"/>
      <c r="C121" s="94"/>
      <c r="D121" s="95"/>
      <c r="E121" s="92"/>
      <c r="F121" s="92"/>
    </row>
    <row r="122" spans="1:6" x14ac:dyDescent="0.25">
      <c r="A122" s="92"/>
      <c r="B122" s="93"/>
      <c r="C122" s="94"/>
      <c r="D122" s="95"/>
      <c r="E122" s="92"/>
      <c r="F122" s="92"/>
    </row>
    <row r="123" spans="1:6" x14ac:dyDescent="0.25">
      <c r="A123" s="92"/>
      <c r="B123" s="93"/>
      <c r="C123" s="94"/>
      <c r="D123" s="95"/>
      <c r="E123" s="92"/>
      <c r="F123" s="92"/>
    </row>
    <row r="124" spans="1:6" x14ac:dyDescent="0.25">
      <c r="A124" s="92"/>
      <c r="B124" s="93"/>
      <c r="C124" s="94"/>
      <c r="D124" s="95"/>
      <c r="E124" s="92"/>
      <c r="F124" s="92"/>
    </row>
    <row r="125" spans="1:6" x14ac:dyDescent="0.25">
      <c r="A125" s="92"/>
      <c r="B125" s="93"/>
      <c r="C125" s="94"/>
      <c r="D125" s="95"/>
      <c r="E125" s="92"/>
      <c r="F125" s="92"/>
    </row>
    <row r="126" spans="1:6" x14ac:dyDescent="0.25">
      <c r="A126" s="92"/>
      <c r="B126" s="93"/>
      <c r="C126" s="94"/>
      <c r="D126" s="95"/>
      <c r="E126" s="92"/>
      <c r="F126" s="92"/>
    </row>
    <row r="127" spans="1:6" x14ac:dyDescent="0.25">
      <c r="A127" s="92"/>
      <c r="B127" s="93"/>
      <c r="C127" s="94"/>
      <c r="D127" s="95"/>
      <c r="E127" s="92"/>
      <c r="F127" s="92"/>
    </row>
    <row r="128" spans="1:6" x14ac:dyDescent="0.25">
      <c r="A128" s="92"/>
      <c r="B128" s="93"/>
      <c r="C128" s="94"/>
      <c r="D128" s="95"/>
      <c r="E128" s="92"/>
      <c r="F128" s="92"/>
    </row>
    <row r="129" spans="1:6" x14ac:dyDescent="0.25">
      <c r="A129" s="92"/>
      <c r="B129" s="93"/>
      <c r="C129" s="94"/>
      <c r="D129" s="95"/>
      <c r="E129" s="92"/>
      <c r="F129" s="92"/>
    </row>
    <row r="130" spans="1:6" x14ac:dyDescent="0.25">
      <c r="A130" s="92"/>
      <c r="B130" s="93"/>
      <c r="C130" s="94"/>
      <c r="D130" s="95"/>
      <c r="E130" s="92"/>
      <c r="F130" s="92"/>
    </row>
    <row r="131" spans="1:6" x14ac:dyDescent="0.25">
      <c r="A131" s="92"/>
      <c r="B131" s="93"/>
      <c r="C131" s="94"/>
      <c r="D131" s="95"/>
      <c r="E131" s="92"/>
      <c r="F131" s="92"/>
    </row>
    <row r="132" spans="1:6" x14ac:dyDescent="0.25">
      <c r="A132" s="92"/>
      <c r="B132" s="93"/>
      <c r="C132" s="94"/>
      <c r="D132" s="95"/>
      <c r="E132" s="92"/>
      <c r="F132" s="92"/>
    </row>
    <row r="133" spans="1:6" x14ac:dyDescent="0.25">
      <c r="A133" s="92"/>
      <c r="B133" s="93"/>
      <c r="C133" s="94"/>
      <c r="D133" s="95"/>
      <c r="E133" s="92"/>
      <c r="F133" s="92"/>
    </row>
    <row r="134" spans="1:6" x14ac:dyDescent="0.25">
      <c r="A134" s="92"/>
      <c r="B134" s="93"/>
      <c r="C134" s="94"/>
      <c r="D134" s="95"/>
      <c r="E134" s="92"/>
      <c r="F134" s="92"/>
    </row>
    <row r="135" spans="1:6" x14ac:dyDescent="0.25">
      <c r="A135" s="92"/>
      <c r="B135" s="93"/>
      <c r="C135" s="94"/>
      <c r="D135" s="95"/>
      <c r="E135" s="92"/>
      <c r="F135" s="92"/>
    </row>
    <row r="136" spans="1:6" x14ac:dyDescent="0.25">
      <c r="A136" s="92"/>
      <c r="B136" s="93"/>
      <c r="C136" s="94"/>
      <c r="D136" s="95"/>
      <c r="E136" s="92"/>
      <c r="F136" s="92"/>
    </row>
    <row r="137" spans="1:6" x14ac:dyDescent="0.25">
      <c r="A137" s="92"/>
      <c r="B137" s="93"/>
      <c r="C137" s="94"/>
      <c r="D137" s="95"/>
      <c r="E137" s="92"/>
      <c r="F137" s="92"/>
    </row>
    <row r="138" spans="1:6" x14ac:dyDescent="0.25">
      <c r="A138" s="92"/>
      <c r="B138" s="93"/>
      <c r="C138" s="94"/>
      <c r="D138" s="95"/>
      <c r="E138" s="92"/>
      <c r="F138" s="92"/>
    </row>
    <row r="139" spans="1:6" x14ac:dyDescent="0.25">
      <c r="A139" s="92"/>
      <c r="B139" s="93"/>
      <c r="C139" s="94"/>
      <c r="D139" s="95"/>
      <c r="E139" s="92"/>
      <c r="F139" s="92"/>
    </row>
    <row r="140" spans="1:6" x14ac:dyDescent="0.25">
      <c r="A140" s="92"/>
      <c r="B140" s="93"/>
      <c r="C140" s="94"/>
      <c r="D140" s="95"/>
      <c r="E140" s="92"/>
      <c r="F140" s="92"/>
    </row>
    <row r="141" spans="1:6" x14ac:dyDescent="0.25">
      <c r="A141" s="92"/>
      <c r="B141" s="93"/>
      <c r="C141" s="94"/>
      <c r="D141" s="95"/>
      <c r="E141" s="92"/>
      <c r="F141" s="92"/>
    </row>
    <row r="142" spans="1:6" x14ac:dyDescent="0.25">
      <c r="A142" s="92"/>
      <c r="B142" s="93"/>
      <c r="C142" s="94"/>
      <c r="D142" s="95"/>
      <c r="E142" s="92"/>
      <c r="F142" s="92"/>
    </row>
    <row r="143" spans="1:6" x14ac:dyDescent="0.25">
      <c r="A143" s="92"/>
      <c r="B143" s="93"/>
      <c r="C143" s="94"/>
      <c r="D143" s="95"/>
      <c r="E143" s="92"/>
      <c r="F143" s="92"/>
    </row>
    <row r="144" spans="1:6" x14ac:dyDescent="0.25">
      <c r="A144" s="92"/>
      <c r="B144" s="93"/>
      <c r="C144" s="94"/>
      <c r="D144" s="95"/>
      <c r="E144" s="92"/>
      <c r="F144" s="92"/>
    </row>
    <row r="145" spans="1:6" x14ac:dyDescent="0.25">
      <c r="A145" s="92"/>
      <c r="B145" s="93"/>
      <c r="C145" s="94"/>
      <c r="D145" s="95"/>
      <c r="E145" s="92"/>
      <c r="F145" s="92"/>
    </row>
    <row r="146" spans="1:6" x14ac:dyDescent="0.25">
      <c r="A146" s="92"/>
      <c r="B146" s="93"/>
      <c r="C146" s="94"/>
      <c r="D146" s="95"/>
      <c r="E146" s="92"/>
      <c r="F146" s="92"/>
    </row>
    <row r="147" spans="1:6" x14ac:dyDescent="0.25">
      <c r="A147" s="92"/>
      <c r="B147" s="93"/>
      <c r="C147" s="94"/>
      <c r="D147" s="95"/>
      <c r="E147" s="92"/>
      <c r="F147" s="92"/>
    </row>
    <row r="148" spans="1:6" x14ac:dyDescent="0.25">
      <c r="A148" s="92"/>
      <c r="B148" s="93"/>
      <c r="C148" s="94"/>
      <c r="D148" s="95"/>
      <c r="E148" s="92"/>
      <c r="F148" s="92"/>
    </row>
    <row r="149" spans="1:6" x14ac:dyDescent="0.25">
      <c r="A149" s="92"/>
      <c r="B149" s="93"/>
      <c r="C149" s="94"/>
      <c r="D149" s="95"/>
      <c r="E149" s="92"/>
      <c r="F149" s="92"/>
    </row>
    <row r="150" spans="1:6" x14ac:dyDescent="0.25">
      <c r="A150" s="92"/>
      <c r="B150" s="93"/>
      <c r="C150" s="94"/>
      <c r="D150" s="95"/>
      <c r="E150" s="92"/>
      <c r="F150" s="92"/>
    </row>
    <row r="151" spans="1:6" x14ac:dyDescent="0.25">
      <c r="A151" s="92"/>
      <c r="B151" s="93"/>
      <c r="C151" s="94"/>
      <c r="D151" s="95"/>
      <c r="E151" s="92"/>
      <c r="F151" s="92"/>
    </row>
    <row r="152" spans="1:6" x14ac:dyDescent="0.25">
      <c r="A152" s="92"/>
      <c r="B152" s="93"/>
      <c r="C152" s="94"/>
      <c r="D152" s="95"/>
      <c r="E152" s="92"/>
      <c r="F152" s="92"/>
    </row>
    <row r="153" spans="1:6" x14ac:dyDescent="0.25">
      <c r="A153" s="92"/>
      <c r="B153" s="93"/>
      <c r="C153" s="94"/>
      <c r="D153" s="95"/>
      <c r="E153" s="92"/>
      <c r="F153" s="92"/>
    </row>
    <row r="154" spans="1:6" x14ac:dyDescent="0.25">
      <c r="A154" s="92"/>
      <c r="B154" s="93"/>
      <c r="C154" s="94"/>
      <c r="D154" s="95"/>
      <c r="E154" s="92"/>
      <c r="F154" s="92"/>
    </row>
    <row r="155" spans="1:6" x14ac:dyDescent="0.25">
      <c r="A155" s="92"/>
      <c r="B155" s="93"/>
      <c r="C155" s="94"/>
      <c r="D155" s="95"/>
      <c r="E155" s="92"/>
      <c r="F155" s="92"/>
    </row>
    <row r="156" spans="1:6" x14ac:dyDescent="0.25">
      <c r="A156" s="92"/>
      <c r="B156" s="93"/>
      <c r="C156" s="94"/>
      <c r="D156" s="95"/>
      <c r="E156" s="92"/>
      <c r="F156" s="92"/>
    </row>
    <row r="157" spans="1:6" x14ac:dyDescent="0.25">
      <c r="A157" s="92"/>
      <c r="B157" s="93"/>
      <c r="C157" s="94"/>
      <c r="D157" s="95"/>
      <c r="E157" s="92"/>
      <c r="F157" s="92"/>
    </row>
    <row r="158" spans="1:6" x14ac:dyDescent="0.25">
      <c r="A158" s="92"/>
      <c r="B158" s="93"/>
      <c r="C158" s="94"/>
      <c r="D158" s="95"/>
      <c r="E158" s="92"/>
      <c r="F158" s="92"/>
    </row>
    <row r="159" spans="1:6" x14ac:dyDescent="0.25">
      <c r="A159" s="92"/>
      <c r="B159" s="93"/>
      <c r="C159" s="94"/>
      <c r="D159" s="95"/>
      <c r="E159" s="92"/>
      <c r="F159" s="92"/>
    </row>
    <row r="160" spans="1:6" x14ac:dyDescent="0.25">
      <c r="A160" s="92"/>
      <c r="B160" s="93"/>
      <c r="C160" s="94"/>
      <c r="D160" s="95"/>
      <c r="E160" s="92"/>
      <c r="F160" s="92"/>
    </row>
    <row r="161" spans="1:6" x14ac:dyDescent="0.25">
      <c r="A161" s="92"/>
      <c r="B161" s="93"/>
      <c r="C161" s="94"/>
      <c r="D161" s="95"/>
      <c r="E161" s="92"/>
      <c r="F161" s="92"/>
    </row>
    <row r="162" spans="1:6" x14ac:dyDescent="0.25">
      <c r="A162" s="92"/>
      <c r="B162" s="93"/>
      <c r="C162" s="94"/>
      <c r="D162" s="95"/>
      <c r="E162" s="92"/>
      <c r="F162" s="92"/>
    </row>
    <row r="163" spans="1:6" x14ac:dyDescent="0.25">
      <c r="A163" s="92"/>
      <c r="B163" s="93"/>
      <c r="C163" s="94"/>
      <c r="D163" s="95"/>
      <c r="E163" s="92"/>
      <c r="F163" s="92"/>
    </row>
    <row r="164" spans="1:6" x14ac:dyDescent="0.25">
      <c r="A164" s="92"/>
      <c r="B164" s="93"/>
      <c r="C164" s="94"/>
      <c r="D164" s="95"/>
      <c r="E164" s="92"/>
      <c r="F164" s="92"/>
    </row>
    <row r="165" spans="1:6" x14ac:dyDescent="0.25">
      <c r="A165" s="92"/>
      <c r="B165" s="93"/>
      <c r="C165" s="94"/>
      <c r="D165" s="95"/>
      <c r="E165" s="92"/>
      <c r="F165" s="92"/>
    </row>
    <row r="166" spans="1:6" x14ac:dyDescent="0.25">
      <c r="A166" s="92"/>
      <c r="B166" s="93"/>
      <c r="C166" s="94"/>
      <c r="D166" s="95"/>
      <c r="E166" s="92"/>
      <c r="F166" s="92"/>
    </row>
    <row r="167" spans="1:6" x14ac:dyDescent="0.25">
      <c r="A167" s="92"/>
      <c r="B167" s="93"/>
      <c r="C167" s="94"/>
      <c r="D167" s="95"/>
      <c r="E167" s="92"/>
      <c r="F167" s="92"/>
    </row>
    <row r="168" spans="1:6" x14ac:dyDescent="0.25">
      <c r="A168" s="92"/>
      <c r="B168" s="93"/>
      <c r="C168" s="94"/>
      <c r="D168" s="95"/>
      <c r="E168" s="92"/>
      <c r="F168" s="92"/>
    </row>
    <row r="169" spans="1:6" x14ac:dyDescent="0.25">
      <c r="A169" s="92"/>
      <c r="B169" s="93"/>
      <c r="C169" s="94"/>
      <c r="D169" s="95"/>
      <c r="E169" s="92"/>
      <c r="F169" s="92"/>
    </row>
    <row r="170" spans="1:6" x14ac:dyDescent="0.25">
      <c r="A170" s="92"/>
      <c r="B170" s="93"/>
      <c r="C170" s="94"/>
      <c r="D170" s="95"/>
      <c r="E170" s="92"/>
      <c r="F170" s="92"/>
    </row>
    <row r="171" spans="1:6" x14ac:dyDescent="0.25">
      <c r="A171" s="92"/>
      <c r="B171" s="93"/>
      <c r="C171" s="94"/>
      <c r="D171" s="95"/>
      <c r="E171" s="92"/>
      <c r="F171" s="92"/>
    </row>
    <row r="172" spans="1:6" x14ac:dyDescent="0.25">
      <c r="A172" s="92"/>
      <c r="B172" s="93"/>
      <c r="C172" s="94"/>
      <c r="D172" s="95"/>
      <c r="E172" s="92"/>
      <c r="F172" s="92"/>
    </row>
    <row r="173" spans="1:6" x14ac:dyDescent="0.25">
      <c r="A173" s="92"/>
      <c r="B173" s="93"/>
      <c r="C173" s="94"/>
      <c r="D173" s="95"/>
      <c r="E173" s="92"/>
      <c r="F173" s="92"/>
    </row>
    <row r="174" spans="1:6" x14ac:dyDescent="0.25">
      <c r="A174" s="92"/>
      <c r="B174" s="93"/>
      <c r="C174" s="94"/>
      <c r="D174" s="95"/>
      <c r="E174" s="92"/>
      <c r="F174" s="92"/>
    </row>
    <row r="175" spans="1:6" x14ac:dyDescent="0.25">
      <c r="A175" s="92"/>
      <c r="B175" s="93"/>
      <c r="C175" s="94"/>
      <c r="D175" s="95"/>
      <c r="E175" s="92"/>
      <c r="F175" s="92"/>
    </row>
    <row r="176" spans="1:6" x14ac:dyDescent="0.25">
      <c r="A176" s="92"/>
      <c r="B176" s="93"/>
      <c r="C176" s="94"/>
      <c r="D176" s="95"/>
      <c r="E176" s="92"/>
      <c r="F176" s="92"/>
    </row>
    <row r="177" spans="1:6" x14ac:dyDescent="0.25">
      <c r="A177" s="92"/>
      <c r="B177" s="93"/>
      <c r="C177" s="94"/>
      <c r="D177" s="95"/>
      <c r="E177" s="92"/>
      <c r="F177" s="92"/>
    </row>
    <row r="178" spans="1:6" x14ac:dyDescent="0.25">
      <c r="A178" s="92"/>
      <c r="B178" s="93"/>
      <c r="C178" s="94"/>
      <c r="D178" s="95"/>
      <c r="E178" s="92"/>
      <c r="F178" s="92"/>
    </row>
    <row r="179" spans="1:6" x14ac:dyDescent="0.25">
      <c r="A179" s="92"/>
      <c r="B179" s="93"/>
      <c r="C179" s="94"/>
      <c r="D179" s="95"/>
      <c r="E179" s="92"/>
      <c r="F179" s="92"/>
    </row>
    <row r="180" spans="1:6" x14ac:dyDescent="0.25">
      <c r="A180" s="92"/>
      <c r="B180" s="93"/>
      <c r="C180" s="94"/>
      <c r="D180" s="95"/>
      <c r="E180" s="92"/>
      <c r="F180" s="92"/>
    </row>
    <row r="181" spans="1:6" x14ac:dyDescent="0.25">
      <c r="A181" s="92"/>
      <c r="B181" s="93"/>
      <c r="C181" s="94"/>
      <c r="D181" s="95"/>
      <c r="E181" s="92"/>
      <c r="F181" s="92"/>
    </row>
    <row r="182" spans="1:6" x14ac:dyDescent="0.25">
      <c r="A182" s="92"/>
      <c r="B182" s="93"/>
      <c r="C182" s="94"/>
      <c r="D182" s="95"/>
      <c r="E182" s="92"/>
      <c r="F182" s="92"/>
    </row>
    <row r="183" spans="1:6" x14ac:dyDescent="0.25">
      <c r="A183" s="92"/>
      <c r="B183" s="93"/>
      <c r="C183" s="94"/>
      <c r="D183" s="95"/>
      <c r="E183" s="92"/>
      <c r="F183" s="92"/>
    </row>
    <row r="184" spans="1:6" x14ac:dyDescent="0.25">
      <c r="A184" s="92"/>
      <c r="B184" s="93"/>
      <c r="C184" s="94"/>
      <c r="D184" s="95"/>
      <c r="E184" s="92"/>
      <c r="F184" s="92"/>
    </row>
    <row r="185" spans="1:6" x14ac:dyDescent="0.25">
      <c r="A185" s="92"/>
      <c r="B185" s="93"/>
      <c r="C185" s="94"/>
      <c r="D185" s="95"/>
      <c r="E185" s="92"/>
      <c r="F185" s="92"/>
    </row>
    <row r="186" spans="1:6" x14ac:dyDescent="0.25">
      <c r="A186" s="92"/>
      <c r="B186" s="93"/>
      <c r="C186" s="94"/>
      <c r="D186" s="95"/>
      <c r="E186" s="92"/>
      <c r="F186" s="92"/>
    </row>
    <row r="187" spans="1:6" x14ac:dyDescent="0.25">
      <c r="A187" s="92"/>
      <c r="B187" s="93"/>
      <c r="C187" s="94"/>
      <c r="D187" s="95"/>
      <c r="E187" s="92"/>
      <c r="F187" s="92"/>
    </row>
    <row r="188" spans="1:6" x14ac:dyDescent="0.25">
      <c r="A188" s="92"/>
      <c r="B188" s="93"/>
      <c r="C188" s="94"/>
      <c r="D188" s="95"/>
      <c r="E188" s="92"/>
      <c r="F188" s="92"/>
    </row>
    <row r="189" spans="1:6" x14ac:dyDescent="0.25">
      <c r="A189" s="92"/>
      <c r="B189" s="93"/>
      <c r="C189" s="94"/>
      <c r="D189" s="95"/>
      <c r="E189" s="92"/>
      <c r="F189" s="92"/>
    </row>
    <row r="190" spans="1:6" x14ac:dyDescent="0.25">
      <c r="A190" s="92"/>
      <c r="B190" s="93"/>
      <c r="C190" s="94"/>
      <c r="D190" s="95"/>
      <c r="E190" s="92"/>
      <c r="F190" s="92"/>
    </row>
    <row r="191" spans="1:6" x14ac:dyDescent="0.25">
      <c r="A191" s="92"/>
      <c r="B191" s="93"/>
      <c r="C191" s="94"/>
      <c r="D191" s="95"/>
      <c r="E191" s="92"/>
      <c r="F191" s="92"/>
    </row>
    <row r="192" spans="1:6" x14ac:dyDescent="0.25">
      <c r="A192" s="92"/>
      <c r="B192" s="93"/>
      <c r="C192" s="94"/>
      <c r="D192" s="95"/>
      <c r="E192" s="92"/>
      <c r="F192" s="92"/>
    </row>
    <row r="193" spans="1:6" x14ac:dyDescent="0.25">
      <c r="A193" s="92"/>
      <c r="B193" s="93"/>
      <c r="C193" s="94"/>
      <c r="D193" s="95"/>
      <c r="E193" s="92"/>
      <c r="F193" s="92"/>
    </row>
    <row r="194" spans="1:6" x14ac:dyDescent="0.25">
      <c r="A194" s="92"/>
      <c r="B194" s="93"/>
      <c r="C194" s="94"/>
      <c r="D194" s="95"/>
      <c r="E194" s="92"/>
      <c r="F194" s="92"/>
    </row>
    <row r="195" spans="1:6" x14ac:dyDescent="0.25">
      <c r="A195" s="92"/>
      <c r="B195" s="93"/>
      <c r="C195" s="94"/>
      <c r="D195" s="95"/>
      <c r="E195" s="92"/>
      <c r="F195" s="92"/>
    </row>
    <row r="196" spans="1:6" x14ac:dyDescent="0.25">
      <c r="A196" s="92"/>
      <c r="B196" s="93"/>
      <c r="C196" s="94"/>
      <c r="D196" s="95"/>
      <c r="E196" s="92"/>
      <c r="F196" s="92"/>
    </row>
    <row r="197" spans="1:6" x14ac:dyDescent="0.25">
      <c r="A197" s="92"/>
      <c r="B197" s="93"/>
      <c r="C197" s="94"/>
      <c r="D197" s="95"/>
      <c r="E197" s="92"/>
      <c r="F197" s="92"/>
    </row>
    <row r="198" spans="1:6" x14ac:dyDescent="0.25">
      <c r="A198" s="92"/>
      <c r="B198" s="93"/>
      <c r="C198" s="94"/>
      <c r="D198" s="95"/>
      <c r="E198" s="92"/>
      <c r="F198" s="92"/>
    </row>
    <row r="199" spans="1:6" x14ac:dyDescent="0.25">
      <c r="A199" s="92"/>
      <c r="B199" s="93"/>
      <c r="C199" s="94"/>
      <c r="D199" s="95"/>
      <c r="E199" s="92"/>
      <c r="F199" s="92"/>
    </row>
    <row r="200" spans="1:6" x14ac:dyDescent="0.25">
      <c r="A200" s="92"/>
      <c r="B200" s="93"/>
      <c r="C200" s="94"/>
      <c r="D200" s="95"/>
      <c r="E200" s="92"/>
      <c r="F200" s="92"/>
    </row>
    <row r="201" spans="1:6" x14ac:dyDescent="0.25">
      <c r="A201" s="92"/>
      <c r="B201" s="93"/>
      <c r="C201" s="94"/>
      <c r="D201" s="95"/>
      <c r="E201" s="92"/>
      <c r="F201" s="92"/>
    </row>
    <row r="202" spans="1:6" x14ac:dyDescent="0.25">
      <c r="A202" s="92"/>
      <c r="B202" s="93"/>
      <c r="C202" s="94"/>
      <c r="D202" s="95"/>
      <c r="E202" s="92"/>
      <c r="F202" s="92"/>
    </row>
    <row r="203" spans="1:6" x14ac:dyDescent="0.25">
      <c r="A203" s="92"/>
      <c r="B203" s="93"/>
      <c r="C203" s="94"/>
      <c r="D203" s="95"/>
      <c r="E203" s="92"/>
      <c r="F203" s="92"/>
    </row>
    <row r="204" spans="1:6" x14ac:dyDescent="0.25">
      <c r="A204" s="92"/>
      <c r="B204" s="93"/>
      <c r="C204" s="94"/>
      <c r="D204" s="95"/>
      <c r="E204" s="92"/>
      <c r="F204" s="92"/>
    </row>
    <row r="205" spans="1:6" x14ac:dyDescent="0.25">
      <c r="A205" s="92"/>
      <c r="B205" s="93"/>
      <c r="C205" s="94"/>
      <c r="D205" s="95"/>
      <c r="E205" s="92"/>
      <c r="F205" s="92"/>
    </row>
    <row r="206" spans="1:6" x14ac:dyDescent="0.25">
      <c r="A206" s="92"/>
      <c r="B206" s="93"/>
      <c r="C206" s="94"/>
      <c r="D206" s="95"/>
      <c r="E206" s="92"/>
      <c r="F206" s="92"/>
    </row>
    <row r="207" spans="1:6" x14ac:dyDescent="0.25">
      <c r="A207" s="92"/>
      <c r="B207" s="93"/>
      <c r="C207" s="94"/>
      <c r="D207" s="95"/>
      <c r="E207" s="92"/>
      <c r="F207" s="92"/>
    </row>
    <row r="208" spans="1:6" x14ac:dyDescent="0.25">
      <c r="A208" s="92"/>
      <c r="B208" s="93"/>
      <c r="C208" s="94"/>
      <c r="D208" s="95"/>
      <c r="E208" s="92"/>
      <c r="F208" s="92"/>
    </row>
    <row r="209" spans="1:6" x14ac:dyDescent="0.25">
      <c r="A209" s="92"/>
      <c r="B209" s="93"/>
      <c r="C209" s="94"/>
      <c r="D209" s="95"/>
      <c r="E209" s="92"/>
      <c r="F209" s="92"/>
    </row>
    <row r="210" spans="1:6" x14ac:dyDescent="0.25">
      <c r="A210" s="92"/>
      <c r="B210" s="93"/>
      <c r="C210" s="94"/>
      <c r="D210" s="95"/>
      <c r="E210" s="92"/>
      <c r="F210" s="92"/>
    </row>
    <row r="211" spans="1:6" x14ac:dyDescent="0.25">
      <c r="A211" s="92"/>
      <c r="B211" s="93"/>
      <c r="C211" s="94"/>
      <c r="D211" s="95"/>
      <c r="E211" s="92"/>
      <c r="F211" s="92"/>
    </row>
    <row r="212" spans="1:6" x14ac:dyDescent="0.25">
      <c r="A212" s="92"/>
      <c r="B212" s="93"/>
      <c r="C212" s="94"/>
      <c r="D212" s="95"/>
      <c r="E212" s="92"/>
      <c r="F212" s="92"/>
    </row>
    <row r="213" spans="1:6" x14ac:dyDescent="0.25">
      <c r="A213" s="92"/>
      <c r="B213" s="93"/>
      <c r="C213" s="94"/>
      <c r="D213" s="95"/>
      <c r="E213" s="92"/>
      <c r="F213" s="92"/>
    </row>
    <row r="214" spans="1:6" x14ac:dyDescent="0.25">
      <c r="A214" s="92"/>
      <c r="B214" s="93"/>
      <c r="C214" s="94"/>
      <c r="D214" s="95"/>
      <c r="E214" s="92"/>
      <c r="F214" s="92"/>
    </row>
    <row r="215" spans="1:6" x14ac:dyDescent="0.25">
      <c r="A215" s="92"/>
      <c r="B215" s="93"/>
      <c r="C215" s="94"/>
      <c r="D215" s="95"/>
      <c r="E215" s="92"/>
      <c r="F215" s="92"/>
    </row>
    <row r="216" spans="1:6" x14ac:dyDescent="0.25">
      <c r="A216" s="92"/>
      <c r="B216" s="93"/>
      <c r="C216" s="94"/>
      <c r="D216" s="95"/>
      <c r="E216" s="92"/>
      <c r="F216" s="92"/>
    </row>
    <row r="217" spans="1:6" x14ac:dyDescent="0.25">
      <c r="A217" s="92"/>
      <c r="B217" s="93"/>
      <c r="C217" s="94"/>
      <c r="D217" s="95"/>
      <c r="E217" s="92"/>
      <c r="F217" s="92"/>
    </row>
    <row r="218" spans="1:6" x14ac:dyDescent="0.25">
      <c r="A218" s="92"/>
      <c r="B218" s="93"/>
      <c r="C218" s="94"/>
      <c r="D218" s="95"/>
      <c r="E218" s="92"/>
      <c r="F218" s="92"/>
    </row>
    <row r="219" spans="1:6" x14ac:dyDescent="0.25">
      <c r="A219" s="92"/>
      <c r="B219" s="93"/>
      <c r="C219" s="94"/>
      <c r="D219" s="95"/>
      <c r="E219" s="92"/>
      <c r="F219" s="92"/>
    </row>
    <row r="220" spans="1:6" x14ac:dyDescent="0.25">
      <c r="A220" s="92"/>
      <c r="B220" s="93"/>
      <c r="C220" s="94"/>
      <c r="D220" s="95"/>
      <c r="E220" s="92"/>
      <c r="F220" s="92"/>
    </row>
    <row r="221" spans="1:6" x14ac:dyDescent="0.25">
      <c r="A221" s="92"/>
      <c r="B221" s="93"/>
      <c r="C221" s="94"/>
      <c r="D221" s="95"/>
      <c r="E221" s="92"/>
      <c r="F221" s="92"/>
    </row>
    <row r="222" spans="1:6" x14ac:dyDescent="0.25">
      <c r="A222" s="92"/>
      <c r="B222" s="93"/>
      <c r="C222" s="94"/>
      <c r="D222" s="95"/>
      <c r="E222" s="92"/>
      <c r="F222" s="92"/>
    </row>
    <row r="223" spans="1:6" x14ac:dyDescent="0.25">
      <c r="A223" s="92"/>
      <c r="B223" s="93"/>
      <c r="C223" s="94"/>
      <c r="D223" s="95"/>
      <c r="E223" s="92"/>
      <c r="F223" s="92"/>
    </row>
    <row r="224" spans="1:6" x14ac:dyDescent="0.25">
      <c r="A224" s="92"/>
      <c r="B224" s="93"/>
      <c r="C224" s="94"/>
      <c r="D224" s="95"/>
      <c r="E224" s="92"/>
      <c r="F224" s="92"/>
    </row>
    <row r="225" spans="1:6" x14ac:dyDescent="0.25">
      <c r="A225" s="92"/>
      <c r="B225" s="93"/>
      <c r="C225" s="94"/>
      <c r="D225" s="95"/>
      <c r="E225" s="92"/>
      <c r="F225" s="92"/>
    </row>
    <row r="226" spans="1:6" x14ac:dyDescent="0.25">
      <c r="A226" s="92"/>
      <c r="B226" s="93"/>
      <c r="C226" s="94"/>
      <c r="D226" s="95"/>
      <c r="E226" s="92"/>
      <c r="F226" s="92"/>
    </row>
    <row r="227" spans="1:6" x14ac:dyDescent="0.25">
      <c r="A227" s="92"/>
      <c r="B227" s="93"/>
      <c r="C227" s="94"/>
      <c r="D227" s="95"/>
      <c r="E227" s="92"/>
      <c r="F227" s="92"/>
    </row>
    <row r="228" spans="1:6" x14ac:dyDescent="0.25">
      <c r="A228" s="92"/>
      <c r="B228" s="93"/>
      <c r="C228" s="94"/>
      <c r="D228" s="95"/>
      <c r="E228" s="92"/>
      <c r="F228" s="92"/>
    </row>
    <row r="229" spans="1:6" x14ac:dyDescent="0.25">
      <c r="A229" s="92"/>
      <c r="B229" s="93"/>
      <c r="C229" s="94"/>
      <c r="D229" s="95"/>
      <c r="E229" s="92"/>
      <c r="F229" s="92"/>
    </row>
    <row r="230" spans="1:6" x14ac:dyDescent="0.25">
      <c r="A230" s="92"/>
      <c r="B230" s="93"/>
      <c r="C230" s="94"/>
      <c r="D230" s="95"/>
      <c r="E230" s="92"/>
      <c r="F230" s="92"/>
    </row>
    <row r="231" spans="1:6" x14ac:dyDescent="0.25">
      <c r="A231" s="92"/>
      <c r="B231" s="93"/>
      <c r="C231" s="94"/>
      <c r="D231" s="95"/>
      <c r="E231" s="92"/>
      <c r="F231" s="92"/>
    </row>
    <row r="232" spans="1:6" x14ac:dyDescent="0.25">
      <c r="A232" s="92"/>
      <c r="B232" s="93"/>
      <c r="C232" s="94"/>
      <c r="D232" s="95"/>
      <c r="E232" s="92"/>
      <c r="F232" s="92"/>
    </row>
    <row r="233" spans="1:6" x14ac:dyDescent="0.25">
      <c r="A233" s="92"/>
      <c r="B233" s="93"/>
      <c r="C233" s="94"/>
      <c r="D233" s="95"/>
      <c r="E233" s="92"/>
      <c r="F233" s="92"/>
    </row>
    <row r="234" spans="1:6" x14ac:dyDescent="0.25">
      <c r="A234" s="92"/>
      <c r="B234" s="93"/>
      <c r="C234" s="94"/>
      <c r="D234" s="95"/>
      <c r="E234" s="92"/>
      <c r="F234" s="92"/>
    </row>
    <row r="235" spans="1:6" x14ac:dyDescent="0.25">
      <c r="A235" s="92"/>
      <c r="B235" s="93"/>
      <c r="C235" s="94"/>
      <c r="D235" s="95"/>
      <c r="E235" s="92"/>
      <c r="F235" s="92"/>
    </row>
    <row r="236" spans="1:6" x14ac:dyDescent="0.25">
      <c r="A236" s="92"/>
      <c r="B236" s="93"/>
      <c r="C236" s="94"/>
      <c r="D236" s="95"/>
      <c r="E236" s="92"/>
      <c r="F236" s="92"/>
    </row>
    <row r="237" spans="1:6" x14ac:dyDescent="0.25">
      <c r="A237" s="92"/>
      <c r="B237" s="93"/>
      <c r="C237" s="94"/>
      <c r="D237" s="95"/>
      <c r="E237" s="92"/>
      <c r="F237" s="92"/>
    </row>
    <row r="238" spans="1:6" x14ac:dyDescent="0.25">
      <c r="A238" s="92"/>
      <c r="B238" s="93"/>
      <c r="C238" s="94"/>
      <c r="D238" s="95"/>
      <c r="E238" s="92"/>
      <c r="F238" s="92"/>
    </row>
    <row r="239" spans="1:6" x14ac:dyDescent="0.25">
      <c r="A239" s="92"/>
      <c r="B239" s="93"/>
      <c r="C239" s="94"/>
      <c r="D239" s="95"/>
      <c r="E239" s="92"/>
      <c r="F239" s="92"/>
    </row>
    <row r="240" spans="1:6" x14ac:dyDescent="0.25">
      <c r="A240" s="92"/>
      <c r="B240" s="93"/>
      <c r="C240" s="94"/>
      <c r="D240" s="95"/>
      <c r="E240" s="92"/>
      <c r="F240" s="92"/>
    </row>
    <row r="241" spans="1:6" x14ac:dyDescent="0.25">
      <c r="A241" s="92"/>
      <c r="B241" s="93"/>
      <c r="C241" s="94"/>
      <c r="D241" s="95"/>
      <c r="E241" s="92"/>
      <c r="F241" s="92"/>
    </row>
    <row r="242" spans="1:6" x14ac:dyDescent="0.25">
      <c r="A242" s="92"/>
      <c r="B242" s="93"/>
      <c r="C242" s="94"/>
      <c r="D242" s="95"/>
      <c r="E242" s="92"/>
      <c r="F242" s="92"/>
    </row>
    <row r="243" spans="1:6" x14ac:dyDescent="0.25">
      <c r="A243" s="92"/>
      <c r="B243" s="93"/>
      <c r="C243" s="94"/>
      <c r="D243" s="95"/>
      <c r="E243" s="92"/>
      <c r="F243" s="92"/>
    </row>
    <row r="244" spans="1:6" x14ac:dyDescent="0.25">
      <c r="A244" s="92"/>
      <c r="B244" s="93"/>
      <c r="C244" s="94"/>
      <c r="D244" s="95"/>
      <c r="E244" s="92"/>
      <c r="F244" s="92"/>
    </row>
    <row r="245" spans="1:6" x14ac:dyDescent="0.25">
      <c r="A245" s="92"/>
      <c r="B245" s="93"/>
      <c r="C245" s="94"/>
      <c r="D245" s="95"/>
      <c r="E245" s="92"/>
      <c r="F245" s="92"/>
    </row>
    <row r="246" spans="1:6" x14ac:dyDescent="0.25">
      <c r="A246" s="92"/>
      <c r="B246" s="93"/>
      <c r="C246" s="94"/>
      <c r="D246" s="95"/>
      <c r="E246" s="92"/>
      <c r="F246" s="92"/>
    </row>
    <row r="247" spans="1:6" x14ac:dyDescent="0.25">
      <c r="A247" s="92"/>
      <c r="B247" s="93"/>
      <c r="C247" s="94"/>
      <c r="D247" s="95"/>
      <c r="E247" s="92"/>
      <c r="F247" s="92"/>
    </row>
    <row r="248" spans="1:6" x14ac:dyDescent="0.25">
      <c r="A248" s="92"/>
      <c r="B248" s="93"/>
      <c r="C248" s="94"/>
      <c r="D248" s="95"/>
      <c r="E248" s="92"/>
      <c r="F248" s="92"/>
    </row>
    <row r="249" spans="1:6" x14ac:dyDescent="0.25">
      <c r="A249" s="92"/>
      <c r="B249" s="93"/>
      <c r="C249" s="94"/>
      <c r="D249" s="95"/>
      <c r="E249" s="92"/>
      <c r="F249" s="92"/>
    </row>
    <row r="250" spans="1:6" x14ac:dyDescent="0.25">
      <c r="A250" s="92"/>
      <c r="B250" s="93"/>
      <c r="C250" s="94"/>
      <c r="D250" s="95"/>
      <c r="E250" s="92"/>
      <c r="F250" s="92"/>
    </row>
    <row r="251" spans="1:6" x14ac:dyDescent="0.25">
      <c r="A251" s="92"/>
      <c r="B251" s="93"/>
      <c r="C251" s="94"/>
      <c r="D251" s="95"/>
      <c r="E251" s="92"/>
      <c r="F251" s="92"/>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workbookViewId="0">
      <selection activeCell="C3" sqref="C3:E3"/>
    </sheetView>
  </sheetViews>
  <sheetFormatPr defaultColWidth="9.109375" defaultRowHeight="13.2" x14ac:dyDescent="0.25"/>
  <cols>
    <col min="1" max="1" width="2.6640625" style="75" customWidth="1"/>
    <col min="2" max="2" width="12.44140625" style="84" customWidth="1"/>
    <col min="3" max="3" width="50.6640625" style="84" customWidth="1"/>
    <col min="4" max="5" width="25.6640625" style="84" customWidth="1"/>
    <col min="6" max="6" width="0.88671875" style="75" customWidth="1"/>
    <col min="7" max="7" width="2.6640625" style="75" customWidth="1"/>
    <col min="8" max="16384" width="9.109375" style="75"/>
  </cols>
  <sheetData>
    <row r="1" spans="1:7" x14ac:dyDescent="0.25">
      <c r="A1" s="173" t="s">
        <v>153</v>
      </c>
      <c r="B1" s="68" t="s">
        <v>9</v>
      </c>
      <c r="C1" s="68"/>
      <c r="D1" s="68"/>
      <c r="E1" s="68"/>
      <c r="F1" s="67"/>
      <c r="G1" s="67"/>
    </row>
    <row r="2" spans="1:7" ht="6" customHeight="1" x14ac:dyDescent="0.25">
      <c r="A2" s="67"/>
      <c r="B2" s="68"/>
      <c r="C2" s="68"/>
      <c r="D2" s="68"/>
      <c r="E2" s="68"/>
      <c r="F2" s="67"/>
      <c r="G2" s="67"/>
    </row>
    <row r="3" spans="1:7" x14ac:dyDescent="0.25">
      <c r="A3" s="67"/>
      <c r="B3" s="68" t="s">
        <v>6</v>
      </c>
      <c r="C3" s="298" t="s">
        <v>1</v>
      </c>
      <c r="D3" s="298"/>
      <c r="E3" s="298"/>
      <c r="F3" s="67"/>
      <c r="G3" s="67"/>
    </row>
    <row r="4" spans="1:7" ht="6" customHeight="1" x14ac:dyDescent="0.25">
      <c r="A4" s="67"/>
      <c r="B4" s="68"/>
      <c r="C4" s="68"/>
      <c r="D4" s="68"/>
      <c r="E4" s="68"/>
      <c r="F4" s="67"/>
      <c r="G4" s="67"/>
    </row>
    <row r="5" spans="1:7" ht="27" customHeight="1" x14ac:dyDescent="0.25">
      <c r="A5" s="67"/>
      <c r="B5" s="68" t="s">
        <v>7</v>
      </c>
      <c r="C5" s="299" t="s">
        <v>2</v>
      </c>
      <c r="D5" s="298"/>
      <c r="E5" s="298"/>
      <c r="F5" s="67"/>
      <c r="G5" s="67"/>
    </row>
    <row r="6" spans="1:7" x14ac:dyDescent="0.25">
      <c r="A6" s="67"/>
      <c r="B6" s="68"/>
      <c r="C6" s="68"/>
      <c r="D6" s="68"/>
      <c r="E6" s="68"/>
      <c r="F6" s="67"/>
      <c r="G6" s="67"/>
    </row>
    <row r="7" spans="1:7" x14ac:dyDescent="0.25">
      <c r="A7" s="71"/>
      <c r="B7" s="72" t="s">
        <v>4</v>
      </c>
      <c r="C7" s="72"/>
      <c r="D7" s="72"/>
      <c r="E7" s="72"/>
      <c r="F7" s="71"/>
      <c r="G7" s="71"/>
    </row>
    <row r="8" spans="1:7" ht="6" customHeight="1" x14ac:dyDescent="0.25">
      <c r="A8" s="71"/>
      <c r="B8" s="72"/>
      <c r="C8" s="72"/>
      <c r="D8" s="72"/>
      <c r="E8" s="72"/>
      <c r="F8" s="71"/>
      <c r="G8" s="71"/>
    </row>
    <row r="9" spans="1:7" x14ac:dyDescent="0.25">
      <c r="A9" s="71"/>
      <c r="B9" s="72" t="s">
        <v>6</v>
      </c>
      <c r="C9" s="298" t="s">
        <v>1</v>
      </c>
      <c r="D9" s="298"/>
      <c r="E9" s="298"/>
      <c r="F9" s="71"/>
      <c r="G9" s="71"/>
    </row>
    <row r="10" spans="1:7" ht="6" customHeight="1" x14ac:dyDescent="0.25">
      <c r="A10" s="71"/>
      <c r="B10" s="72"/>
      <c r="C10" s="72"/>
      <c r="D10" s="72"/>
      <c r="E10" s="72"/>
      <c r="F10" s="71"/>
      <c r="G10" s="71"/>
    </row>
    <row r="11" spans="1:7" ht="26.25" customHeight="1" x14ac:dyDescent="0.25">
      <c r="A11" s="71"/>
      <c r="B11" s="72" t="s">
        <v>7</v>
      </c>
      <c r="C11" s="299" t="s">
        <v>2</v>
      </c>
      <c r="D11" s="298"/>
      <c r="E11" s="298"/>
      <c r="F11" s="71"/>
      <c r="G11" s="71"/>
    </row>
    <row r="12" spans="1:7" x14ac:dyDescent="0.25">
      <c r="A12" s="71"/>
      <c r="B12" s="72"/>
      <c r="C12" s="72"/>
      <c r="D12" s="72"/>
      <c r="E12" s="72"/>
      <c r="F12" s="71"/>
      <c r="G12" s="71"/>
    </row>
    <row r="13" spans="1:7" x14ac:dyDescent="0.25">
      <c r="A13" s="73"/>
      <c r="B13" s="74" t="s">
        <v>5</v>
      </c>
      <c r="C13" s="74"/>
      <c r="D13" s="74"/>
      <c r="E13" s="74"/>
      <c r="F13" s="73"/>
      <c r="G13" s="73"/>
    </row>
    <row r="14" spans="1:7" ht="6" customHeight="1" x14ac:dyDescent="0.25">
      <c r="A14" s="73"/>
      <c r="B14" s="74"/>
      <c r="C14" s="74"/>
      <c r="D14" s="74"/>
      <c r="E14" s="74"/>
      <c r="F14" s="73"/>
      <c r="G14" s="73"/>
    </row>
    <row r="15" spans="1:7" x14ac:dyDescent="0.25">
      <c r="A15" s="73"/>
      <c r="B15" s="74" t="s">
        <v>6</v>
      </c>
      <c r="C15" s="298" t="s">
        <v>130</v>
      </c>
      <c r="D15" s="298"/>
      <c r="E15" s="298"/>
      <c r="F15" s="73"/>
      <c r="G15" s="73"/>
    </row>
    <row r="16" spans="1:7" x14ac:dyDescent="0.25">
      <c r="A16" s="73"/>
      <c r="B16" s="74"/>
      <c r="C16" s="74"/>
      <c r="D16" s="74"/>
      <c r="E16" s="74"/>
      <c r="F16" s="73"/>
      <c r="G16" s="73"/>
    </row>
    <row r="17" spans="1:7" x14ac:dyDescent="0.25">
      <c r="A17" s="175"/>
      <c r="B17" s="177" t="s">
        <v>159</v>
      </c>
      <c r="C17" s="176"/>
      <c r="D17" s="176"/>
      <c r="E17" s="176"/>
      <c r="F17" s="175"/>
      <c r="G17" s="175"/>
    </row>
    <row r="18" spans="1:7" ht="6" customHeight="1" x14ac:dyDescent="0.25">
      <c r="A18" s="175"/>
      <c r="B18" s="176"/>
      <c r="C18" s="176"/>
      <c r="D18" s="176"/>
      <c r="E18" s="176"/>
      <c r="F18" s="175"/>
      <c r="G18" s="175"/>
    </row>
    <row r="19" spans="1:7" x14ac:dyDescent="0.25">
      <c r="A19" s="175"/>
      <c r="B19" s="178" t="s">
        <v>160</v>
      </c>
      <c r="C19" s="296" t="s">
        <v>161</v>
      </c>
      <c r="D19" s="297"/>
      <c r="E19" s="297"/>
      <c r="F19" s="175"/>
      <c r="G19" s="175"/>
    </row>
    <row r="20" spans="1:7" x14ac:dyDescent="0.25">
      <c r="A20" s="175"/>
      <c r="B20" s="176"/>
      <c r="C20" s="176"/>
      <c r="D20" s="176"/>
      <c r="E20" s="176"/>
      <c r="F20" s="175"/>
      <c r="G20" s="175"/>
    </row>
    <row r="21" spans="1:7" x14ac:dyDescent="0.25">
      <c r="A21" s="69"/>
      <c r="B21" s="70" t="s">
        <v>3</v>
      </c>
      <c r="C21" s="70"/>
      <c r="D21" s="70"/>
      <c r="E21" s="70"/>
      <c r="F21" s="69"/>
      <c r="G21" s="69"/>
    </row>
    <row r="22" spans="1:7" ht="6" customHeight="1" x14ac:dyDescent="0.25">
      <c r="A22" s="69"/>
      <c r="B22" s="70"/>
      <c r="C22" s="70"/>
      <c r="D22" s="70"/>
      <c r="E22" s="70"/>
      <c r="F22" s="69"/>
      <c r="G22" s="69"/>
    </row>
    <row r="23" spans="1:7" x14ac:dyDescent="0.25">
      <c r="A23" s="69"/>
      <c r="B23" s="70" t="s">
        <v>154</v>
      </c>
      <c r="C23" s="85" t="s">
        <v>3412</v>
      </c>
      <c r="D23" s="70"/>
      <c r="E23" s="70"/>
      <c r="F23" s="69"/>
      <c r="G23" s="69"/>
    </row>
    <row r="24" spans="1:7" ht="6" customHeight="1" x14ac:dyDescent="0.25">
      <c r="A24" s="69"/>
      <c r="B24" s="70"/>
      <c r="C24" s="70"/>
      <c r="D24" s="70"/>
      <c r="E24" s="70"/>
      <c r="F24" s="69"/>
      <c r="G24" s="69"/>
    </row>
    <row r="25" spans="1:7" ht="6" customHeight="1" x14ac:dyDescent="0.25">
      <c r="A25" s="69"/>
      <c r="B25" s="83"/>
      <c r="C25" s="87"/>
      <c r="D25" s="87"/>
      <c r="E25" s="87"/>
      <c r="F25" s="81"/>
      <c r="G25" s="69"/>
    </row>
    <row r="26" spans="1:7" x14ac:dyDescent="0.25">
      <c r="A26" s="69"/>
      <c r="B26" s="77" t="s">
        <v>8</v>
      </c>
      <c r="C26" s="86" t="s">
        <v>82</v>
      </c>
      <c r="D26" s="174" t="s">
        <v>155</v>
      </c>
      <c r="E26" s="86"/>
      <c r="F26" s="76"/>
      <c r="G26" s="69"/>
    </row>
    <row r="27" spans="1:7" ht="6" customHeight="1" x14ac:dyDescent="0.25">
      <c r="A27" s="69"/>
      <c r="B27" s="77"/>
      <c r="C27" s="79"/>
      <c r="D27" s="79"/>
      <c r="E27" s="79"/>
      <c r="F27" s="76"/>
      <c r="G27" s="69"/>
    </row>
    <row r="28" spans="1:7" x14ac:dyDescent="0.25">
      <c r="A28" s="69"/>
      <c r="B28" s="77" t="s">
        <v>6</v>
      </c>
      <c r="C28" s="295" t="s">
        <v>156</v>
      </c>
      <c r="D28" s="295"/>
      <c r="E28" s="295"/>
      <c r="F28" s="76"/>
      <c r="G28" s="69"/>
    </row>
    <row r="29" spans="1:7" ht="6" customHeight="1" x14ac:dyDescent="0.25">
      <c r="A29" s="69"/>
      <c r="B29" s="77"/>
      <c r="C29" s="79"/>
      <c r="D29" s="79"/>
      <c r="E29" s="79"/>
      <c r="F29" s="76"/>
      <c r="G29" s="69"/>
    </row>
    <row r="30" spans="1:7" ht="27" customHeight="1" x14ac:dyDescent="0.25">
      <c r="A30" s="69"/>
      <c r="B30" s="77" t="s">
        <v>7</v>
      </c>
      <c r="C30" s="300" t="s">
        <v>157</v>
      </c>
      <c r="D30" s="295"/>
      <c r="E30" s="295"/>
      <c r="F30" s="76"/>
      <c r="G30" s="69"/>
    </row>
    <row r="31" spans="1:7" ht="6" customHeight="1" x14ac:dyDescent="0.25">
      <c r="A31" s="69"/>
      <c r="B31" s="77"/>
      <c r="C31" s="79"/>
      <c r="D31" s="79"/>
      <c r="E31" s="79"/>
      <c r="F31" s="76"/>
      <c r="G31" s="69"/>
    </row>
    <row r="32" spans="1:7" x14ac:dyDescent="0.25">
      <c r="A32" s="69"/>
      <c r="B32" s="77" t="s">
        <v>105</v>
      </c>
      <c r="C32" s="295" t="s">
        <v>158</v>
      </c>
      <c r="D32" s="295"/>
      <c r="E32" s="295"/>
      <c r="F32" s="76"/>
      <c r="G32" s="69"/>
    </row>
    <row r="33" spans="1:7" ht="6" customHeight="1" x14ac:dyDescent="0.25">
      <c r="A33" s="69"/>
      <c r="B33" s="78"/>
      <c r="C33" s="80"/>
      <c r="D33" s="80"/>
      <c r="E33" s="80"/>
      <c r="F33" s="82"/>
      <c r="G33" s="69"/>
    </row>
    <row r="34" spans="1:7" ht="6" customHeight="1" x14ac:dyDescent="0.25">
      <c r="A34" s="69"/>
      <c r="B34" s="70"/>
      <c r="C34" s="70"/>
      <c r="D34" s="70"/>
      <c r="E34" s="70"/>
      <c r="F34" s="69"/>
      <c r="G34" s="69"/>
    </row>
    <row r="35" spans="1:7" ht="6" customHeight="1" x14ac:dyDescent="0.25">
      <c r="A35" s="69"/>
      <c r="B35" s="83"/>
      <c r="C35" s="87"/>
      <c r="D35" s="87"/>
      <c r="E35" s="87"/>
      <c r="F35" s="81"/>
      <c r="G35" s="69"/>
    </row>
    <row r="36" spans="1:7" x14ac:dyDescent="0.25">
      <c r="A36" s="69"/>
      <c r="B36" s="77" t="s">
        <v>8</v>
      </c>
      <c r="C36" s="86" t="s">
        <v>81</v>
      </c>
      <c r="D36" s="174" t="s">
        <v>155</v>
      </c>
      <c r="E36" s="232" t="s">
        <v>3872</v>
      </c>
      <c r="F36" s="76"/>
      <c r="G36" s="69"/>
    </row>
    <row r="37" spans="1:7" ht="6" customHeight="1" x14ac:dyDescent="0.25">
      <c r="A37" s="69"/>
      <c r="B37" s="77"/>
      <c r="C37" s="79"/>
      <c r="D37" s="79"/>
      <c r="E37" s="79"/>
      <c r="F37" s="76"/>
      <c r="G37" s="69"/>
    </row>
    <row r="38" spans="1:7" ht="14.25" customHeight="1" x14ac:dyDescent="0.25">
      <c r="A38" s="69"/>
      <c r="B38" s="77" t="s">
        <v>6</v>
      </c>
      <c r="C38" s="300" t="s">
        <v>3414</v>
      </c>
      <c r="D38" s="295"/>
      <c r="E38" s="295"/>
      <c r="F38" s="76"/>
      <c r="G38" s="69"/>
    </row>
    <row r="39" spans="1:7" ht="6" customHeight="1" x14ac:dyDescent="0.25">
      <c r="A39" s="69"/>
      <c r="B39" s="77"/>
      <c r="C39" s="79"/>
      <c r="D39" s="79"/>
      <c r="E39" s="79"/>
      <c r="F39" s="76"/>
      <c r="G39" s="69"/>
    </row>
    <row r="40" spans="1:7" ht="36" customHeight="1" x14ac:dyDescent="0.25">
      <c r="A40" s="69"/>
      <c r="B40" s="77" t="s">
        <v>7</v>
      </c>
      <c r="C40" s="300" t="s">
        <v>3413</v>
      </c>
      <c r="D40" s="295"/>
      <c r="E40" s="295"/>
      <c r="F40" s="76"/>
      <c r="G40" s="69"/>
    </row>
    <row r="41" spans="1:7" ht="6" customHeight="1" x14ac:dyDescent="0.25">
      <c r="A41" s="69"/>
      <c r="B41" s="77"/>
      <c r="C41" s="79"/>
      <c r="D41" s="79"/>
      <c r="E41" s="79"/>
      <c r="F41" s="76"/>
      <c r="G41" s="69"/>
    </row>
    <row r="42" spans="1:7" ht="20.25" customHeight="1" x14ac:dyDescent="0.25">
      <c r="A42" s="69"/>
      <c r="B42" s="77" t="s">
        <v>105</v>
      </c>
      <c r="C42" s="300" t="s">
        <v>3415</v>
      </c>
      <c r="D42" s="295"/>
      <c r="E42" s="295"/>
      <c r="F42" s="76"/>
      <c r="G42" s="69"/>
    </row>
    <row r="43" spans="1:7" ht="6" customHeight="1" x14ac:dyDescent="0.25">
      <c r="A43" s="69"/>
      <c r="B43" s="78"/>
      <c r="C43" s="80"/>
      <c r="D43" s="80"/>
      <c r="E43" s="80"/>
      <c r="F43" s="82"/>
      <c r="G43" s="69"/>
    </row>
    <row r="44" spans="1:7" ht="6" customHeight="1" x14ac:dyDescent="0.25">
      <c r="A44" s="69"/>
      <c r="B44" s="70"/>
      <c r="C44" s="70"/>
      <c r="D44" s="70"/>
      <c r="E44" s="70"/>
      <c r="F44" s="69"/>
      <c r="G44" s="69"/>
    </row>
    <row r="45" spans="1:7" ht="6" customHeight="1" x14ac:dyDescent="0.25">
      <c r="A45" s="69"/>
      <c r="B45" s="83"/>
      <c r="C45" s="87"/>
      <c r="D45" s="87"/>
      <c r="E45" s="87"/>
      <c r="F45" s="81"/>
      <c r="G45" s="69"/>
    </row>
    <row r="46" spans="1:7" x14ac:dyDescent="0.25">
      <c r="A46" s="69"/>
      <c r="B46" s="77" t="s">
        <v>8</v>
      </c>
      <c r="C46" s="86" t="s">
        <v>0</v>
      </c>
      <c r="D46" s="174" t="s">
        <v>155</v>
      </c>
      <c r="E46" s="86">
        <v>0</v>
      </c>
      <c r="F46" s="76"/>
      <c r="G46" s="69"/>
    </row>
    <row r="47" spans="1:7" ht="6" customHeight="1" x14ac:dyDescent="0.25">
      <c r="A47" s="69"/>
      <c r="B47" s="77"/>
      <c r="C47" s="79"/>
      <c r="D47" s="79"/>
      <c r="E47" s="79"/>
      <c r="F47" s="76"/>
      <c r="G47" s="69"/>
    </row>
    <row r="48" spans="1:7" ht="18" customHeight="1" x14ac:dyDescent="0.25">
      <c r="A48" s="69"/>
      <c r="B48" s="77" t="s">
        <v>6</v>
      </c>
      <c r="C48" s="300" t="s">
        <v>3414</v>
      </c>
      <c r="D48" s="295"/>
      <c r="E48" s="295"/>
      <c r="F48" s="76"/>
      <c r="G48" s="69"/>
    </row>
    <row r="49" spans="1:7" ht="6" customHeight="1" x14ac:dyDescent="0.25">
      <c r="A49" s="69"/>
      <c r="B49" s="77"/>
      <c r="C49" s="79"/>
      <c r="D49" s="79"/>
      <c r="E49" s="79"/>
      <c r="F49" s="76"/>
      <c r="G49" s="69"/>
    </row>
    <row r="50" spans="1:7" ht="18" customHeight="1" x14ac:dyDescent="0.25">
      <c r="A50" s="69"/>
      <c r="B50" s="77" t="s">
        <v>7</v>
      </c>
      <c r="C50" s="295" t="s">
        <v>3416</v>
      </c>
      <c r="D50" s="295"/>
      <c r="E50" s="295"/>
      <c r="F50" s="76"/>
      <c r="G50" s="69"/>
    </row>
    <row r="51" spans="1:7" ht="6" customHeight="1" x14ac:dyDescent="0.25">
      <c r="A51" s="69"/>
      <c r="B51" s="77"/>
      <c r="C51" s="79"/>
      <c r="D51" s="79"/>
      <c r="E51" s="79"/>
      <c r="F51" s="76"/>
      <c r="G51" s="69"/>
    </row>
    <row r="52" spans="1:7" ht="16.5" customHeight="1" x14ac:dyDescent="0.25">
      <c r="A52" s="69"/>
      <c r="B52" s="77" t="s">
        <v>105</v>
      </c>
      <c r="C52" s="300" t="s">
        <v>3415</v>
      </c>
      <c r="D52" s="295"/>
      <c r="E52" s="295"/>
      <c r="F52" s="76"/>
      <c r="G52" s="69"/>
    </row>
    <row r="53" spans="1:7" ht="6" customHeight="1" x14ac:dyDescent="0.25">
      <c r="A53" s="69"/>
      <c r="B53" s="78"/>
      <c r="C53" s="80"/>
      <c r="D53" s="80"/>
      <c r="E53" s="80"/>
      <c r="F53" s="82"/>
      <c r="G53" s="69"/>
    </row>
    <row r="54" spans="1:7" ht="6" customHeight="1" x14ac:dyDescent="0.25">
      <c r="A54" s="69"/>
      <c r="B54" s="70"/>
      <c r="C54" s="70"/>
      <c r="D54" s="70"/>
      <c r="E54" s="70"/>
      <c r="F54" s="69"/>
      <c r="G54" s="69"/>
    </row>
  </sheetData>
  <mergeCells count="15">
    <mergeCell ref="C50:E50"/>
    <mergeCell ref="C52:E52"/>
    <mergeCell ref="C30:E30"/>
    <mergeCell ref="C32:E32"/>
    <mergeCell ref="C38:E38"/>
    <mergeCell ref="C40:E40"/>
    <mergeCell ref="C42:E42"/>
    <mergeCell ref="C48:E48"/>
    <mergeCell ref="C28:E28"/>
    <mergeCell ref="C19:E19"/>
    <mergeCell ref="C3:E3"/>
    <mergeCell ref="C5:E5"/>
    <mergeCell ref="C9:E9"/>
    <mergeCell ref="C11:E11"/>
    <mergeCell ref="C15:E15"/>
  </mergeCells>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heetViews>
  <sheetFormatPr defaultRowHeight="13.2" x14ac:dyDescent="0.25"/>
  <cols>
    <col min="2" max="2" width="11.33203125" bestFit="1" customWidth="1"/>
    <col min="3" max="3" width="22.109375" bestFit="1" customWidth="1"/>
    <col min="4" max="4" width="66.88671875" customWidth="1"/>
  </cols>
  <sheetData>
    <row r="1" spans="2:4" ht="15.6" x14ac:dyDescent="0.3">
      <c r="B1" s="55" t="s">
        <v>121</v>
      </c>
      <c r="C1" s="55" t="s">
        <v>120</v>
      </c>
      <c r="D1" s="55" t="s">
        <v>122</v>
      </c>
    </row>
    <row r="2" spans="2:4" ht="15.6" x14ac:dyDescent="0.25">
      <c r="B2" s="56" t="s">
        <v>118</v>
      </c>
      <c r="C2" s="56" t="s">
        <v>123</v>
      </c>
      <c r="D2" s="57" t="s">
        <v>78</v>
      </c>
    </row>
    <row r="3" spans="2:4" ht="15.6" x14ac:dyDescent="0.25">
      <c r="B3" s="56"/>
      <c r="C3" s="56"/>
      <c r="D3" s="57"/>
    </row>
    <row r="4" spans="2:4" ht="46.8" x14ac:dyDescent="0.25">
      <c r="B4" s="56"/>
      <c r="C4" s="56" t="s">
        <v>125</v>
      </c>
      <c r="D4" s="57" t="s">
        <v>126</v>
      </c>
    </row>
    <row r="5" spans="2:4" ht="31.2" x14ac:dyDescent="0.25">
      <c r="B5" s="56"/>
      <c r="C5" s="56" t="s">
        <v>124</v>
      </c>
      <c r="D5" s="57" t="s">
        <v>119</v>
      </c>
    </row>
    <row r="6" spans="2:4" ht="31.2" x14ac:dyDescent="0.25">
      <c r="B6" s="56"/>
      <c r="C6" s="56" t="s">
        <v>127</v>
      </c>
      <c r="D6" s="57" t="s">
        <v>103</v>
      </c>
    </row>
  </sheetData>
  <autoFilter ref="B1:D2"/>
  <phoneticPr fontId="0" type="noConversion"/>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141"/>
  <sheetViews>
    <sheetView workbookViewId="0"/>
  </sheetViews>
  <sheetFormatPr defaultRowHeight="13.2" x14ac:dyDescent="0.25"/>
  <cols>
    <col min="1" max="1" width="49.77734375" bestFit="1" customWidth="1"/>
  </cols>
  <sheetData>
    <row r="1" spans="1:1" x14ac:dyDescent="0.25">
      <c r="A1" t="s">
        <v>223</v>
      </c>
    </row>
    <row r="2" spans="1:1" x14ac:dyDescent="0.25">
      <c r="A2" t="s">
        <v>224</v>
      </c>
    </row>
    <row r="3" spans="1:1" x14ac:dyDescent="0.25">
      <c r="A3" t="s">
        <v>225</v>
      </c>
    </row>
    <row r="4" spans="1:1" x14ac:dyDescent="0.25">
      <c r="A4" t="s">
        <v>226</v>
      </c>
    </row>
    <row r="5" spans="1:1" x14ac:dyDescent="0.25">
      <c r="A5" t="s">
        <v>227</v>
      </c>
    </row>
    <row r="6" spans="1:1" x14ac:dyDescent="0.25">
      <c r="A6" t="s">
        <v>228</v>
      </c>
    </row>
    <row r="7" spans="1:1" x14ac:dyDescent="0.25">
      <c r="A7" t="s">
        <v>229</v>
      </c>
    </row>
    <row r="8" spans="1:1" x14ac:dyDescent="0.25">
      <c r="A8" t="s">
        <v>230</v>
      </c>
    </row>
    <row r="9" spans="1:1" x14ac:dyDescent="0.25">
      <c r="A9" t="s">
        <v>4908</v>
      </c>
    </row>
    <row r="10" spans="1:1" x14ac:dyDescent="0.25">
      <c r="A10" t="s">
        <v>4909</v>
      </c>
    </row>
    <row r="11" spans="1:1" x14ac:dyDescent="0.25">
      <c r="A11" t="s">
        <v>4910</v>
      </c>
    </row>
    <row r="12" spans="1:1" x14ac:dyDescent="0.25">
      <c r="A12" t="s">
        <v>4149</v>
      </c>
    </row>
    <row r="13" spans="1:1" x14ac:dyDescent="0.25">
      <c r="A13" t="s">
        <v>4150</v>
      </c>
    </row>
    <row r="14" spans="1:1" x14ac:dyDescent="0.25">
      <c r="A14" t="s">
        <v>4105</v>
      </c>
    </row>
    <row r="15" spans="1:1" x14ac:dyDescent="0.25">
      <c r="A15" t="s">
        <v>4911</v>
      </c>
    </row>
    <row r="16" spans="1:1" x14ac:dyDescent="0.25">
      <c r="A16" t="s">
        <v>5097</v>
      </c>
    </row>
    <row r="17" spans="1:1" x14ac:dyDescent="0.25">
      <c r="A17" t="s">
        <v>5098</v>
      </c>
    </row>
    <row r="18" spans="1:1" x14ac:dyDescent="0.25">
      <c r="A18" t="s">
        <v>4586</v>
      </c>
    </row>
    <row r="19" spans="1:1" x14ac:dyDescent="0.25">
      <c r="A19" t="s">
        <v>5099</v>
      </c>
    </row>
    <row r="20" spans="1:1" x14ac:dyDescent="0.25">
      <c r="A20" t="s">
        <v>5116</v>
      </c>
    </row>
    <row r="21" spans="1:1" x14ac:dyDescent="0.25">
      <c r="A21" t="s">
        <v>5100</v>
      </c>
    </row>
    <row r="22" spans="1:1" x14ac:dyDescent="0.25">
      <c r="A22" t="s">
        <v>5117</v>
      </c>
    </row>
    <row r="23" spans="1:1" x14ac:dyDescent="0.25">
      <c r="A23" t="s">
        <v>5118</v>
      </c>
    </row>
    <row r="24" spans="1:1" x14ac:dyDescent="0.25">
      <c r="A24" t="s">
        <v>5101</v>
      </c>
    </row>
    <row r="25" spans="1:1" x14ac:dyDescent="0.25">
      <c r="A25" t="s">
        <v>5102</v>
      </c>
    </row>
    <row r="26" spans="1:1" x14ac:dyDescent="0.25">
      <c r="A26" t="s">
        <v>5119</v>
      </c>
    </row>
    <row r="27" spans="1:1" x14ac:dyDescent="0.25">
      <c r="A27" t="s">
        <v>5103</v>
      </c>
    </row>
    <row r="28" spans="1:1" x14ac:dyDescent="0.25">
      <c r="A28" t="s">
        <v>5120</v>
      </c>
    </row>
    <row r="29" spans="1:1" x14ac:dyDescent="0.25">
      <c r="A29" t="s">
        <v>163</v>
      </c>
    </row>
    <row r="30" spans="1:1" x14ac:dyDescent="0.25">
      <c r="A30" t="s">
        <v>164</v>
      </c>
    </row>
    <row r="31" spans="1:1" x14ac:dyDescent="0.25">
      <c r="A31" t="s">
        <v>165</v>
      </c>
    </row>
    <row r="32" spans="1:1" x14ac:dyDescent="0.25">
      <c r="A32" t="s">
        <v>166</v>
      </c>
    </row>
    <row r="33" spans="1:1" x14ac:dyDescent="0.25">
      <c r="A33" t="s">
        <v>167</v>
      </c>
    </row>
    <row r="34" spans="1:1" x14ac:dyDescent="0.25">
      <c r="A34" t="s">
        <v>231</v>
      </c>
    </row>
    <row r="35" spans="1:1" x14ac:dyDescent="0.25">
      <c r="A35" t="s">
        <v>168</v>
      </c>
    </row>
    <row r="36" spans="1:1" x14ac:dyDescent="0.25">
      <c r="A36" t="s">
        <v>169</v>
      </c>
    </row>
    <row r="37" spans="1:1" x14ac:dyDescent="0.25">
      <c r="A37" t="s">
        <v>170</v>
      </c>
    </row>
    <row r="38" spans="1:1" x14ac:dyDescent="0.25">
      <c r="A38" t="s">
        <v>4098</v>
      </c>
    </row>
    <row r="39" spans="1:1" x14ac:dyDescent="0.25">
      <c r="A39" t="s">
        <v>171</v>
      </c>
    </row>
    <row r="40" spans="1:1" x14ac:dyDescent="0.25">
      <c r="A40" t="s">
        <v>172</v>
      </c>
    </row>
    <row r="41" spans="1:1" x14ac:dyDescent="0.25">
      <c r="A41" t="s">
        <v>173</v>
      </c>
    </row>
    <row r="42" spans="1:1" x14ac:dyDescent="0.25">
      <c r="A42" t="s">
        <v>232</v>
      </c>
    </row>
    <row r="43" spans="1:1" x14ac:dyDescent="0.25">
      <c r="A43" t="s">
        <v>174</v>
      </c>
    </row>
    <row r="44" spans="1:1" x14ac:dyDescent="0.25">
      <c r="A44" t="s">
        <v>175</v>
      </c>
    </row>
    <row r="45" spans="1:1" x14ac:dyDescent="0.25">
      <c r="A45" t="s">
        <v>176</v>
      </c>
    </row>
    <row r="46" spans="1:1" x14ac:dyDescent="0.25">
      <c r="A46" t="s">
        <v>4581</v>
      </c>
    </row>
    <row r="47" spans="1:1" x14ac:dyDescent="0.25">
      <c r="A47" t="s">
        <v>5058</v>
      </c>
    </row>
    <row r="48" spans="1:1" x14ac:dyDescent="0.25">
      <c r="A48" t="s">
        <v>178</v>
      </c>
    </row>
    <row r="49" spans="1:1" x14ac:dyDescent="0.25">
      <c r="A49" t="s">
        <v>179</v>
      </c>
    </row>
    <row r="50" spans="1:1" x14ac:dyDescent="0.25">
      <c r="A50" t="s">
        <v>233</v>
      </c>
    </row>
    <row r="51" spans="1:1" x14ac:dyDescent="0.25">
      <c r="A51" t="s">
        <v>180</v>
      </c>
    </row>
    <row r="52" spans="1:1" x14ac:dyDescent="0.25">
      <c r="A52" t="s">
        <v>181</v>
      </c>
    </row>
    <row r="53" spans="1:1" x14ac:dyDescent="0.25">
      <c r="A53" t="s">
        <v>182</v>
      </c>
    </row>
    <row r="54" spans="1:1" x14ac:dyDescent="0.25">
      <c r="A54" t="s">
        <v>4582</v>
      </c>
    </row>
    <row r="55" spans="1:1" x14ac:dyDescent="0.25">
      <c r="A55" t="s">
        <v>183</v>
      </c>
    </row>
    <row r="56" spans="1:1" x14ac:dyDescent="0.25">
      <c r="A56" t="s">
        <v>184</v>
      </c>
    </row>
    <row r="57" spans="1:1" x14ac:dyDescent="0.25">
      <c r="A57" t="s">
        <v>5104</v>
      </c>
    </row>
    <row r="58" spans="1:1" x14ac:dyDescent="0.25">
      <c r="A58" t="s">
        <v>234</v>
      </c>
    </row>
    <row r="59" spans="1:1" x14ac:dyDescent="0.25">
      <c r="A59" t="s">
        <v>185</v>
      </c>
    </row>
    <row r="60" spans="1:1" x14ac:dyDescent="0.25">
      <c r="A60" t="s">
        <v>186</v>
      </c>
    </row>
    <row r="61" spans="1:1" x14ac:dyDescent="0.25">
      <c r="A61" t="s">
        <v>235</v>
      </c>
    </row>
    <row r="62" spans="1:1" x14ac:dyDescent="0.25">
      <c r="A62" t="s">
        <v>187</v>
      </c>
    </row>
    <row r="63" spans="1:1" x14ac:dyDescent="0.25">
      <c r="A63" t="s">
        <v>236</v>
      </c>
    </row>
    <row r="64" spans="1:1" x14ac:dyDescent="0.25">
      <c r="A64" t="s">
        <v>237</v>
      </c>
    </row>
    <row r="65" spans="1:1" x14ac:dyDescent="0.25">
      <c r="A65" t="s">
        <v>188</v>
      </c>
    </row>
    <row r="66" spans="1:1" x14ac:dyDescent="0.25">
      <c r="A66" t="s">
        <v>238</v>
      </c>
    </row>
    <row r="67" spans="1:1" x14ac:dyDescent="0.25">
      <c r="A67" t="s">
        <v>239</v>
      </c>
    </row>
    <row r="68" spans="1:1" x14ac:dyDescent="0.25">
      <c r="A68" t="s">
        <v>240</v>
      </c>
    </row>
    <row r="69" spans="1:1" x14ac:dyDescent="0.25">
      <c r="A69" t="s">
        <v>241</v>
      </c>
    </row>
    <row r="70" spans="1:1" x14ac:dyDescent="0.25">
      <c r="A70" t="s">
        <v>242</v>
      </c>
    </row>
    <row r="71" spans="1:1" x14ac:dyDescent="0.25">
      <c r="A71" t="s">
        <v>189</v>
      </c>
    </row>
    <row r="72" spans="1:1" x14ac:dyDescent="0.25">
      <c r="A72" t="s">
        <v>190</v>
      </c>
    </row>
    <row r="73" spans="1:1" x14ac:dyDescent="0.25">
      <c r="A73" t="s">
        <v>191</v>
      </c>
    </row>
    <row r="74" spans="1:1" x14ac:dyDescent="0.25">
      <c r="A74" t="s">
        <v>192</v>
      </c>
    </row>
    <row r="75" spans="1:1" x14ac:dyDescent="0.25">
      <c r="A75" t="s">
        <v>193</v>
      </c>
    </row>
    <row r="76" spans="1:1" x14ac:dyDescent="0.25">
      <c r="A76" t="s">
        <v>194</v>
      </c>
    </row>
    <row r="77" spans="1:1" x14ac:dyDescent="0.25">
      <c r="A77" t="s">
        <v>195</v>
      </c>
    </row>
    <row r="78" spans="1:1" x14ac:dyDescent="0.25">
      <c r="A78" t="s">
        <v>196</v>
      </c>
    </row>
    <row r="79" spans="1:1" x14ac:dyDescent="0.25">
      <c r="A79" t="s">
        <v>197</v>
      </c>
    </row>
    <row r="80" spans="1:1" x14ac:dyDescent="0.25">
      <c r="A80" t="s">
        <v>198</v>
      </c>
    </row>
    <row r="81" spans="1:1" x14ac:dyDescent="0.25">
      <c r="A81" t="s">
        <v>199</v>
      </c>
    </row>
    <row r="82" spans="1:1" x14ac:dyDescent="0.25">
      <c r="A82" t="s">
        <v>4151</v>
      </c>
    </row>
    <row r="83" spans="1:1" x14ac:dyDescent="0.25">
      <c r="A83" t="s">
        <v>4912</v>
      </c>
    </row>
    <row r="84" spans="1:1" x14ac:dyDescent="0.25">
      <c r="A84" t="s">
        <v>200</v>
      </c>
    </row>
    <row r="85" spans="1:1" x14ac:dyDescent="0.25">
      <c r="A85" t="s">
        <v>201</v>
      </c>
    </row>
    <row r="86" spans="1:1" x14ac:dyDescent="0.25">
      <c r="A86" t="s">
        <v>202</v>
      </c>
    </row>
    <row r="87" spans="1:1" x14ac:dyDescent="0.25">
      <c r="A87" t="s">
        <v>203</v>
      </c>
    </row>
    <row r="88" spans="1:1" x14ac:dyDescent="0.25">
      <c r="A88" t="s">
        <v>204</v>
      </c>
    </row>
    <row r="89" spans="1:1" x14ac:dyDescent="0.25">
      <c r="A89" t="s">
        <v>205</v>
      </c>
    </row>
    <row r="90" spans="1:1" x14ac:dyDescent="0.25">
      <c r="A90" t="s">
        <v>206</v>
      </c>
    </row>
    <row r="91" spans="1:1" x14ac:dyDescent="0.25">
      <c r="A91" t="s">
        <v>207</v>
      </c>
    </row>
    <row r="92" spans="1:1" x14ac:dyDescent="0.25">
      <c r="A92" t="s">
        <v>208</v>
      </c>
    </row>
    <row r="93" spans="1:1" x14ac:dyDescent="0.25">
      <c r="A93" t="s">
        <v>209</v>
      </c>
    </row>
    <row r="94" spans="1:1" x14ac:dyDescent="0.25">
      <c r="A94" t="s">
        <v>210</v>
      </c>
    </row>
    <row r="95" spans="1:1" x14ac:dyDescent="0.25">
      <c r="A95" t="s">
        <v>211</v>
      </c>
    </row>
    <row r="96" spans="1:1" x14ac:dyDescent="0.25">
      <c r="A96" t="s">
        <v>212</v>
      </c>
    </row>
    <row r="97" spans="1:1" x14ac:dyDescent="0.25">
      <c r="A97" t="s">
        <v>243</v>
      </c>
    </row>
    <row r="98" spans="1:1" x14ac:dyDescent="0.25">
      <c r="A98" t="s">
        <v>213</v>
      </c>
    </row>
    <row r="99" spans="1:1" x14ac:dyDescent="0.25">
      <c r="A99" t="s">
        <v>214</v>
      </c>
    </row>
    <row r="100" spans="1:1" x14ac:dyDescent="0.25">
      <c r="A100" t="s">
        <v>215</v>
      </c>
    </row>
    <row r="101" spans="1:1" x14ac:dyDescent="0.25">
      <c r="A101" t="s">
        <v>244</v>
      </c>
    </row>
    <row r="102" spans="1:1" x14ac:dyDescent="0.25">
      <c r="A102" t="s">
        <v>216</v>
      </c>
    </row>
    <row r="103" spans="1:1" x14ac:dyDescent="0.25">
      <c r="A103" t="s">
        <v>217</v>
      </c>
    </row>
    <row r="104" spans="1:1" x14ac:dyDescent="0.25">
      <c r="A104" t="s">
        <v>218</v>
      </c>
    </row>
    <row r="105" spans="1:1" x14ac:dyDescent="0.25">
      <c r="A105" t="s">
        <v>245</v>
      </c>
    </row>
    <row r="106" spans="1:1" x14ac:dyDescent="0.25">
      <c r="A106" t="s">
        <v>246</v>
      </c>
    </row>
    <row r="107" spans="1:1" x14ac:dyDescent="0.25">
      <c r="A107" t="s">
        <v>5059</v>
      </c>
    </row>
    <row r="108" spans="1:1" x14ac:dyDescent="0.25">
      <c r="A108" t="s">
        <v>247</v>
      </c>
    </row>
    <row r="109" spans="1:1" x14ac:dyDescent="0.25">
      <c r="A109" t="s">
        <v>5060</v>
      </c>
    </row>
    <row r="110" spans="1:1" x14ac:dyDescent="0.25">
      <c r="A110" t="s">
        <v>5121</v>
      </c>
    </row>
    <row r="111" spans="1:1" x14ac:dyDescent="0.25">
      <c r="A111" t="s">
        <v>248</v>
      </c>
    </row>
    <row r="112" spans="1:1" x14ac:dyDescent="0.25">
      <c r="A112" t="s">
        <v>5061</v>
      </c>
    </row>
    <row r="113" spans="1:1" x14ac:dyDescent="0.25">
      <c r="A113" t="s">
        <v>5122</v>
      </c>
    </row>
    <row r="114" spans="1:1" x14ac:dyDescent="0.25">
      <c r="A114" t="s">
        <v>249</v>
      </c>
    </row>
    <row r="115" spans="1:1" x14ac:dyDescent="0.25">
      <c r="A115" t="s">
        <v>250</v>
      </c>
    </row>
    <row r="116" spans="1:1" x14ac:dyDescent="0.25">
      <c r="A116" t="s">
        <v>251</v>
      </c>
    </row>
    <row r="117" spans="1:1" x14ac:dyDescent="0.25">
      <c r="A117" t="s">
        <v>252</v>
      </c>
    </row>
    <row r="118" spans="1:1" x14ac:dyDescent="0.25">
      <c r="A118" t="s">
        <v>253</v>
      </c>
    </row>
    <row r="119" spans="1:1" x14ac:dyDescent="0.25">
      <c r="A119" t="s">
        <v>4913</v>
      </c>
    </row>
    <row r="120" spans="1:1" x14ac:dyDescent="0.25">
      <c r="A120" t="s">
        <v>4587</v>
      </c>
    </row>
    <row r="121" spans="1:1" x14ac:dyDescent="0.25">
      <c r="A121" t="s">
        <v>4588</v>
      </c>
    </row>
    <row r="122" spans="1:1" x14ac:dyDescent="0.25">
      <c r="A122" t="s">
        <v>4914</v>
      </c>
    </row>
    <row r="123" spans="1:1" x14ac:dyDescent="0.25">
      <c r="A123" t="s">
        <v>5093</v>
      </c>
    </row>
    <row r="124" spans="1:1" x14ac:dyDescent="0.25">
      <c r="A124" t="s">
        <v>5105</v>
      </c>
    </row>
    <row r="125" spans="1:1" x14ac:dyDescent="0.25">
      <c r="A125" t="s">
        <v>5106</v>
      </c>
    </row>
    <row r="126" spans="1:1" x14ac:dyDescent="0.25">
      <c r="A126" t="s">
        <v>5156</v>
      </c>
    </row>
    <row r="127" spans="1:1" x14ac:dyDescent="0.25">
      <c r="A127" t="s">
        <v>219</v>
      </c>
    </row>
    <row r="128" spans="1:1" x14ac:dyDescent="0.25">
      <c r="A128" t="s">
        <v>4125</v>
      </c>
    </row>
    <row r="129" spans="1:1" x14ac:dyDescent="0.25">
      <c r="A129" t="s">
        <v>5123</v>
      </c>
    </row>
    <row r="130" spans="1:1" x14ac:dyDescent="0.25">
      <c r="A130" t="s">
        <v>5124</v>
      </c>
    </row>
    <row r="131" spans="1:1" x14ac:dyDescent="0.25">
      <c r="A131" t="s">
        <v>5125</v>
      </c>
    </row>
    <row r="132" spans="1:1" x14ac:dyDescent="0.25">
      <c r="A132" t="s">
        <v>5126</v>
      </c>
    </row>
    <row r="133" spans="1:1" x14ac:dyDescent="0.25">
      <c r="A133" t="s">
        <v>5127</v>
      </c>
    </row>
    <row r="134" spans="1:1" x14ac:dyDescent="0.25">
      <c r="A134" t="s">
        <v>5157</v>
      </c>
    </row>
    <row r="135" spans="1:1" x14ac:dyDescent="0.25">
      <c r="A135" t="s">
        <v>5158</v>
      </c>
    </row>
    <row r="136" spans="1:1" x14ac:dyDescent="0.25">
      <c r="A136" t="s">
        <v>5159</v>
      </c>
    </row>
    <row r="137" spans="1:1" x14ac:dyDescent="0.25">
      <c r="A137" t="s">
        <v>5160</v>
      </c>
    </row>
    <row r="138" spans="1:1" x14ac:dyDescent="0.25">
      <c r="A138" t="s">
        <v>5161</v>
      </c>
    </row>
    <row r="139" spans="1:1" x14ac:dyDescent="0.25">
      <c r="A139" t="s">
        <v>5162</v>
      </c>
    </row>
    <row r="140" spans="1:1" x14ac:dyDescent="0.25">
      <c r="A140" t="s">
        <v>5163</v>
      </c>
    </row>
    <row r="141" spans="1:1" x14ac:dyDescent="0.25">
      <c r="A141" t="s">
        <v>220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Owen Tosh (nzx5jd)</dc:creator>
  <cp:lastModifiedBy>Nexteer Employee</cp:lastModifiedBy>
  <cp:lastPrinted>2008-07-30T16:56:41Z</cp:lastPrinted>
  <dcterms:created xsi:type="dcterms:W3CDTF">1996-10-14T23:33:28Z</dcterms:created>
  <dcterms:modified xsi:type="dcterms:W3CDTF">2016-01-22T22:23:32Z</dcterms:modified>
</cp:coreProperties>
</file>