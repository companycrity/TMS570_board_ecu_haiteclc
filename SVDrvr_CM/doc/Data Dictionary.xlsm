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revisions/userNames1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Headers.xml" ContentType="application/vnd.openxmlformats-officedocument.spreadsheetml.revisionHeaders+xml"/>
  <Override PartName="/xl/revisions/revisionLog2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12.xml" ContentType="application/vnd.openxmlformats-officedocument.spreadsheetml.revisionLog+xml"/>
  <Override PartName="/xl/revisions/revisionLog15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11.xml" ContentType="application/vnd.openxmlformats-officedocument.spreadsheetml.revisionLog+xml"/>
  <Override PartName="/xl/revisions/revisionLog10.xml" ContentType="application/vnd.openxmlformats-officedocument.spreadsheetml.revisionLog+xml"/>
  <Override PartName="/xl/revisions/revisionLog14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9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13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8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1325" yWindow="465" windowWidth="7905" windowHeight="6675" tabRatio="690"/>
  </bookViews>
  <sheets>
    <sheet name="Change Log" sheetId="1" r:id="rId1"/>
    <sheet name="Variable Dictionary" sheetId="2" r:id="rId2"/>
    <sheet name="Calibration Dictionary" sheetId="3" r:id="rId3"/>
    <sheet name="Global Constants" sheetId="4" r:id="rId4"/>
    <sheet name="NVM" sheetId="5" state="hidden" r:id="rId5"/>
    <sheet name="Layered Module List" sheetId="6" state="hidden" r:id="rId6"/>
    <sheet name="Template" sheetId="7" r:id="rId7"/>
    <sheet name="Help" sheetId="8" r:id="rId8"/>
    <sheet name="DataValidationLists" sheetId="9" state="hidden" r:id="rId9"/>
  </sheets>
  <externalReferences>
    <externalReference r:id="rId10"/>
  </externalReferences>
  <definedNames>
    <definedName name="_xlnm._FilterDatabase" localSheetId="2" hidden="1">'Calibration Dictionary'!$A$1:$Q$7</definedName>
    <definedName name="_xlnm._FilterDatabase" localSheetId="0" hidden="1">'Change Log'!$A$2:$D$4</definedName>
    <definedName name="_xlnm._FilterDatabase" localSheetId="3" hidden="1">'Global Constants'!$F$4:$BZ$193</definedName>
    <definedName name="_xlnm._FilterDatabase" localSheetId="7" hidden="1">Help!$B$1:$D$2</definedName>
    <definedName name="_xlnm._FilterDatabase" localSheetId="5" hidden="1">'Layered Module List'!$A$1:$F$73</definedName>
    <definedName name="_xlnm._FilterDatabase" localSheetId="4" hidden="1">NVM!$A$1:$J$104</definedName>
    <definedName name="_xlnm._FilterDatabase" localSheetId="1" hidden="1">'Variable Dictionary'!$A$1:$S$12</definedName>
    <definedName name="ComponentDTCMask">'[1]Calibration Dictionary'!#REF!</definedName>
    <definedName name="ComponentFltRsp">'[1]Calibration Dictionary'!#REF!</definedName>
    <definedName name="DataFlow" localSheetId="3">'Global Constants'!$F$5:$BZ$193</definedName>
    <definedName name="DataFlow">#REF!</definedName>
    <definedName name="DTCMask" localSheetId="2">'Calibration Dictionary'!#REF!</definedName>
    <definedName name="DTCMask" localSheetId="1">'Variable Dictionary'!#REF!</definedName>
    <definedName name="DTCMask">#REF!</definedName>
    <definedName name="FDDValList">DataValidationLists!$A$1:$A$60</definedName>
    <definedName name="FltRsp" localSheetId="2">'Calibration Dictionary'!#REF!</definedName>
    <definedName name="FltRsp" localSheetId="4">NVM!#REF!</definedName>
    <definedName name="FltRsp" localSheetId="1">'Variable Dictionary'!#REF!</definedName>
    <definedName name="FltRsp">#REF!</definedName>
    <definedName name="masterFddList" localSheetId="8">DataValidationLists!$A$1:$A$60</definedName>
    <definedName name="OLE_LINK11" localSheetId="2">'Calibration Dictionary'!#REF!</definedName>
    <definedName name="OLE_LINK11" localSheetId="4">NVM!#REF!</definedName>
    <definedName name="OLE_LINK11" localSheetId="1">'Variable Dictionary'!#REF!</definedName>
    <definedName name="OLE_LINK5" localSheetId="2">'Calibration Dictionary'!#REF!</definedName>
    <definedName name="OLE_LINK5" localSheetId="4">NVM!#REF!</definedName>
    <definedName name="OLE_LINK5" localSheetId="1">'Variable Dictionary'!#REF!</definedName>
    <definedName name="_xlnm.Print_Area" localSheetId="2">'Calibration Dictionary'!$A$1:$O$7</definedName>
    <definedName name="_xlnm.Print_Area" localSheetId="4">NVM!$A$1:$J$42</definedName>
    <definedName name="_xlnm.Print_Area" localSheetId="1">'Variable Dictionary'!$A$1:$P$12</definedName>
    <definedName name="_xlnm.Print_Titles" localSheetId="2">'Calibration Dictionary'!$1:$4</definedName>
    <definedName name="_xlnm.Print_Titles" localSheetId="5">'Layered Module List'!$1:$1</definedName>
    <definedName name="_xlnm.Print_Titles" localSheetId="4">NVM!$1:$4</definedName>
    <definedName name="_xlnm.Print_Titles" localSheetId="1">'Variable Dictionary'!$1:$4</definedName>
    <definedName name="Z_4133ED5E_99F2_4B74_85B8_24C66B4DC868_.wvu.Cols" localSheetId="2" hidden="1">'Calibration Dictionary'!$C:$C,'Calibration Dictionary'!$O:$O</definedName>
    <definedName name="Z_4133ED5E_99F2_4B74_85B8_24C66B4DC868_.wvu.Cols" localSheetId="5" hidden="1">'Layered Module List'!$D:$D</definedName>
    <definedName name="Z_4133ED5E_99F2_4B74_85B8_24C66B4DC868_.wvu.Cols" localSheetId="1" hidden="1">'Variable Dictionary'!$C:$C,'Variable Dictionary'!$P:$P</definedName>
    <definedName name="Z_4133ED5E_99F2_4B74_85B8_24C66B4DC868_.wvu.FilterData" localSheetId="2" hidden="1">'Calibration Dictionary'!$A$1:$Q$7</definedName>
    <definedName name="Z_4133ED5E_99F2_4B74_85B8_24C66B4DC868_.wvu.FilterData" localSheetId="0" hidden="1">'Change Log'!$A$2:$D$4</definedName>
    <definedName name="Z_4133ED5E_99F2_4B74_85B8_24C66B4DC868_.wvu.FilterData" localSheetId="3" hidden="1">'Global Constants'!$F$4:$BZ$193</definedName>
    <definedName name="Z_4133ED5E_99F2_4B74_85B8_24C66B4DC868_.wvu.FilterData" localSheetId="7" hidden="1">Help!$B$1:$D$2</definedName>
    <definedName name="Z_4133ED5E_99F2_4B74_85B8_24C66B4DC868_.wvu.FilterData" localSheetId="5" hidden="1">'Layered Module List'!$A$1:$F$73</definedName>
    <definedName name="Z_4133ED5E_99F2_4B74_85B8_24C66B4DC868_.wvu.FilterData" localSheetId="4" hidden="1">NVM!$A$1:$J$104</definedName>
    <definedName name="Z_4133ED5E_99F2_4B74_85B8_24C66B4DC868_.wvu.FilterData" localSheetId="1" hidden="1">'Variable Dictionary'!$A$1:$S$12</definedName>
    <definedName name="Z_4133ED5E_99F2_4B74_85B8_24C66B4DC868_.wvu.PrintArea" localSheetId="2" hidden="1">'Calibration Dictionary'!$A$1:$O$7</definedName>
    <definedName name="Z_4133ED5E_99F2_4B74_85B8_24C66B4DC868_.wvu.PrintArea" localSheetId="4" hidden="1">NVM!$A$1:$J$42</definedName>
    <definedName name="Z_4133ED5E_99F2_4B74_85B8_24C66B4DC868_.wvu.PrintArea" localSheetId="1" hidden="1">'Variable Dictionary'!$A$1:$P$12</definedName>
    <definedName name="Z_4133ED5E_99F2_4B74_85B8_24C66B4DC868_.wvu.PrintTitles" localSheetId="2" hidden="1">'Calibration Dictionary'!$1:$4</definedName>
    <definedName name="Z_4133ED5E_99F2_4B74_85B8_24C66B4DC868_.wvu.PrintTitles" localSheetId="5" hidden="1">'Layered Module List'!$1:$1</definedName>
    <definedName name="Z_4133ED5E_99F2_4B74_85B8_24C66B4DC868_.wvu.PrintTitles" localSheetId="4" hidden="1">NVM!$1:$4</definedName>
    <definedName name="Z_4133ED5E_99F2_4B74_85B8_24C66B4DC868_.wvu.PrintTitles" localSheetId="1" hidden="1">'Variable Dictionary'!$1:$4</definedName>
    <definedName name="Z_C44768EB_A6B9_4D4C_A778_B11850F195E2_.wvu.Cols" localSheetId="2" hidden="1">'Calibration Dictionary'!$C:$C,'Calibration Dictionary'!$O:$O</definedName>
    <definedName name="Z_C44768EB_A6B9_4D4C_A778_B11850F195E2_.wvu.Cols" localSheetId="5" hidden="1">'Layered Module List'!$D:$D</definedName>
    <definedName name="Z_C44768EB_A6B9_4D4C_A778_B11850F195E2_.wvu.Cols" localSheetId="1" hidden="1">'Variable Dictionary'!$C:$C,'Variable Dictionary'!$P:$P</definedName>
    <definedName name="Z_C44768EB_A6B9_4D4C_A778_B11850F195E2_.wvu.FilterData" localSheetId="2" hidden="1">'Calibration Dictionary'!$A$1:$Q$7</definedName>
    <definedName name="Z_C44768EB_A6B9_4D4C_A778_B11850F195E2_.wvu.FilterData" localSheetId="0" hidden="1">'Change Log'!$A$2:$D$4</definedName>
    <definedName name="Z_C44768EB_A6B9_4D4C_A778_B11850F195E2_.wvu.FilterData" localSheetId="3" hidden="1">'Global Constants'!$F$4:$BZ$193</definedName>
    <definedName name="Z_C44768EB_A6B9_4D4C_A778_B11850F195E2_.wvu.FilterData" localSheetId="7" hidden="1">Help!$B$1:$D$2</definedName>
    <definedName name="Z_C44768EB_A6B9_4D4C_A778_B11850F195E2_.wvu.FilterData" localSheetId="5" hidden="1">'Layered Module List'!$A$1:$F$73</definedName>
    <definedName name="Z_C44768EB_A6B9_4D4C_A778_B11850F195E2_.wvu.FilterData" localSheetId="4" hidden="1">NVM!$A$1:$J$104</definedName>
    <definedName name="Z_C44768EB_A6B9_4D4C_A778_B11850F195E2_.wvu.FilterData" localSheetId="1" hidden="1">'Variable Dictionary'!$A$1:$S$12</definedName>
    <definedName name="Z_C44768EB_A6B9_4D4C_A778_B11850F195E2_.wvu.PrintArea" localSheetId="2" hidden="1">'Calibration Dictionary'!$A$1:$O$7</definedName>
    <definedName name="Z_C44768EB_A6B9_4D4C_A778_B11850F195E2_.wvu.PrintArea" localSheetId="4" hidden="1">NVM!$A$1:$J$42</definedName>
    <definedName name="Z_C44768EB_A6B9_4D4C_A778_B11850F195E2_.wvu.PrintArea" localSheetId="1" hidden="1">'Variable Dictionary'!$A$1:$P$12</definedName>
    <definedName name="Z_C44768EB_A6B9_4D4C_A778_B11850F195E2_.wvu.PrintTitles" localSheetId="2" hidden="1">'Calibration Dictionary'!$1:$4</definedName>
    <definedName name="Z_C44768EB_A6B9_4D4C_A778_B11850F195E2_.wvu.PrintTitles" localSheetId="5" hidden="1">'Layered Module List'!$1:$1</definedName>
    <definedName name="Z_C44768EB_A6B9_4D4C_A778_B11850F195E2_.wvu.PrintTitles" localSheetId="4" hidden="1">NVM!$1:$4</definedName>
    <definedName name="Z_C44768EB_A6B9_4D4C_A778_B11850F195E2_.wvu.PrintTitles" localSheetId="1" hidden="1">'Variable Dictionary'!$1:$4</definedName>
    <definedName name="Z_CDE91C1B_E8DA_4970_958C_BB86FE77ABD6_.wvu.Cols" localSheetId="2" hidden="1">'Calibration Dictionary'!$C:$C,'Calibration Dictionary'!$O:$O</definedName>
    <definedName name="Z_CDE91C1B_E8DA_4970_958C_BB86FE77ABD6_.wvu.Cols" localSheetId="5" hidden="1">'Layered Module List'!$D:$D</definedName>
    <definedName name="Z_CDE91C1B_E8DA_4970_958C_BB86FE77ABD6_.wvu.Cols" localSheetId="1" hidden="1">'Variable Dictionary'!$C:$C,'Variable Dictionary'!$P:$P</definedName>
    <definedName name="Z_CDE91C1B_E8DA_4970_958C_BB86FE77ABD6_.wvu.FilterData" localSheetId="2" hidden="1">'Calibration Dictionary'!$A$1:$Q$7</definedName>
    <definedName name="Z_CDE91C1B_E8DA_4970_958C_BB86FE77ABD6_.wvu.FilterData" localSheetId="0" hidden="1">'Change Log'!$A$2:$D$4</definedName>
    <definedName name="Z_CDE91C1B_E8DA_4970_958C_BB86FE77ABD6_.wvu.FilterData" localSheetId="3" hidden="1">'Global Constants'!$F$4:$BZ$193</definedName>
    <definedName name="Z_CDE91C1B_E8DA_4970_958C_BB86FE77ABD6_.wvu.FilterData" localSheetId="7" hidden="1">Help!$B$1:$D$2</definedName>
    <definedName name="Z_CDE91C1B_E8DA_4970_958C_BB86FE77ABD6_.wvu.FilterData" localSheetId="5" hidden="1">'Layered Module List'!$A$1:$F$73</definedName>
    <definedName name="Z_CDE91C1B_E8DA_4970_958C_BB86FE77ABD6_.wvu.FilterData" localSheetId="4" hidden="1">NVM!$A$1:$J$104</definedName>
    <definedName name="Z_CDE91C1B_E8DA_4970_958C_BB86FE77ABD6_.wvu.FilterData" localSheetId="1" hidden="1">'Variable Dictionary'!$A$1:$S$12</definedName>
    <definedName name="Z_CDE91C1B_E8DA_4970_958C_BB86FE77ABD6_.wvu.PrintArea" localSheetId="2" hidden="1">'Calibration Dictionary'!$A$1:$O$7</definedName>
    <definedName name="Z_CDE91C1B_E8DA_4970_958C_BB86FE77ABD6_.wvu.PrintArea" localSheetId="4" hidden="1">NVM!$A$1:$J$42</definedName>
    <definedName name="Z_CDE91C1B_E8DA_4970_958C_BB86FE77ABD6_.wvu.PrintArea" localSheetId="1" hidden="1">'Variable Dictionary'!$A$1:$P$12</definedName>
    <definedName name="Z_CDE91C1B_E8DA_4970_958C_BB86FE77ABD6_.wvu.PrintTitles" localSheetId="2" hidden="1">'Calibration Dictionary'!$1:$4</definedName>
    <definedName name="Z_CDE91C1B_E8DA_4970_958C_BB86FE77ABD6_.wvu.PrintTitles" localSheetId="5" hidden="1">'Layered Module List'!$1:$1</definedName>
    <definedName name="Z_CDE91C1B_E8DA_4970_958C_BB86FE77ABD6_.wvu.PrintTitles" localSheetId="4" hidden="1">NVM!$1:$4</definedName>
    <definedName name="Z_CDE91C1B_E8DA_4970_958C_BB86FE77ABD6_.wvu.PrintTitles" localSheetId="1" hidden="1">'Variable Dictionary'!$1:$4</definedName>
  </definedNames>
  <calcPr calcId="145621"/>
  <customWorkbookViews>
    <customWorkbookView name="Reddy, Srikanth - Personal View" guid="{CDE91C1B-E8DA-4970-958C-BB86FE77ABD6}" mergeInterval="0" personalView="1" maximized="1" windowWidth="1366" windowHeight="509" tabRatio="690" activeSheetId="1"/>
    <customWorkbookView name="Kaur, Lovepreet - Personal View" guid="{4133ED5E-99F2-4B74-85B8-24C66B4DC868}" mergeInterval="0" personalView="1" maximized="1" windowWidth="1440" windowHeight="675" tabRatio="690" activeSheetId="3"/>
    <customWorkbookView name="Sengottaiyan, Selva - Personal View" guid="{C44768EB-A6B9-4D4C-A778-B11850F195E2}" mergeInterval="0" personalView="1" maximized="1" windowWidth="1366" windowHeight="509" tabRatio="690" activeSheetId="3"/>
  </customWorkbookViews>
</workbook>
</file>

<file path=xl/calcChain.xml><?xml version="1.0" encoding="utf-8"?>
<calcChain xmlns="http://schemas.openxmlformats.org/spreadsheetml/2006/main">
  <c r="M9" i="2" l="1"/>
  <c r="L9" i="2"/>
  <c r="K30" i="2"/>
  <c r="A1" i="1" l="1"/>
  <c r="A1" i="2" s="1"/>
  <c r="L32" i="2"/>
  <c r="K32" i="2"/>
  <c r="L30" i="2"/>
  <c r="S3" i="3"/>
  <c r="S2" i="3"/>
  <c r="S1" i="3"/>
  <c r="A1" i="3" l="1"/>
  <c r="A1" i="4"/>
  <c r="A1" i="5"/>
</calcChain>
</file>

<file path=xl/comments1.xml><?xml version="1.0" encoding="utf-8"?>
<comments xmlns="http://schemas.openxmlformats.org/spreadsheetml/2006/main">
  <authors>
    <author>Terry Smith</author>
    <author>Owen Tosh (nzx5jd)</author>
  </authors>
  <commentList>
    <comment ref="F4" authorId="0" guid="{334307E4-10F9-4E28-B5C5-E5679C2D204F}">
      <text>
        <r>
          <rPr>
            <b/>
            <sz val="10"/>
            <color indexed="81"/>
            <rFont val="Tahoma"/>
            <family val="2"/>
          </rPr>
          <t>[I]nput
[O]uput
[M]oduleInternal
[D]isplay
[N]onVolatileMemory</t>
        </r>
      </text>
    </comment>
    <comment ref="H4" authorId="1" guid="{C9CA794E-2BEA-4905-9FCC-CCA2D77BCC73}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mments2.xml><?xml version="1.0" encoding="utf-8"?>
<comments xmlns="http://schemas.openxmlformats.org/spreadsheetml/2006/main">
  <authors>
    <author>Owen Tosh (nzx5jd)</author>
  </authors>
  <commentList>
    <comment ref="H4" authorId="0" guid="{5E02CCEA-1348-4FBB-BDA9-BEE1C79AD664}">
      <text>
        <r>
          <rPr>
            <sz val="8"/>
            <color indexed="81"/>
            <rFont val="Tahoma"/>
            <family val="2"/>
          </rPr>
          <t>1X, 1Y, 1Z, 1I, 1BS
2X, 2Y, 2Z, 2I, 2BS
etc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 refreshOnLoad="1" saveData="1">
    <webPr sourceData="1" parsePre="1" consecutive="1" xl2000="1" url="http://usmisag-ww12/eTool/DataDictionary/masterFddList.txt" htmlTables="1"/>
  </connection>
</connections>
</file>

<file path=xl/sharedStrings.xml><?xml version="1.0" encoding="utf-8"?>
<sst xmlns="http://schemas.openxmlformats.org/spreadsheetml/2006/main" count="561" uniqueCount="320">
  <si>
    <t>P</t>
  </si>
  <si>
    <t>extern &lt;TYPE&gt;&lt;TAB&gt;&lt;NAME&gt;;</t>
  </si>
  <si>
    <t>#pragma DATA_SECTION(&lt;ROOTNAME&gt;, "&lt;SEGMENT&gt;");
&lt;TYPE&gt; &lt;NAME&gt;;</t>
  </si>
  <si>
    <t>Calibration Constants:</t>
  </si>
  <si>
    <t>EOL Constants:</t>
  </si>
  <si>
    <t>Global (Embedded) Constants:</t>
  </si>
  <si>
    <t>Header:</t>
  </si>
  <si>
    <t>Source:</t>
  </si>
  <si>
    <t>Tuning:</t>
  </si>
  <si>
    <t>Data File:</t>
  </si>
  <si>
    <t xml:space="preserve">     Program Memory Diagnostic</t>
  </si>
  <si>
    <t xml:space="preserve">     Motor Position Initialization</t>
  </si>
  <si>
    <t>Used in Module List</t>
  </si>
  <si>
    <t xml:space="preserve">     Smith</t>
  </si>
  <si>
    <t>Variable Information (Global Variables Only)</t>
  </si>
  <si>
    <t>Module</t>
  </si>
  <si>
    <t>Layer Owner</t>
  </si>
  <si>
    <t>MDD</t>
  </si>
  <si>
    <t>Source File Name</t>
  </si>
  <si>
    <t>Additional Source Files</t>
  </si>
  <si>
    <t xml:space="preserve">      ADC</t>
  </si>
  <si>
    <t xml:space="preserve">      ADC Diagnostics</t>
  </si>
  <si>
    <t xml:space="preserve">      Data Memory Verification</t>
  </si>
  <si>
    <t xml:space="preserve">      Motor Current Driver</t>
  </si>
  <si>
    <t xml:space="preserve">      Motor Driver Diagnostics</t>
  </si>
  <si>
    <t xml:space="preserve">      Motor Position Driver</t>
  </si>
  <si>
    <t xml:space="preserve">      Phase Feedback Capture</t>
  </si>
  <si>
    <t xml:space="preserve">      Powerdown Control</t>
  </si>
  <si>
    <t xml:space="preserve">      Primary Shutdown Control</t>
  </si>
  <si>
    <t xml:space="preserve">      Program Flow</t>
  </si>
  <si>
    <t xml:space="preserve">      PWM Duty Cycle</t>
  </si>
  <si>
    <t xml:space="preserve">      Redundant Memory Check</t>
  </si>
  <si>
    <t xml:space="preserve">      Redundant Rapid Shutdown</t>
  </si>
  <si>
    <t xml:space="preserve">      Scheduler</t>
  </si>
  <si>
    <t xml:space="preserve">      Stack Monitor</t>
  </si>
  <si>
    <t xml:space="preserve">      State Dependent Task List</t>
  </si>
  <si>
    <t xml:space="preserve">      System Boot &amp; Startup</t>
  </si>
  <si>
    <t xml:space="preserve">      System Control</t>
  </si>
  <si>
    <t xml:space="preserve">      Temperature Sensor Diagnostic</t>
  </si>
  <si>
    <t xml:space="preserve">      Unused Interrupt Handler</t>
  </si>
  <si>
    <t xml:space="preserve">      Utilization Monitor</t>
  </si>
  <si>
    <t xml:space="preserve">      Watchdog Dirver</t>
  </si>
  <si>
    <t xml:space="preserve">      Battery Voltage</t>
  </si>
  <si>
    <t xml:space="preserve">      Battery Voltage Diagnostics</t>
  </si>
  <si>
    <t xml:space="preserve">      Diagnostic CTC Manager</t>
  </si>
  <si>
    <t xml:space="preserve">      Diagnostic Manager</t>
  </si>
  <si>
    <t xml:space="preserve">      Diagnostics Application Services</t>
  </si>
  <si>
    <t>Revision</t>
  </si>
  <si>
    <t>Author</t>
  </si>
  <si>
    <t>Date</t>
  </si>
  <si>
    <t>Change Description</t>
  </si>
  <si>
    <t>Resolution</t>
  </si>
  <si>
    <t>Units</t>
  </si>
  <si>
    <t>min</t>
  </si>
  <si>
    <t>max</t>
  </si>
  <si>
    <t>Layer 2</t>
  </si>
  <si>
    <t>Assigned Variable Name</t>
  </si>
  <si>
    <t>Description</t>
  </si>
  <si>
    <t>Layer 4</t>
  </si>
  <si>
    <t xml:space="preserve">      Serial Communications Services</t>
  </si>
  <si>
    <t xml:space="preserve">      States and Modes</t>
  </si>
  <si>
    <t xml:space="preserve">      Tuning Select</t>
  </si>
  <si>
    <t xml:space="preserve">      Vehicle Power Mode</t>
  </si>
  <si>
    <t xml:space="preserve">      Vehicle Speed</t>
  </si>
  <si>
    <t xml:space="preserve">      Controller Polarity</t>
  </si>
  <si>
    <t xml:space="preserve">      Current Estimation</t>
  </si>
  <si>
    <t xml:space="preserve">      Handwheel Velocity</t>
  </si>
  <si>
    <t xml:space="preserve">      Inverse Motor Model</t>
  </si>
  <si>
    <t xml:space="preserve">      Motor Temperature Estimation</t>
  </si>
  <si>
    <t xml:space="preserve">      Motor Torque Limit</t>
  </si>
  <si>
    <t xml:space="preserve">      Output Reasonableness Dianostic</t>
  </si>
  <si>
    <t xml:space="preserve">      Parameter Estimation</t>
  </si>
  <si>
    <t xml:space="preserve">      EOL TorqueTest</t>
  </si>
  <si>
    <t xml:space="preserve">      Flash Boot Loader</t>
  </si>
  <si>
    <t xml:space="preserve">      Flight Recorder</t>
  </si>
  <si>
    <t xml:space="preserve">      Handwheel Position</t>
  </si>
  <si>
    <t xml:space="preserve">      Handwheel Torque</t>
  </si>
  <si>
    <t xml:space="preserve">      Motor Control Output Conversion</t>
  </si>
  <si>
    <t>Will clear all autofilters on the Global Data Dictionary</t>
  </si>
  <si>
    <t>Layer 3</t>
  </si>
  <si>
    <t>Layer 5</t>
  </si>
  <si>
    <t>Y</t>
  </si>
  <si>
    <t>N</t>
  </si>
  <si>
    <t>Range</t>
  </si>
  <si>
    <t>Achieved in Software Design</t>
  </si>
  <si>
    <t>Memory Segment</t>
  </si>
  <si>
    <t>Constant Name</t>
  </si>
  <si>
    <t xml:space="preserve">      Motor Position Diagnostics</t>
  </si>
  <si>
    <t xml:space="preserve">      Motor Velocity</t>
  </si>
  <si>
    <t xml:space="preserve">      Serial Communications I/O</t>
  </si>
  <si>
    <t>Type</t>
  </si>
  <si>
    <t>Calibration Information</t>
  </si>
  <si>
    <t>Tuning Set</t>
  </si>
  <si>
    <t>Dafault Value</t>
  </si>
  <si>
    <t>Source MDD</t>
  </si>
  <si>
    <t xml:space="preserve">      DC Link Power Control</t>
  </si>
  <si>
    <t xml:space="preserve">      Quadrant and rate Detection</t>
  </si>
  <si>
    <t xml:space="preserve">      Active Pull Compensation</t>
  </si>
  <si>
    <t xml:space="preserve">      Assist</t>
  </si>
  <si>
    <t xml:space="preserve">      Damping</t>
  </si>
  <si>
    <t xml:space="preserve">      Duty Cycle</t>
  </si>
  <si>
    <t xml:space="preserve">      Kinematic Integrity Diagnostic</t>
  </si>
  <si>
    <t xml:space="preserve">      Long Term Vehicle Speed Diagnostic</t>
  </si>
  <si>
    <t xml:space="preserve">Formate and prepares to print the Data Flow Worksheet pages.  </t>
  </si>
  <si>
    <t>Uints</t>
  </si>
  <si>
    <t>eCal:</t>
  </si>
  <si>
    <t xml:space="preserve">      Max Assist Limit</t>
  </si>
  <si>
    <t xml:space="preserve">      Return</t>
  </si>
  <si>
    <t xml:space="preserve">      State Output Control</t>
  </si>
  <si>
    <t xml:space="preserve">      Torque Output</t>
  </si>
  <si>
    <t xml:space="preserve">      DSP Computational Integrity</t>
  </si>
  <si>
    <t xml:space="preserve">      DSP SPI driver</t>
  </si>
  <si>
    <t xml:space="preserve">      Event Manager Driver</t>
  </si>
  <si>
    <t xml:space="preserve">      External Memory Driver</t>
  </si>
  <si>
    <t xml:space="preserve">      Flash Programming Exec</t>
  </si>
  <si>
    <t xml:space="preserve">      GPIO</t>
  </si>
  <si>
    <t xml:space="preserve">      Illegal OpCode Handler</t>
  </si>
  <si>
    <t xml:space="preserve">      Interrupt Handler</t>
  </si>
  <si>
    <t>Ctrl-q</t>
  </si>
  <si>
    <t>Will clear all Data Flow Diagram pages from the Data Dictionary.  This will make the file smaller for archiving.</t>
  </si>
  <si>
    <t>Macro</t>
  </si>
  <si>
    <t>Short cut</t>
  </si>
  <si>
    <t>Sescription</t>
  </si>
  <si>
    <t>ClearDataDictFilter</t>
  </si>
  <si>
    <t>DFD_Delete</t>
  </si>
  <si>
    <t>DFD_Create</t>
  </si>
  <si>
    <t>Creates a Series of Data Flow Worksheet Pages from the information in the data dictionary.  If Data Flow Worksheet pages already exist, they will be deleted first.</t>
  </si>
  <si>
    <t>DFD_Print</t>
  </si>
  <si>
    <t xml:space="preserve">      Motor Velocity Tachometer</t>
  </si>
  <si>
    <t>Engineering Value</t>
  </si>
  <si>
    <t>#define &lt;NAME&gt;&lt;COL40&gt;&lt;VALUE&gt;</t>
  </si>
  <si>
    <t>DFD Page</t>
  </si>
  <si>
    <t>Standard Reference Name</t>
  </si>
  <si>
    <t>OEM</t>
  </si>
  <si>
    <t>Min</t>
  </si>
  <si>
    <t>Max</t>
  </si>
  <si>
    <t>I</t>
  </si>
  <si>
    <t>Variable Information</t>
  </si>
  <si>
    <t>O</t>
  </si>
  <si>
    <t>M</t>
  </si>
  <si>
    <t>Software Variable Name</t>
  </si>
  <si>
    <t>D</t>
  </si>
  <si>
    <t>Variables</t>
  </si>
  <si>
    <t>Address</t>
  </si>
  <si>
    <t>Size (Bytes)</t>
  </si>
  <si>
    <t>Component</t>
  </si>
  <si>
    <t>Data Dictionary Type:</t>
  </si>
  <si>
    <t>Initalization Value</t>
  </si>
  <si>
    <t>Unit Test Tolerance (+/-)</t>
  </si>
  <si>
    <t>&lt;- Global Program / Module Name</t>
  </si>
  <si>
    <t>Software Calibration Name</t>
  </si>
  <si>
    <t>Calibrations</t>
  </si>
  <si>
    <t>FDD Reference</t>
  </si>
  <si>
    <t>2.2a</t>
  </si>
  <si>
    <t>Tuning ID:</t>
  </si>
  <si>
    <t>Index Range:</t>
  </si>
  <si>
    <t>extern CONST(&lt;AUTOSAR_TYPE&gt;, CAL_CONST) &lt;NAME&gt;;</t>
  </si>
  <si>
    <t>#pragma DATA_SECTION(&lt;ROOTNAME&gt;, ".&lt;SEGMENT&gt;");
CONST(&lt;AUTOSAR_TYPE&gt;, CAL_CONST) &lt;NAME&gt; = &lt;VALUE&gt;;</t>
  </si>
  <si>
    <t>&lt;NAME&gt;</t>
  </si>
  <si>
    <t>A2L Name</t>
  </si>
  <si>
    <t>Measurement:</t>
  </si>
  <si>
    <t>rte_&lt;SWC&gt;_&lt;NAME&gt;</t>
  </si>
  <si>
    <t>Usage</t>
  </si>
  <si>
    <t>Default Value</t>
  </si>
  <si>
    <t>Graph Settings</t>
  </si>
  <si>
    <t>SER</t>
  </si>
  <si>
    <t>FDD01B CurrentMeasurement</t>
  </si>
  <si>
    <t>SFD01B CurrentMeasurement</t>
  </si>
  <si>
    <t>FDD02B MotorVelocity</t>
  </si>
  <si>
    <t>SFD02B MotorVelocity</t>
  </si>
  <si>
    <t>FDD04 HandwheelTorqueMeasurement</t>
  </si>
  <si>
    <t>SFD04 SenseHandwheelTorque</t>
  </si>
  <si>
    <t>FDD04A AnalogHandwheelTorqueMeasurement</t>
  </si>
  <si>
    <t>FDD04B DigitalHandwheelTorqueFunction</t>
  </si>
  <si>
    <t>FDD05B SensorlessAbsoluteHandwheelPositionFunction</t>
  </si>
  <si>
    <t>FDD05C AbsoluteHandwheelPositionFunction</t>
  </si>
  <si>
    <t>FDD05D SensorlessAbsoluteHandwheelPositionFunction</t>
  </si>
  <si>
    <t>FDD06B MotorPositionMeasurement</t>
  </si>
  <si>
    <t>SFD06B MotorPositionMeasurement</t>
  </si>
  <si>
    <t>FDD08B BatterySwitchedVoltage</t>
  </si>
  <si>
    <t>FDD10C StatesandModes</t>
  </si>
  <si>
    <t>FDD15C SineVoltageGenerationDrive</t>
  </si>
  <si>
    <t>FDD15D SineVoltageGenerationDrive</t>
  </si>
  <si>
    <t>FDD18 ShutdownMechanisms</t>
  </si>
  <si>
    <t>FDD19 TemporalMonitor</t>
  </si>
  <si>
    <t>FDD20C TurnsCounterColumnPositionSensor</t>
  </si>
  <si>
    <t>FDD25 PolarityAssignments</t>
  </si>
  <si>
    <t>FDD28 SafetyCriticalSignalFlowFunction</t>
  </si>
  <si>
    <t>FDD33C ADCUseandConfiguration</t>
  </si>
  <si>
    <t>FDD34B NHETFunction</t>
  </si>
  <si>
    <t>FDD37B Diagnostic Manager</t>
  </si>
  <si>
    <t>FDD40A TorqueOverlayInterfacesandParkAssistFunction</t>
  </si>
  <si>
    <t>FDD47 PhaseDisconnect</t>
  </si>
  <si>
    <t>SF01 Assist</t>
  </si>
  <si>
    <t>SFD01 AssistCommandFunctions</t>
  </si>
  <si>
    <t>SF02 Return</t>
  </si>
  <si>
    <t>SFD02 ReturnCommandFunctions</t>
  </si>
  <si>
    <t>SF03 Damping</t>
  </si>
  <si>
    <t>SFD03 DampingCommandFunctions</t>
  </si>
  <si>
    <t>SF04 AssistSummationandLimiting</t>
  </si>
  <si>
    <t>SFD04 AssistSummationandLimitingFunction</t>
  </si>
  <si>
    <t>SF05 StateOutputControl</t>
  </si>
  <si>
    <t>SF06 TemperatureEstimation</t>
  </si>
  <si>
    <t>SF08 ElectricPowerConsumption</t>
  </si>
  <si>
    <t>SF10 RackLoadEstimation</t>
  </si>
  <si>
    <t>SF11 LearnedEndofTravelLimits</t>
  </si>
  <si>
    <t>SF12 HysteresisCompensation</t>
  </si>
  <si>
    <t>SF13 ActivePullCompensation</t>
  </si>
  <si>
    <t>SF14 InertiaCompensationFrequencyDependentDamping</t>
  </si>
  <si>
    <t>SF15 WheelImbalanceRejection</t>
  </si>
  <si>
    <t>SF16 VehicleSpeedLimiting</t>
  </si>
  <si>
    <t>SF17 HighLoadStallThermalManagement</t>
  </si>
  <si>
    <t>SF18 EndofTravelActuatorManagement</t>
  </si>
  <si>
    <t>SF19 PowerLimitFunction</t>
  </si>
  <si>
    <t>SF20 PositionTrackingServo</t>
  </si>
  <si>
    <t>SF21 GeneratePositionTrajectory</t>
  </si>
  <si>
    <t>SF22 GenerateOscillationTrajectory</t>
  </si>
  <si>
    <t>SF24 GenerateLocktoLockMotionToDeterminePinionCenter</t>
  </si>
  <si>
    <t>SF25 HysteresisAdd</t>
  </si>
  <si>
    <t>SF26 ControlledDisableShutdown</t>
  </si>
  <si>
    <t>SF28 HighFrequencyAssist</t>
  </si>
  <si>
    <t>SF29 StabilityCompensation</t>
  </si>
  <si>
    <t>SF30 TorqueBasedInertiaCompensation</t>
  </si>
  <si>
    <t>SF99 MotorControl</t>
  </si>
  <si>
    <t xml:space="preserve">None </t>
  </si>
  <si>
    <t>uint16</t>
  </si>
  <si>
    <t>RamCalSeg</t>
  </si>
  <si>
    <t>k_DitherLPFKn_Cnt_u16</t>
  </si>
  <si>
    <t>Initial version</t>
  </si>
  <si>
    <t>Cnts</t>
  </si>
  <si>
    <t>CDD_SeedPWMDither_Cnt_M_u16</t>
  </si>
  <si>
    <t>CDD_DitherFlt1SV_Cnt_M_u16</t>
  </si>
  <si>
    <t>CDD_DitherFlt2SV_Cnt_M_u16</t>
  </si>
  <si>
    <t>PrevDCPhsAComp_Cnt_M_u16p0</t>
  </si>
  <si>
    <t>PrevDCPhsBComp_Cnt_M_u16p0</t>
  </si>
  <si>
    <t>PrevDCPhsCComp_Cnt_M_u16p0</t>
  </si>
  <si>
    <t>DCPhsAComp_Cnt_M_u16p0</t>
  </si>
  <si>
    <t>DCPhsBComp_Cnt_M_u16p0</t>
  </si>
  <si>
    <t>DCPhsCComp_Cnt_M_u16p0</t>
  </si>
  <si>
    <t>PrevPWMPeriod_Cnt_M_u16</t>
  </si>
  <si>
    <t>PWMPeriod_Cnt_M_u16</t>
  </si>
  <si>
    <t>CDD_CDDDataAccessBfr_Cnt_G_u16</t>
  </si>
  <si>
    <t>CDD_PWMDutyCycleASum_Cnt_G_u32[2]</t>
  </si>
  <si>
    <t>CDD_PWMDutyCycleBSum_Cnt_G_u32[2]</t>
  </si>
  <si>
    <t>CDD_PWMDutyCycleCSum_Cnt_G_u32[2]</t>
  </si>
  <si>
    <t>CDD_PWMPeriodSum_Cnt_G_u32[2]</t>
  </si>
  <si>
    <t>CDD_PhsReasA_Cnt_G_u16[2]</t>
  </si>
  <si>
    <t>CDD_PhsReasB_Cnt_G_u16[2]</t>
  </si>
  <si>
    <t>CDD_PhsReasC_Cnt_G_u16[2]</t>
  </si>
  <si>
    <t>CDD_PhaseAdvFinal_Cnt_G_u16[2]</t>
  </si>
  <si>
    <t>CDD_AppDataFwdPthAccessBfr_Cnt_G_u16</t>
  </si>
  <si>
    <t>CDD_CommOffset_Cnt_G_u16[2]</t>
  </si>
  <si>
    <t>CDD_MtrPosElec_Rev_G_u0p16[2]</t>
  </si>
  <si>
    <t>CDD_AppDataFbkPthAccessBfr_Cnt_G_u16</t>
  </si>
  <si>
    <t>CDD_ModIdxFinal_Uls_G_u16p16[2]</t>
  </si>
  <si>
    <t>CDD_PwmDisable_Cnt_G_lgc[2]</t>
  </si>
  <si>
    <t>uint32</t>
  </si>
  <si>
    <t>u16p16_T</t>
  </si>
  <si>
    <t>uint8</t>
  </si>
  <si>
    <t>u0p16_T</t>
  </si>
  <si>
    <t>u16p0_T</t>
  </si>
  <si>
    <t>Rev</t>
  </si>
  <si>
    <t>Cnt</t>
  </si>
  <si>
    <t>Filter time constant of PWM dither frequency</t>
  </si>
  <si>
    <t>PWM_Duty_Cycle_A</t>
  </si>
  <si>
    <t>PWM_Duty_Cycle_B</t>
  </si>
  <si>
    <t>PWM_Duty_Cycle_C</t>
  </si>
  <si>
    <t>PWM_Period</t>
  </si>
  <si>
    <t>Number of high res NHET Counts for the current period</t>
  </si>
  <si>
    <t>z-1 Number of On-Time high res NHET Counts for  phase</t>
  </si>
  <si>
    <t>Number of On-Time high res NHET Counts for  phase</t>
  </si>
  <si>
    <t>CommutationVoltageOffset</t>
  </si>
  <si>
    <t>phy_PhsAV</t>
  </si>
  <si>
    <t>phy_PhsBV</t>
  </si>
  <si>
    <t>phy_PhsCV</t>
  </si>
  <si>
    <t>z-1 Number of high res NHET Counts for the current period</t>
  </si>
  <si>
    <t>Deprecated from version FDD 15C 001</t>
  </si>
  <si>
    <t>Deprecated from version FDD 15C 001. Applied voltage to the motor phase</t>
  </si>
  <si>
    <t>Sum of the phase on time. Intermediate unnamed signal in the FDD.</t>
  </si>
  <si>
    <t>Data access semaphore to provide data access consistency for Application to Motor Control ISR communication.</t>
  </si>
  <si>
    <t>Modulation_Index</t>
  </si>
  <si>
    <t>Phase_Advance</t>
  </si>
  <si>
    <t>Duty cycle command as a percentage of Vecu</t>
  </si>
  <si>
    <t>Phase angle offset of the motor voltage command with respect to the motor BEMF.</t>
  </si>
  <si>
    <t>Corrected_MtrPos</t>
  </si>
  <si>
    <t>BEMF aligned motor position</t>
  </si>
  <si>
    <t>Amount of phase offset applied to the three phase voltages</t>
  </si>
  <si>
    <t>PrevLowerEnd_Cnt_M_u16[4]</t>
  </si>
  <si>
    <t>{0,0,0,0}</t>
  </si>
  <si>
    <t>PwmCdd</t>
  </si>
  <si>
    <t>CDD_PhaseOffset_Rev_M_u0p16[3]</t>
  </si>
  <si>
    <t>Selva</t>
  </si>
  <si>
    <t>updated for ranges UTP</t>
  </si>
  <si>
    <t>{0,0,0}</t>
  </si>
  <si>
    <t>{0,0}</t>
  </si>
  <si>
    <t>{FALSE,FALSE}</t>
  </si>
  <si>
    <t>N/A</t>
  </si>
  <si>
    <t>0 </t>
  </si>
  <si>
    <t>Deleted the Dead time compensation related global variables</t>
  </si>
  <si>
    <t>{0,120,240}</t>
  </si>
  <si>
    <t>{0,120,240},{30,150,270}</t>
  </si>
  <si>
    <t>DCPhsBComp_Cnt_u16p0</t>
  </si>
  <si>
    <t>DCPhsBComp</t>
  </si>
  <si>
    <t>DCPhsCComp_Cnt_u16p0</t>
  </si>
  <si>
    <t>DCPhsCComp</t>
  </si>
  <si>
    <t>CDD_DCPhsComp_Cnt_G_u16[3]</t>
  </si>
  <si>
    <t>Corrected ranges for 'CDD_PhaseOffset_Rev_M_u0p16' and 'CDD_MtrPosElec_Rev_G_u0p16' and added few output variables.</t>
  </si>
  <si>
    <t>k_PWMBaseFrequency_Hz</t>
  </si>
  <si>
    <t>k_PWMBaseFrequency_Hz_u16</t>
  </si>
  <si>
    <t>k_DitherLPFKn_Cnt</t>
  </si>
  <si>
    <t xml:space="preserve">Motor Control ISR Trigger rate </t>
  </si>
  <si>
    <t>Hz</t>
  </si>
  <si>
    <t>LK</t>
  </si>
  <si>
    <t>PwmCdd_PWMPrdMax_Cnt_M_u16</t>
  </si>
  <si>
    <t>PwmCdd_PWMPrdMin_Cnt_M_u16</t>
  </si>
  <si>
    <t>PwmCdd_PWMPrdRange_Cnt_M_u16</t>
  </si>
  <si>
    <t>Add cal k_PWMBaseFrequency_Hz and variables</t>
  </si>
  <si>
    <t>SR</t>
  </si>
  <si>
    <t>Module variable range updates</t>
  </si>
  <si>
    <t>CDD_PWMPeriod_Cnt_G_u16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</si>
</sst>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$&quot;#,##0_);[Red]\(&quot;$&quot;#,##0\)"/>
  </numFmts>
  <fonts count="19" x14ac:knownFonts="1">
    <font>
      <sz val="10"/>
      <name val="Arial"/>
    </font>
    <font>
      <sz val="8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4"/>
      <color indexed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sz val="8"/>
      <color indexed="10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8"/>
      <color indexed="8"/>
      <name val="Arial"/>
      <family val="2"/>
    </font>
    <font>
      <sz val="10"/>
      <color indexed="47"/>
      <name val="Arial"/>
      <family val="2"/>
    </font>
    <font>
      <b/>
      <sz val="10"/>
      <color indexed="81"/>
      <name val="Tahoma"/>
      <family val="2"/>
    </font>
    <font>
      <sz val="8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6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Font="0" applyAlignment="0">
      <alignment horizontal="center"/>
    </xf>
    <xf numFmtId="0" fontId="4" fillId="0" borderId="0"/>
  </cellStyleXfs>
  <cellXfs count="305">
    <xf numFmtId="0" fontId="0" fillId="0" borderId="0" xfId="0"/>
    <xf numFmtId="0" fontId="4" fillId="0" borderId="0" xfId="0" applyFont="1" applyFill="1" applyAlignment="1"/>
    <xf numFmtId="0" fontId="1" fillId="0" borderId="0" xfId="0" applyFont="1" applyFill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15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49" fontId="0" fillId="0" borderId="2" xfId="0" quotePrefix="1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left"/>
    </xf>
    <xf numFmtId="49" fontId="0" fillId="0" borderId="4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6" fillId="0" borderId="8" xfId="0" applyFont="1" applyBorder="1" applyAlignment="1">
      <alignment wrapText="1"/>
    </xf>
    <xf numFmtId="0" fontId="6" fillId="0" borderId="9" xfId="0" applyFont="1" applyBorder="1" applyAlignment="1">
      <alignment horizontal="center" wrapText="1"/>
    </xf>
    <xf numFmtId="0" fontId="6" fillId="0" borderId="9" xfId="0" applyFont="1" applyBorder="1" applyAlignment="1">
      <alignment horizontal="left" wrapText="1"/>
    </xf>
    <xf numFmtId="49" fontId="6" fillId="0" borderId="9" xfId="0" applyNumberFormat="1" applyFont="1" applyBorder="1" applyAlignment="1">
      <alignment horizontal="center" wrapText="1"/>
    </xf>
    <xf numFmtId="0" fontId="6" fillId="0" borderId="9" xfId="0" applyFont="1" applyBorder="1" applyAlignment="1">
      <alignment wrapText="1"/>
    </xf>
    <xf numFmtId="0" fontId="6" fillId="0" borderId="10" xfId="0" applyFont="1" applyBorder="1" applyAlignment="1">
      <alignment wrapText="1"/>
    </xf>
    <xf numFmtId="0" fontId="0" fillId="0" borderId="3" xfId="0" applyBorder="1" applyAlignment="1">
      <alignment wrapText="1"/>
    </xf>
    <xf numFmtId="0" fontId="4" fillId="0" borderId="0" xfId="0" applyFont="1" applyFill="1" applyAlignment="1">
      <alignment horizontal="center" vertical="center"/>
    </xf>
    <xf numFmtId="0" fontId="3" fillId="0" borderId="11" xfId="0" applyFont="1" applyFill="1" applyBorder="1" applyAlignment="1">
      <alignment wrapText="1"/>
    </xf>
    <xf numFmtId="0" fontId="3" fillId="0" borderId="12" xfId="0" applyFont="1" applyFill="1" applyBorder="1" applyAlignment="1">
      <alignment wrapText="1"/>
    </xf>
    <xf numFmtId="0" fontId="3" fillId="0" borderId="13" xfId="0" applyFont="1" applyFill="1" applyBorder="1" applyAlignment="1">
      <alignment horizontal="center" wrapText="1"/>
    </xf>
    <xf numFmtId="0" fontId="3" fillId="0" borderId="0" xfId="0" applyFont="1" applyFill="1" applyAlignment="1"/>
    <xf numFmtId="0" fontId="3" fillId="0" borderId="14" xfId="0" applyFont="1" applyFill="1" applyBorder="1" applyAlignment="1">
      <alignment horizontal="center" wrapText="1"/>
    </xf>
    <xf numFmtId="0" fontId="3" fillId="0" borderId="15" xfId="0" applyFont="1" applyFill="1" applyBorder="1" applyAlignment="1">
      <alignment horizontal="center" wrapText="1"/>
    </xf>
    <xf numFmtId="0" fontId="3" fillId="0" borderId="16" xfId="0" applyFont="1" applyFill="1" applyBorder="1" applyAlignment="1">
      <alignment horizontal="center" wrapText="1"/>
    </xf>
    <xf numFmtId="0" fontId="6" fillId="0" borderId="0" xfId="0" applyFont="1" applyFill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>
      <alignment horizontal="left" wrapText="1"/>
    </xf>
    <xf numFmtId="0" fontId="1" fillId="0" borderId="17" xfId="0" applyFont="1" applyFill="1" applyBorder="1" applyAlignment="1">
      <alignment vertical="top"/>
    </xf>
    <xf numFmtId="0" fontId="1" fillId="0" borderId="18" xfId="0" applyFont="1" applyFill="1" applyBorder="1" applyAlignment="1">
      <alignment vertical="top" wrapText="1"/>
    </xf>
    <xf numFmtId="0" fontId="3" fillId="0" borderId="19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/>
    </xf>
    <xf numFmtId="0" fontId="3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/>
    </xf>
    <xf numFmtId="0" fontId="6" fillId="0" borderId="19" xfId="0" applyFont="1" applyFill="1" applyBorder="1" applyAlignment="1">
      <alignment horizontal="center" vertical="top"/>
    </xf>
    <xf numFmtId="0" fontId="6" fillId="0" borderId="0" xfId="0" applyFont="1" applyFill="1" applyBorder="1" applyAlignment="1">
      <alignment horizontal="center" vertical="top"/>
    </xf>
    <xf numFmtId="0" fontId="6" fillId="0" borderId="20" xfId="0" applyFont="1" applyFill="1" applyBorder="1" applyAlignment="1">
      <alignment horizontal="center" vertical="top"/>
    </xf>
    <xf numFmtId="0" fontId="1" fillId="0" borderId="21" xfId="0" applyFont="1" applyFill="1" applyBorder="1" applyAlignment="1">
      <alignment vertical="top" wrapText="1"/>
    </xf>
    <xf numFmtId="0" fontId="8" fillId="0" borderId="18" xfId="0" applyFont="1" applyFill="1" applyBorder="1" applyAlignment="1">
      <alignment vertical="top" wrapText="1"/>
    </xf>
    <xf numFmtId="0" fontId="8" fillId="0" borderId="19" xfId="0" applyFont="1" applyFill="1" applyBorder="1" applyAlignment="1">
      <alignment horizontal="center" vertical="top"/>
    </xf>
    <xf numFmtId="0" fontId="8" fillId="0" borderId="0" xfId="0" applyFont="1" applyFill="1" applyBorder="1" applyAlignment="1">
      <alignment horizontal="center" vertical="top"/>
    </xf>
    <xf numFmtId="0" fontId="8" fillId="0" borderId="20" xfId="0" applyFont="1" applyFill="1" applyBorder="1" applyAlignment="1">
      <alignment horizontal="center" vertical="top"/>
    </xf>
    <xf numFmtId="0" fontId="1" fillId="0" borderId="17" xfId="0" applyFont="1" applyFill="1" applyBorder="1" applyAlignment="1">
      <alignment vertical="top" wrapText="1"/>
    </xf>
    <xf numFmtId="0" fontId="1" fillId="0" borderId="22" xfId="0" applyFont="1" applyFill="1" applyBorder="1" applyAlignment="1">
      <alignment vertical="top"/>
    </xf>
    <xf numFmtId="0" fontId="2" fillId="3" borderId="23" xfId="0" applyFont="1" applyFill="1" applyBorder="1" applyAlignment="1">
      <alignment horizontal="center"/>
    </xf>
    <xf numFmtId="0" fontId="1" fillId="0" borderId="24" xfId="0" applyFont="1" applyFill="1" applyBorder="1" applyAlignment="1">
      <alignment vertical="top"/>
    </xf>
    <xf numFmtId="0" fontId="1" fillId="0" borderId="25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vertical="top"/>
    </xf>
    <xf numFmtId="0" fontId="9" fillId="0" borderId="21" xfId="0" applyFont="1" applyFill="1" applyBorder="1" applyAlignment="1">
      <alignment vertical="top"/>
    </xf>
    <xf numFmtId="0" fontId="10" fillId="0" borderId="0" xfId="0" applyFont="1" applyFill="1" applyBorder="1" applyAlignment="1">
      <alignment horizontal="center" vertical="top"/>
    </xf>
    <xf numFmtId="6" fontId="1" fillId="0" borderId="25" xfId="0" applyNumberFormat="1" applyFont="1" applyFill="1" applyBorder="1" applyAlignment="1">
      <alignment horizontal="center" vertical="top" wrapText="1"/>
    </xf>
    <xf numFmtId="0" fontId="1" fillId="0" borderId="25" xfId="0" applyNumberFormat="1" applyFont="1" applyFill="1" applyBorder="1" applyAlignment="1">
      <alignment horizontal="center" vertical="top" wrapText="1"/>
    </xf>
    <xf numFmtId="0" fontId="6" fillId="0" borderId="26" xfId="0" applyFont="1" applyFill="1" applyBorder="1" applyAlignment="1">
      <alignment horizontal="center" vertical="top"/>
    </xf>
    <xf numFmtId="0" fontId="6" fillId="0" borderId="27" xfId="0" applyFont="1" applyFill="1" applyBorder="1" applyAlignment="1">
      <alignment horizontal="center" vertical="top"/>
    </xf>
    <xf numFmtId="0" fontId="6" fillId="0" borderId="28" xfId="0" applyFont="1" applyFill="1" applyBorder="1" applyAlignment="1">
      <alignment horizontal="center" vertical="top"/>
    </xf>
    <xf numFmtId="0" fontId="12" fillId="0" borderId="0" xfId="0" applyFont="1"/>
    <xf numFmtId="0" fontId="11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6" fillId="0" borderId="19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3" fillId="0" borderId="33" xfId="0" applyFont="1" applyFill="1" applyBorder="1" applyAlignment="1">
      <alignment horizontal="center" wrapText="1"/>
    </xf>
    <xf numFmtId="0" fontId="3" fillId="0" borderId="34" xfId="0" applyFont="1" applyFill="1" applyBorder="1" applyAlignment="1">
      <alignment horizontal="center" wrapText="1"/>
    </xf>
    <xf numFmtId="0" fontId="1" fillId="0" borderId="24" xfId="0" applyFont="1" applyFill="1" applyBorder="1" applyAlignment="1">
      <alignment horizontal="center" vertical="top" wrapText="1"/>
    </xf>
    <xf numFmtId="0" fontId="8" fillId="0" borderId="24" xfId="0" applyFont="1" applyFill="1" applyBorder="1" applyAlignment="1">
      <alignment horizontal="center" vertical="top" wrapText="1"/>
    </xf>
    <xf numFmtId="0" fontId="1" fillId="0" borderId="25" xfId="0" quotePrefix="1" applyFont="1" applyFill="1" applyBorder="1" applyAlignment="1">
      <alignment horizontal="center" vertical="top" wrapText="1"/>
    </xf>
    <xf numFmtId="0" fontId="1" fillId="0" borderId="35" xfId="0" applyFont="1" applyFill="1" applyBorder="1" applyAlignment="1">
      <alignment vertical="top"/>
    </xf>
    <xf numFmtId="0" fontId="1" fillId="4" borderId="25" xfId="0" applyFont="1" applyFill="1" applyBorder="1" applyAlignment="1">
      <alignment horizontal="center" vertical="top" wrapText="1"/>
    </xf>
    <xf numFmtId="0" fontId="3" fillId="0" borderId="17" xfId="0" applyFont="1" applyFill="1" applyBorder="1" applyAlignment="1">
      <alignment vertical="top"/>
    </xf>
    <xf numFmtId="0" fontId="1" fillId="4" borderId="17" xfId="0" applyFont="1" applyFill="1" applyBorder="1" applyAlignment="1">
      <alignment horizontal="center" vertical="top" wrapText="1"/>
    </xf>
    <xf numFmtId="0" fontId="13" fillId="0" borderId="21" xfId="0" applyFont="1" applyFill="1" applyBorder="1" applyAlignment="1">
      <alignment vertical="top" wrapText="1"/>
    </xf>
    <xf numFmtId="0" fontId="3" fillId="0" borderId="22" xfId="0" applyFont="1" applyFill="1" applyBorder="1" applyAlignment="1">
      <alignment vertical="top" wrapText="1"/>
    </xf>
    <xf numFmtId="0" fontId="0" fillId="5" borderId="0" xfId="0" applyFill="1"/>
    <xf numFmtId="0" fontId="0" fillId="5" borderId="0" xfId="0" applyFill="1" applyAlignment="1">
      <alignment vertical="top"/>
    </xf>
    <xf numFmtId="0" fontId="0" fillId="6" borderId="0" xfId="0" applyFill="1"/>
    <xf numFmtId="0" fontId="0" fillId="6" borderId="0" xfId="0" applyFill="1" applyAlignment="1">
      <alignment vertical="top"/>
    </xf>
    <xf numFmtId="0" fontId="0" fillId="7" borderId="0" xfId="0" applyFill="1"/>
    <xf numFmtId="0" fontId="0" fillId="7" borderId="0" xfId="0" applyFill="1" applyAlignment="1">
      <alignment vertical="top"/>
    </xf>
    <xf numFmtId="0" fontId="0" fillId="3" borderId="0" xfId="0" applyFill="1"/>
    <xf numFmtId="0" fontId="0" fillId="3" borderId="0" xfId="0" applyFill="1" applyAlignment="1">
      <alignment vertical="top"/>
    </xf>
    <xf numFmtId="0" fontId="0" fillId="2" borderId="0" xfId="0" applyFill="1"/>
    <xf numFmtId="0" fontId="0" fillId="6" borderId="36" xfId="0" applyFill="1" applyBorder="1"/>
    <xf numFmtId="0" fontId="0" fillId="6" borderId="37" xfId="0" applyFill="1" applyBorder="1" applyAlignment="1">
      <alignment vertical="top"/>
    </xf>
    <xf numFmtId="0" fontId="0" fillId="6" borderId="38" xfId="0" applyFill="1" applyBorder="1" applyAlignment="1">
      <alignment vertical="top"/>
    </xf>
    <xf numFmtId="0" fontId="0" fillId="6" borderId="0" xfId="0" applyFill="1" applyBorder="1" applyAlignment="1">
      <alignment vertical="top"/>
    </xf>
    <xf numFmtId="0" fontId="0" fillId="6" borderId="39" xfId="0" applyFill="1" applyBorder="1" applyAlignment="1">
      <alignment vertical="top"/>
    </xf>
    <xf numFmtId="0" fontId="0" fillId="6" borderId="40" xfId="0" applyFill="1" applyBorder="1"/>
    <xf numFmtId="0" fontId="0" fillId="6" borderId="41" xfId="0" applyFill="1" applyBorder="1"/>
    <xf numFmtId="0" fontId="0" fillId="6" borderId="4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6" borderId="43" xfId="0" applyFill="1" applyBorder="1" applyAlignment="1">
      <alignment vertical="top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49" fontId="6" fillId="0" borderId="44" xfId="0" applyNumberFormat="1" applyFont="1" applyFill="1" applyBorder="1" applyAlignment="1">
      <alignment horizontal="center" textRotation="90"/>
    </xf>
    <xf numFmtId="0" fontId="6" fillId="0" borderId="45" xfId="0" applyFont="1" applyFill="1" applyBorder="1" applyAlignment="1">
      <alignment horizontal="center" textRotation="90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49" fontId="0" fillId="0" borderId="0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0" fontId="0" fillId="0" borderId="48" xfId="0" applyBorder="1"/>
    <xf numFmtId="49" fontId="0" fillId="0" borderId="6" xfId="0" quotePrefix="1" applyNumberFormat="1" applyBorder="1" applyAlignment="1">
      <alignment horizontal="center"/>
    </xf>
    <xf numFmtId="0" fontId="0" fillId="0" borderId="49" xfId="0" applyFill="1" applyBorder="1"/>
    <xf numFmtId="0" fontId="3" fillId="0" borderId="21" xfId="0" applyFont="1" applyFill="1" applyBorder="1" applyAlignment="1">
      <alignment vertical="top"/>
    </xf>
    <xf numFmtId="0" fontId="6" fillId="0" borderId="50" xfId="0" applyFont="1" applyFill="1" applyBorder="1" applyAlignment="1">
      <alignment horizontal="center" textRotation="90"/>
    </xf>
    <xf numFmtId="0" fontId="3" fillId="0" borderId="30" xfId="0" applyFont="1" applyBorder="1" applyAlignment="1">
      <alignment horizontal="center" wrapText="1"/>
    </xf>
    <xf numFmtId="0" fontId="4" fillId="0" borderId="0" xfId="2" applyFont="1" applyAlignment="1">
      <alignment horizontal="left" vertical="center"/>
    </xf>
    <xf numFmtId="0" fontId="4" fillId="0" borderId="0" xfId="2" applyFont="1"/>
    <xf numFmtId="0" fontId="4" fillId="0" borderId="0" xfId="2"/>
    <xf numFmtId="0" fontId="4" fillId="3" borderId="32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4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1" fillId="0" borderId="0" xfId="2" applyFont="1" applyFill="1" applyBorder="1" applyAlignment="1">
      <alignment horizontal="center" wrapText="1"/>
    </xf>
    <xf numFmtId="0" fontId="7" fillId="2" borderId="52" xfId="2" applyFont="1" applyFill="1" applyBorder="1" applyAlignment="1">
      <alignment horizontal="left"/>
    </xf>
    <xf numFmtId="0" fontId="7" fillId="2" borderId="1" xfId="2" applyFont="1" applyFill="1" applyBorder="1" applyAlignment="1">
      <alignment horizontal="left"/>
    </xf>
    <xf numFmtId="0" fontId="1" fillId="2" borderId="1" xfId="2" applyFont="1" applyFill="1" applyBorder="1" applyAlignment="1">
      <alignment wrapText="1"/>
    </xf>
    <xf numFmtId="0" fontId="1" fillId="2" borderId="1" xfId="2" applyFont="1" applyFill="1" applyBorder="1" applyAlignment="1">
      <alignment horizontal="center" wrapText="1"/>
    </xf>
    <xf numFmtId="0" fontId="1" fillId="2" borderId="1" xfId="2" applyNumberFormat="1" applyFont="1" applyFill="1" applyBorder="1" applyAlignment="1">
      <alignment horizontal="center"/>
    </xf>
    <xf numFmtId="0" fontId="1" fillId="2" borderId="1" xfId="2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4" fillId="0" borderId="0" xfId="2" applyFont="1" applyAlignment="1"/>
    <xf numFmtId="0" fontId="4" fillId="0" borderId="0" xfId="2" applyFont="1" applyAlignment="1">
      <alignment horizontal="center" wrapText="1"/>
    </xf>
    <xf numFmtId="0" fontId="4" fillId="0" borderId="0" xfId="2" applyFont="1" applyAlignment="1">
      <alignment horizontal="center"/>
    </xf>
    <xf numFmtId="0" fontId="4" fillId="0" borderId="0" xfId="2" applyNumberFormat="1" applyFont="1" applyAlignment="1">
      <alignment horizontal="center"/>
    </xf>
    <xf numFmtId="0" fontId="0" fillId="0" borderId="30" xfId="0" applyBorder="1" applyAlignment="1" applyProtection="1">
      <alignment horizontal="center" vertical="center" wrapText="1"/>
      <protection locked="0"/>
    </xf>
    <xf numFmtId="0" fontId="3" fillId="0" borderId="23" xfId="2" applyFont="1" applyBorder="1" applyAlignment="1">
      <alignment wrapText="1"/>
    </xf>
    <xf numFmtId="0" fontId="3" fillId="0" borderId="54" xfId="2" applyFont="1" applyBorder="1" applyAlignment="1">
      <alignment wrapText="1"/>
    </xf>
    <xf numFmtId="0" fontId="3" fillId="0" borderId="54" xfId="2" applyFont="1" applyBorder="1" applyAlignment="1">
      <alignment horizontal="center" wrapText="1"/>
    </xf>
    <xf numFmtId="0" fontId="3" fillId="0" borderId="51" xfId="2" applyFont="1" applyBorder="1" applyAlignment="1">
      <alignment horizontal="center" wrapText="1"/>
    </xf>
    <xf numFmtId="0" fontId="3" fillId="0" borderId="54" xfId="2" applyFont="1" applyBorder="1" applyAlignment="1">
      <alignment horizontal="center" vertical="top" wrapText="1"/>
    </xf>
    <xf numFmtId="0" fontId="3" fillId="0" borderId="54" xfId="2" applyNumberFormat="1" applyFont="1" applyBorder="1" applyAlignment="1">
      <alignment horizontal="center" wrapText="1"/>
    </xf>
    <xf numFmtId="0" fontId="1" fillId="0" borderId="55" xfId="2" applyFont="1" applyBorder="1"/>
    <xf numFmtId="0" fontId="1" fillId="0" borderId="56" xfId="2" applyFont="1" applyBorder="1"/>
    <xf numFmtId="0" fontId="1" fillId="0" borderId="55" xfId="2" applyFont="1" applyBorder="1" applyAlignment="1">
      <alignment horizontal="center"/>
    </xf>
    <xf numFmtId="0" fontId="1" fillId="0" borderId="56" xfId="2" applyFont="1" applyBorder="1" applyAlignment="1">
      <alignment horizontal="center"/>
    </xf>
    <xf numFmtId="0" fontId="4" fillId="0" borderId="0" xfId="2" applyFill="1" applyBorder="1"/>
    <xf numFmtId="0" fontId="7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vertical="top" wrapText="1"/>
    </xf>
    <xf numFmtId="0" fontId="1" fillId="0" borderId="0" xfId="2" applyFont="1" applyFill="1" applyBorder="1" applyAlignment="1">
      <alignment wrapText="1"/>
    </xf>
    <xf numFmtId="0" fontId="1" fillId="0" borderId="0" xfId="2" applyFont="1" applyFill="1" applyBorder="1" applyAlignment="1">
      <alignment horizontal="center"/>
    </xf>
    <xf numFmtId="0" fontId="4" fillId="0" borderId="0" xfId="2" applyFont="1" applyFill="1" applyBorder="1" applyAlignment="1"/>
    <xf numFmtId="0" fontId="4" fillId="0" borderId="0" xfId="2" applyFont="1" applyFill="1" applyBorder="1" applyAlignment="1">
      <alignment horizontal="center" wrapText="1"/>
    </xf>
    <xf numFmtId="0" fontId="4" fillId="0" borderId="0" xfId="2" applyFont="1" applyFill="1" applyBorder="1" applyAlignment="1">
      <alignment horizontal="center"/>
    </xf>
    <xf numFmtId="0" fontId="4" fillId="0" borderId="0" xfId="2" applyNumberFormat="1" applyFont="1" applyFill="1" applyBorder="1" applyAlignment="1">
      <alignment horizontal="center"/>
    </xf>
    <xf numFmtId="0" fontId="1" fillId="0" borderId="0" xfId="2" applyFont="1" applyBorder="1" applyAlignment="1">
      <alignment wrapText="1"/>
    </xf>
    <xf numFmtId="0" fontId="4" fillId="0" borderId="37" xfId="0" applyFont="1" applyFill="1" applyBorder="1" applyAlignment="1">
      <alignment horizontal="right" vertical="top"/>
    </xf>
    <xf numFmtId="0" fontId="3" fillId="0" borderId="11" xfId="2" applyFont="1" applyBorder="1" applyAlignment="1">
      <alignment wrapText="1"/>
    </xf>
    <xf numFmtId="0" fontId="3" fillId="0" borderId="27" xfId="2" applyFont="1" applyBorder="1" applyAlignment="1">
      <alignment wrapText="1"/>
    </xf>
    <xf numFmtId="0" fontId="3" fillId="0" borderId="12" xfId="2" applyFont="1" applyBorder="1" applyAlignment="1">
      <alignment wrapText="1"/>
    </xf>
    <xf numFmtId="0" fontId="3" fillId="0" borderId="12" xfId="2" applyFont="1" applyBorder="1" applyAlignment="1">
      <alignment horizontal="center" wrapText="1"/>
    </xf>
    <xf numFmtId="0" fontId="3" fillId="0" borderId="34" xfId="2" applyFont="1" applyBorder="1" applyAlignment="1">
      <alignment horizontal="center" wrapText="1"/>
    </xf>
    <xf numFmtId="0" fontId="3" fillId="0" borderId="0" xfId="2" applyFont="1" applyBorder="1" applyAlignment="1">
      <alignment horizontal="center" wrapText="1"/>
    </xf>
    <xf numFmtId="0" fontId="3" fillId="0" borderId="12" xfId="2" applyFont="1" applyBorder="1" applyAlignment="1">
      <alignment horizontal="center" vertical="top" wrapText="1"/>
    </xf>
    <xf numFmtId="0" fontId="3" fillId="0" borderId="20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30" xfId="2" applyFont="1" applyBorder="1" applyAlignment="1">
      <alignment horizontal="center" wrapText="1"/>
    </xf>
    <xf numFmtId="0" fontId="3" fillId="0" borderId="15" xfId="2" applyFont="1" applyBorder="1" applyAlignment="1">
      <alignment horizontal="center" wrapText="1"/>
    </xf>
    <xf numFmtId="0" fontId="3" fillId="0" borderId="33" xfId="2" applyFont="1" applyBorder="1" applyAlignment="1">
      <alignment horizontal="center" wrapText="1"/>
    </xf>
    <xf numFmtId="0" fontId="3" fillId="0" borderId="57" xfId="2" applyFont="1" applyBorder="1" applyAlignment="1">
      <alignment horizontal="center" wrapText="1"/>
    </xf>
    <xf numFmtId="0" fontId="3" fillId="0" borderId="58" xfId="2" applyNumberFormat="1" applyFont="1" applyBorder="1" applyAlignment="1">
      <alignment horizontal="center" wrapText="1"/>
    </xf>
    <xf numFmtId="0" fontId="3" fillId="0" borderId="31" xfId="2" applyFont="1" applyBorder="1" applyAlignment="1">
      <alignment horizontal="center" wrapText="1"/>
    </xf>
    <xf numFmtId="0" fontId="16" fillId="0" borderId="59" xfId="2" applyFont="1" applyBorder="1" applyAlignment="1">
      <alignment vertical="top" wrapText="1"/>
    </xf>
    <xf numFmtId="0" fontId="17" fillId="0" borderId="24" xfId="2" applyFont="1" applyBorder="1" applyAlignment="1">
      <alignment horizontal="left" vertical="top" wrapText="1"/>
    </xf>
    <xf numFmtId="0" fontId="16" fillId="0" borderId="18" xfId="2" applyFont="1" applyBorder="1" applyAlignment="1" applyProtection="1">
      <alignment wrapText="1"/>
      <protection locked="0"/>
    </xf>
    <xf numFmtId="0" fontId="16" fillId="0" borderId="18" xfId="2" applyFont="1" applyBorder="1" applyAlignment="1" applyProtection="1">
      <alignment horizontal="center" wrapText="1"/>
      <protection locked="0"/>
    </xf>
    <xf numFmtId="0" fontId="16" fillId="0" borderId="24" xfId="2" applyFont="1" applyBorder="1" applyAlignment="1" applyProtection="1">
      <alignment horizontal="center" wrapText="1"/>
      <protection locked="0"/>
    </xf>
    <xf numFmtId="0" fontId="16" fillId="0" borderId="53" xfId="2" applyFont="1" applyBorder="1" applyAlignment="1" applyProtection="1">
      <alignment horizontal="center"/>
      <protection locked="0"/>
    </xf>
    <xf numFmtId="0" fontId="16" fillId="0" borderId="53" xfId="2" applyFont="1" applyBorder="1" applyAlignment="1">
      <alignment horizontal="center"/>
    </xf>
    <xf numFmtId="11" fontId="16" fillId="0" borderId="53" xfId="2" applyNumberFormat="1" applyFont="1" applyBorder="1" applyAlignment="1" applyProtection="1">
      <alignment horizontal="center"/>
      <protection locked="0"/>
    </xf>
    <xf numFmtId="0" fontId="1" fillId="0" borderId="3" xfId="2" applyFont="1" applyBorder="1" applyAlignment="1" applyProtection="1">
      <alignment horizontal="center"/>
      <protection locked="0"/>
    </xf>
    <xf numFmtId="0" fontId="4" fillId="0" borderId="0" xfId="2" applyFont="1" applyAlignment="1" applyProtection="1">
      <alignment horizontal="left"/>
      <protection locked="0"/>
    </xf>
    <xf numFmtId="0" fontId="4" fillId="0" borderId="0" xfId="2" applyProtection="1">
      <protection locked="0"/>
    </xf>
    <xf numFmtId="0" fontId="1" fillId="0" borderId="53" xfId="2" applyFont="1" applyBorder="1" applyAlignment="1" applyProtection="1">
      <alignment horizontal="center"/>
      <protection locked="0"/>
    </xf>
    <xf numFmtId="0" fontId="1" fillId="0" borderId="18" xfId="2" applyFont="1" applyBorder="1" applyAlignment="1" applyProtection="1">
      <alignment wrapText="1"/>
      <protection locked="0"/>
    </xf>
    <xf numFmtId="0" fontId="1" fillId="0" borderId="18" xfId="2" applyFont="1" applyBorder="1" applyAlignment="1" applyProtection="1">
      <alignment horizontal="center" wrapText="1"/>
      <protection locked="0"/>
    </xf>
    <xf numFmtId="0" fontId="1" fillId="0" borderId="24" xfId="2" applyFont="1" applyBorder="1" applyAlignment="1" applyProtection="1">
      <alignment horizontal="center" wrapText="1"/>
      <protection locked="0"/>
    </xf>
    <xf numFmtId="0" fontId="1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protection locked="0"/>
    </xf>
    <xf numFmtId="0" fontId="4" fillId="0" borderId="0" xfId="2" applyFont="1" applyAlignment="1" applyProtection="1">
      <alignment horizontal="center" wrapText="1"/>
      <protection locked="0"/>
    </xf>
    <xf numFmtId="0" fontId="4" fillId="0" borderId="0" xfId="2" applyFont="1" applyAlignment="1" applyProtection="1">
      <alignment horizontal="center"/>
      <protection locked="0"/>
    </xf>
    <xf numFmtId="0" fontId="4" fillId="0" borderId="0" xfId="2" applyNumberFormat="1" applyFont="1" applyAlignment="1" applyProtection="1">
      <alignment horizontal="center"/>
      <protection locked="0"/>
    </xf>
    <xf numFmtId="0" fontId="4" fillId="0" borderId="30" xfId="0" applyFont="1" applyBorder="1" applyAlignment="1" applyProtection="1">
      <alignment horizontal="left" vertical="center"/>
      <protection locked="0"/>
    </xf>
    <xf numFmtId="0" fontId="3" fillId="0" borderId="13" xfId="2" applyFont="1" applyBorder="1" applyAlignment="1">
      <alignment horizontal="center" wrapText="1"/>
    </xf>
    <xf numFmtId="0" fontId="3" fillId="0" borderId="16" xfId="2" applyFont="1" applyBorder="1" applyAlignment="1">
      <alignment horizontal="center" wrapText="1"/>
    </xf>
    <xf numFmtId="0" fontId="1" fillId="2" borderId="1" xfId="2" applyFont="1" applyFill="1" applyBorder="1" applyAlignment="1">
      <alignment horizontal="left" wrapText="1"/>
    </xf>
    <xf numFmtId="0" fontId="1" fillId="0" borderId="35" xfId="2" applyFont="1" applyBorder="1" applyProtection="1">
      <protection locked="0"/>
    </xf>
    <xf numFmtId="0" fontId="1" fillId="0" borderId="25" xfId="2" applyFont="1" applyBorder="1" applyAlignment="1" applyProtection="1">
      <alignment horizontal="left" wrapText="1"/>
      <protection locked="0"/>
    </xf>
    <xf numFmtId="0" fontId="1" fillId="0" borderId="6" xfId="2" applyFont="1" applyBorder="1" applyAlignment="1" applyProtection="1">
      <alignment vertical="top" wrapText="1"/>
      <protection locked="0"/>
    </xf>
    <xf numFmtId="0" fontId="4" fillId="0" borderId="0" xfId="2" applyFont="1" applyAlignment="1" applyProtection="1">
      <alignment wrapText="1"/>
      <protection locked="0"/>
    </xf>
    <xf numFmtId="0" fontId="4" fillId="0" borderId="0" xfId="2" applyFont="1" applyAlignment="1" applyProtection="1">
      <alignment horizontal="left" wrapText="1"/>
      <protection locked="0"/>
    </xf>
    <xf numFmtId="0" fontId="3" fillId="0" borderId="15" xfId="0" applyFont="1" applyBorder="1" applyAlignment="1">
      <alignment horizontal="center" wrapText="1"/>
    </xf>
    <xf numFmtId="0" fontId="14" fillId="5" borderId="0" xfId="0" applyFont="1" applyFill="1"/>
    <xf numFmtId="0" fontId="0" fillId="6" borderId="0" xfId="0" applyFill="1" applyBorder="1" applyAlignment="1">
      <alignment horizontal="right" vertical="top"/>
    </xf>
    <xf numFmtId="0" fontId="0" fillId="11" borderId="0" xfId="0" applyFill="1"/>
    <xf numFmtId="0" fontId="0" fillId="11" borderId="0" xfId="0" applyFill="1" applyAlignment="1">
      <alignment vertical="top"/>
    </xf>
    <xf numFmtId="0" fontId="4" fillId="11" borderId="0" xfId="0" applyFont="1" applyFill="1"/>
    <xf numFmtId="0" fontId="4" fillId="11" borderId="0" xfId="0" applyFont="1" applyFill="1" applyAlignment="1">
      <alignment vertical="top"/>
    </xf>
    <xf numFmtId="0" fontId="16" fillId="0" borderId="35" xfId="2" applyFont="1" applyBorder="1" applyAlignment="1" applyProtection="1">
      <alignment horizontal="center" wrapText="1"/>
      <protection locked="0"/>
    </xf>
    <xf numFmtId="1" fontId="0" fillId="0" borderId="2" xfId="0" quotePrefix="1" applyNumberFormat="1" applyBorder="1" applyAlignment="1">
      <alignment horizontal="center"/>
    </xf>
    <xf numFmtId="0" fontId="1" fillId="0" borderId="6" xfId="2" applyFont="1" applyBorder="1" applyAlignment="1">
      <alignment vertical="center" wrapText="1"/>
    </xf>
    <xf numFmtId="0" fontId="1" fillId="0" borderId="18" xfId="2" applyFont="1" applyBorder="1" applyAlignment="1" applyProtection="1">
      <alignment vertical="center" wrapText="1"/>
      <protection locked="0"/>
    </xf>
    <xf numFmtId="0" fontId="1" fillId="0" borderId="18" xfId="2" applyFont="1" applyBorder="1" applyAlignment="1" applyProtection="1">
      <alignment horizontal="center" vertical="center" wrapText="1"/>
      <protection locked="0"/>
    </xf>
    <xf numFmtId="0" fontId="1" fillId="0" borderId="24" xfId="2" applyFont="1" applyBorder="1" applyAlignment="1" applyProtection="1">
      <alignment horizontal="center" vertical="center" wrapText="1"/>
      <protection locked="0"/>
    </xf>
    <xf numFmtId="0" fontId="1" fillId="0" borderId="25" xfId="2" applyFont="1" applyBorder="1" applyAlignment="1" applyProtection="1">
      <alignment horizontal="left" vertical="center" wrapText="1"/>
      <protection locked="0"/>
    </xf>
    <xf numFmtId="0" fontId="1" fillId="0" borderId="53" xfId="2" applyFont="1" applyBorder="1" applyAlignment="1" applyProtection="1">
      <alignment horizontal="center" vertical="center"/>
      <protection locked="0"/>
    </xf>
    <xf numFmtId="0" fontId="1" fillId="0" borderId="3" xfId="2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wrapText="1"/>
    </xf>
    <xf numFmtId="0" fontId="1" fillId="12" borderId="18" xfId="2" applyFont="1" applyFill="1" applyBorder="1" applyAlignment="1" applyProtection="1">
      <alignment wrapText="1"/>
      <protection locked="0"/>
    </xf>
    <xf numFmtId="0" fontId="1" fillId="12" borderId="18" xfId="2" applyFont="1" applyFill="1" applyBorder="1" applyAlignment="1" applyProtection="1">
      <alignment horizontal="center" wrapText="1"/>
      <protection locked="0"/>
    </xf>
    <xf numFmtId="0" fontId="1" fillId="12" borderId="24" xfId="2" applyFont="1" applyFill="1" applyBorder="1" applyAlignment="1" applyProtection="1">
      <alignment horizontal="center" wrapText="1"/>
      <protection locked="0"/>
    </xf>
    <xf numFmtId="0" fontId="1" fillId="12" borderId="25" xfId="2" applyFont="1" applyFill="1" applyBorder="1" applyAlignment="1" applyProtection="1">
      <alignment horizontal="left" wrapText="1"/>
      <protection locked="0"/>
    </xf>
    <xf numFmtId="0" fontId="1" fillId="12" borderId="53" xfId="2" applyFont="1" applyFill="1" applyBorder="1" applyAlignment="1" applyProtection="1">
      <alignment horizontal="center"/>
      <protection locked="0"/>
    </xf>
    <xf numFmtId="0" fontId="1" fillId="12" borderId="3" xfId="2" applyFont="1" applyFill="1" applyBorder="1" applyAlignment="1" applyProtection="1">
      <alignment horizontal="center"/>
      <protection locked="0"/>
    </xf>
    <xf numFmtId="0" fontId="4" fillId="12" borderId="0" xfId="2" applyFont="1" applyFill="1" applyAlignment="1" applyProtection="1">
      <alignment horizontal="left"/>
      <protection locked="0"/>
    </xf>
    <xf numFmtId="0" fontId="4" fillId="12" borderId="0" xfId="2" applyFill="1" applyProtection="1">
      <protection locked="0"/>
    </xf>
    <xf numFmtId="0" fontId="1" fillId="12" borderId="6" xfId="2" applyFont="1" applyFill="1" applyBorder="1" applyAlignment="1" applyProtection="1">
      <alignment vertical="top" wrapText="1"/>
      <protection locked="0"/>
    </xf>
    <xf numFmtId="0" fontId="1" fillId="12" borderId="35" xfId="2" applyFont="1" applyFill="1" applyBorder="1" applyProtection="1">
      <protection locked="0"/>
    </xf>
    <xf numFmtId="0" fontId="16" fillId="0" borderId="53" xfId="2" applyFont="1" applyFill="1" applyBorder="1" applyAlignment="1" applyProtection="1">
      <alignment horizontal="center"/>
      <protection locked="0"/>
    </xf>
    <xf numFmtId="0" fontId="16" fillId="0" borderId="53" xfId="2" applyFont="1" applyFill="1" applyBorder="1" applyAlignment="1">
      <alignment horizontal="center"/>
    </xf>
    <xf numFmtId="0" fontId="1" fillId="0" borderId="53" xfId="2" applyFont="1" applyFill="1" applyBorder="1" applyAlignment="1">
      <alignment horizontal="center"/>
    </xf>
    <xf numFmtId="0" fontId="16" fillId="0" borderId="59" xfId="2" applyFont="1" applyFill="1" applyBorder="1" applyAlignment="1">
      <alignment vertical="top" wrapText="1"/>
    </xf>
    <xf numFmtId="0" fontId="17" fillId="0" borderId="24" xfId="2" applyFont="1" applyFill="1" applyBorder="1" applyAlignment="1">
      <alignment horizontal="left" vertical="top" wrapText="1"/>
    </xf>
    <xf numFmtId="0" fontId="16" fillId="0" borderId="18" xfId="2" applyFont="1" applyFill="1" applyBorder="1" applyAlignment="1" applyProtection="1">
      <alignment wrapText="1"/>
      <protection locked="0"/>
    </xf>
    <xf numFmtId="0" fontId="16" fillId="0" borderId="18" xfId="2" applyFont="1" applyFill="1" applyBorder="1" applyAlignment="1" applyProtection="1">
      <alignment horizontal="center" wrapText="1"/>
      <protection locked="0"/>
    </xf>
    <xf numFmtId="0" fontId="16" fillId="0" borderId="24" xfId="2" applyFont="1" applyFill="1" applyBorder="1" applyAlignment="1" applyProtection="1">
      <alignment horizontal="center" wrapText="1"/>
      <protection locked="0"/>
    </xf>
    <xf numFmtId="0" fontId="16" fillId="0" borderId="35" xfId="2" applyFont="1" applyFill="1" applyBorder="1" applyAlignment="1" applyProtection="1">
      <alignment horizontal="center" wrapText="1"/>
      <protection locked="0"/>
    </xf>
    <xf numFmtId="11" fontId="16" fillId="0" borderId="53" xfId="2" applyNumberFormat="1" applyFont="1" applyFill="1" applyBorder="1" applyAlignment="1" applyProtection="1">
      <alignment horizontal="center"/>
      <protection locked="0"/>
    </xf>
    <xf numFmtId="0" fontId="6" fillId="13" borderId="45" xfId="0" applyFont="1" applyFill="1" applyBorder="1" applyAlignment="1">
      <alignment horizontal="center" textRotation="90"/>
    </xf>
    <xf numFmtId="0" fontId="16" fillId="12" borderId="59" xfId="2" applyFont="1" applyFill="1" applyBorder="1" applyAlignment="1">
      <alignment vertical="top" wrapText="1"/>
    </xf>
    <xf numFmtId="0" fontId="17" fillId="12" borderId="24" xfId="2" applyFont="1" applyFill="1" applyBorder="1" applyAlignment="1">
      <alignment horizontal="left" vertical="top" wrapText="1"/>
    </xf>
    <xf numFmtId="0" fontId="16" fillId="12" borderId="18" xfId="2" applyFont="1" applyFill="1" applyBorder="1" applyAlignment="1" applyProtection="1">
      <alignment wrapText="1"/>
      <protection locked="0"/>
    </xf>
    <xf numFmtId="0" fontId="16" fillId="12" borderId="18" xfId="2" applyFont="1" applyFill="1" applyBorder="1" applyAlignment="1" applyProtection="1">
      <alignment horizontal="center" wrapText="1"/>
      <protection locked="0"/>
    </xf>
    <xf numFmtId="0" fontId="16" fillId="12" borderId="24" xfId="2" applyFont="1" applyFill="1" applyBorder="1" applyAlignment="1" applyProtection="1">
      <alignment horizontal="center" wrapText="1"/>
      <protection locked="0"/>
    </xf>
    <xf numFmtId="0" fontId="16" fillId="12" borderId="35" xfId="2" applyFont="1" applyFill="1" applyBorder="1" applyAlignment="1" applyProtection="1">
      <alignment horizontal="center" wrapText="1"/>
      <protection locked="0"/>
    </xf>
    <xf numFmtId="0" fontId="16" fillId="12" borderId="53" xfId="2" applyFont="1" applyFill="1" applyBorder="1" applyAlignment="1">
      <alignment horizontal="center"/>
    </xf>
    <xf numFmtId="11" fontId="16" fillId="12" borderId="53" xfId="2" applyNumberFormat="1" applyFont="1" applyFill="1" applyBorder="1" applyAlignment="1" applyProtection="1">
      <alignment horizontal="center"/>
      <protection locked="0"/>
    </xf>
    <xf numFmtId="0" fontId="5" fillId="9" borderId="14" xfId="0" applyFont="1" applyFill="1" applyBorder="1" applyAlignment="1" applyProtection="1">
      <alignment horizontal="center" vertical="center" wrapText="1"/>
      <protection locked="0"/>
    </xf>
    <xf numFmtId="0" fontId="5" fillId="9" borderId="30" xfId="0" applyFont="1" applyFill="1" applyBorder="1" applyAlignment="1" applyProtection="1">
      <alignment horizontal="center" vertical="center" wrapText="1"/>
      <protection locked="0"/>
    </xf>
    <xf numFmtId="0" fontId="3" fillId="0" borderId="60" xfId="2" applyFont="1" applyBorder="1" applyAlignment="1">
      <alignment horizontal="center" wrapText="1"/>
    </xf>
    <xf numFmtId="0" fontId="3" fillId="0" borderId="61" xfId="2" applyFont="1" applyBorder="1" applyAlignment="1">
      <alignment horizontal="center" wrapText="1"/>
    </xf>
    <xf numFmtId="0" fontId="5" fillId="9" borderId="14" xfId="2" applyFont="1" applyFill="1" applyBorder="1" applyAlignment="1">
      <alignment horizontal="center" vertical="center" wrapText="1"/>
    </xf>
    <xf numFmtId="0" fontId="5" fillId="9" borderId="30" xfId="2" applyFont="1" applyFill="1" applyBorder="1" applyAlignment="1">
      <alignment horizontal="center" vertical="center" wrapText="1"/>
    </xf>
    <xf numFmtId="0" fontId="2" fillId="3" borderId="62" xfId="2" applyFont="1" applyFill="1" applyBorder="1" applyAlignment="1">
      <alignment horizontal="center" wrapText="1"/>
    </xf>
    <xf numFmtId="0" fontId="2" fillId="3" borderId="32" xfId="2" applyFont="1" applyFill="1" applyBorder="1" applyAlignment="1">
      <alignment horizontal="center" wrapText="1"/>
    </xf>
    <xf numFmtId="0" fontId="2" fillId="3" borderId="51" xfId="2" applyFont="1" applyFill="1" applyBorder="1" applyAlignment="1">
      <alignment horizontal="center" wrapText="1"/>
    </xf>
    <xf numFmtId="0" fontId="5" fillId="9" borderId="37" xfId="2" applyFont="1" applyFill="1" applyBorder="1" applyAlignment="1">
      <alignment horizontal="center" vertical="center" wrapText="1"/>
    </xf>
    <xf numFmtId="0" fontId="5" fillId="9" borderId="0" xfId="2" applyFont="1" applyFill="1" applyBorder="1" applyAlignment="1">
      <alignment horizontal="center" vertical="center" wrapText="1"/>
    </xf>
    <xf numFmtId="0" fontId="4" fillId="3" borderId="32" xfId="2" applyFont="1" applyFill="1" applyBorder="1" applyAlignment="1">
      <alignment horizontal="center"/>
    </xf>
    <xf numFmtId="0" fontId="2" fillId="3" borderId="23" xfId="2" applyFont="1" applyFill="1" applyBorder="1" applyAlignment="1">
      <alignment horizontal="center"/>
    </xf>
    <xf numFmtId="0" fontId="4" fillId="3" borderId="51" xfId="2" applyFont="1" applyFill="1" applyBorder="1" applyAlignment="1">
      <alignment horizontal="center"/>
    </xf>
    <xf numFmtId="0" fontId="5" fillId="9" borderId="14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2" fillId="3" borderId="62" xfId="0" applyFont="1" applyFill="1" applyBorder="1" applyAlignment="1">
      <alignment horizontal="center" wrapText="1"/>
    </xf>
    <xf numFmtId="0" fontId="4" fillId="3" borderId="32" xfId="0" applyFon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51" xfId="0" applyFont="1" applyFill="1" applyBorder="1" applyAlignment="1">
      <alignment horizontal="center"/>
    </xf>
    <xf numFmtId="0" fontId="3" fillId="5" borderId="23" xfId="0" applyFont="1" applyFill="1" applyBorder="1" applyAlignment="1">
      <alignment horizontal="center"/>
    </xf>
    <xf numFmtId="0" fontId="6" fillId="5" borderId="32" xfId="0" applyFont="1" applyFill="1" applyBorder="1" applyAlignment="1">
      <alignment horizontal="center"/>
    </xf>
    <xf numFmtId="0" fontId="6" fillId="5" borderId="51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6" fillId="7" borderId="32" xfId="0" applyFont="1" applyFill="1" applyBorder="1" applyAlignment="1">
      <alignment horizontal="center"/>
    </xf>
    <xf numFmtId="0" fontId="6" fillId="7" borderId="51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6" fillId="10" borderId="32" xfId="0" applyFont="1" applyFill="1" applyBorder="1" applyAlignment="1">
      <alignment horizontal="center"/>
    </xf>
    <xf numFmtId="0" fontId="6" fillId="10" borderId="51" xfId="0" applyFont="1" applyFill="1" applyBorder="1" applyAlignment="1">
      <alignment horizontal="center"/>
    </xf>
    <xf numFmtId="0" fontId="3" fillId="8" borderId="23" xfId="0" applyFont="1" applyFill="1" applyBorder="1" applyAlignment="1">
      <alignment horizontal="center"/>
    </xf>
    <xf numFmtId="0" fontId="6" fillId="8" borderId="32" xfId="0" applyFont="1" applyFill="1" applyBorder="1" applyAlignment="1">
      <alignment horizontal="center"/>
    </xf>
    <xf numFmtId="0" fontId="6" fillId="8" borderId="51" xfId="0" applyFont="1" applyFill="1" applyBorder="1" applyAlignment="1">
      <alignment horizontal="center"/>
    </xf>
    <xf numFmtId="0" fontId="5" fillId="9" borderId="29" xfId="2" applyFont="1" applyFill="1" applyBorder="1" applyAlignment="1">
      <alignment horizontal="center" vertical="center" wrapText="1"/>
    </xf>
    <xf numFmtId="0" fontId="2" fillId="3" borderId="23" xfId="2" applyFont="1" applyFill="1" applyBorder="1" applyAlignment="1">
      <alignment horizontal="center" wrapText="1"/>
    </xf>
    <xf numFmtId="0" fontId="4" fillId="0" borderId="32" xfId="2" applyBorder="1"/>
    <xf numFmtId="0" fontId="4" fillId="0" borderId="51" xfId="2" applyBorder="1"/>
    <xf numFmtId="0" fontId="3" fillId="0" borderId="23" xfId="2" applyFont="1" applyBorder="1" applyAlignment="1">
      <alignment horizontal="center" wrapText="1"/>
    </xf>
    <xf numFmtId="0" fontId="3" fillId="0" borderId="32" xfId="2" applyFont="1" applyBorder="1" applyAlignment="1">
      <alignment horizontal="center" wrapText="1"/>
    </xf>
    <xf numFmtId="0" fontId="0" fillId="0" borderId="0" xfId="0" applyFill="1" applyAlignment="1" applyProtection="1">
      <alignment vertical="top"/>
      <protection locked="0"/>
    </xf>
    <xf numFmtId="0" fontId="0" fillId="0" borderId="0" xfId="0" applyFill="1" applyAlignment="1" applyProtection="1">
      <alignment vertical="top" wrapText="1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4" fillId="0" borderId="0" xfId="0" applyFont="1" applyFill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Fill="1" applyBorder="1" applyAlignment="1" applyProtection="1">
      <alignment vertical="top" wrapText="1"/>
      <protection locked="0"/>
    </xf>
  </cellXfs>
  <cellStyles count="3">
    <cellStyle name="Heading" xfId="1"/>
    <cellStyle name="Normal" xfId="0" builtinId="0"/>
    <cellStyle name="Normal 2" xfId="2"/>
  </cellStyles>
  <dxfs count="76">
    <dxf>
      <fill>
        <patternFill>
          <bgColor rgb="FFFFFF66"/>
        </patternFill>
      </fill>
    </dxf>
    <dxf>
      <fill>
        <patternFill>
          <bgColor rgb="FFFFFF66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59996337778862885"/>
        </patternFill>
      </fill>
    </dxf>
    <dxf>
      <font>
        <strike val="0"/>
      </font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revisionHeaders" Target="revisions/revisionHeader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usernames" Target="revisions/userNames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25</xdr:row>
      <xdr:rowOff>0</xdr:rowOff>
    </xdr:from>
    <xdr:to>
      <xdr:col>6</xdr:col>
      <xdr:colOff>0</xdr:colOff>
      <xdr:row>26</xdr:row>
      <xdr:rowOff>0</xdr:rowOff>
    </xdr:to>
    <xdr:sp macro="" textlink="">
      <xdr:nvSpPr>
        <xdr:cNvPr id="3098" name="Control 26"/>
        <xdr:cNvSpPr>
          <a:spLocks noRot="1" noChangeArrowheads="1" noChangeShapeType="1" noTextEdit="1"/>
        </xdr:cNvSpPr>
      </xdr:nvSpPr>
      <xdr:spPr bwMode="auto">
        <a:xfrm>
          <a:off x="8848725" y="4219575"/>
          <a:ext cx="0" cy="161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_Synergy/ESG_Dev_65/New%20BMW/AssistSumnLmt/doc/Data%20Dictionary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lobal Data Dictionary"/>
      <sheetName val="Variable Dictionary"/>
      <sheetName val="Global Functions"/>
      <sheetName val="Calibration Dictionary"/>
      <sheetName val="Global Constants"/>
      <sheetName val="NVM"/>
      <sheetName val="Fault Response"/>
      <sheetName val="DTC Masking"/>
      <sheetName val="Layered Module List"/>
      <sheetName val="Template"/>
      <sheetName val="Change Log"/>
      <sheetName val="Help"/>
      <sheetName val="DataValidationLis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queryTables/queryTable1.xml><?xml version="1.0" encoding="utf-8"?>
<queryTable xmlns="http://schemas.openxmlformats.org/spreadsheetml/2006/main" name="masterFddList" refreshOnLoad="1" connectionId="1" autoFormatId="16" applyNumberFormats="0" applyBorderFormats="0" applyFontFormats="1" applyPatternFormats="1" applyAlignmentFormats="0" applyWidthHeightFormats="0"/>
</file>

<file path=xl/revisions/_rels/revisionHeaders.xml.rels><?xml version="1.0" encoding="UTF-8" standalone="yes"?>
<Relationships xmlns="http://schemas.openxmlformats.org/package/2006/relationships"><Relationship Id="rId8" Type="http://schemas.openxmlformats.org/officeDocument/2006/relationships/revisionLog" Target="revisionLog2.xml"/><Relationship Id="rId13" Type="http://schemas.openxmlformats.org/officeDocument/2006/relationships/revisionLog" Target="revisionLog7.xml"/><Relationship Id="rId18" Type="http://schemas.openxmlformats.org/officeDocument/2006/relationships/revisionLog" Target="revisionLog12.xml"/><Relationship Id="rId21" Type="http://schemas.openxmlformats.org/officeDocument/2006/relationships/revisionLog" Target="revisionLog15.xml"/><Relationship Id="rId17" Type="http://schemas.openxmlformats.org/officeDocument/2006/relationships/revisionLog" Target="revisionLog11.xml"/><Relationship Id="rId12" Type="http://schemas.openxmlformats.org/officeDocument/2006/relationships/revisionLog" Target="revisionLog6.xml"/><Relationship Id="rId16" Type="http://schemas.openxmlformats.org/officeDocument/2006/relationships/revisionLog" Target="revisionLog10.xml"/><Relationship Id="rId20" Type="http://schemas.openxmlformats.org/officeDocument/2006/relationships/revisionLog" Target="revisionLog14.xml"/><Relationship Id="rId11" Type="http://schemas.openxmlformats.org/officeDocument/2006/relationships/revisionLog" Target="revisionLog5.xml"/><Relationship Id="rId15" Type="http://schemas.openxmlformats.org/officeDocument/2006/relationships/revisionLog" Target="revisionLog9.xml"/><Relationship Id="rId10" Type="http://schemas.openxmlformats.org/officeDocument/2006/relationships/revisionLog" Target="revisionLog4.xml"/><Relationship Id="rId19" Type="http://schemas.openxmlformats.org/officeDocument/2006/relationships/revisionLog" Target="revisionLog13.xml"/><Relationship Id="rId9" Type="http://schemas.openxmlformats.org/officeDocument/2006/relationships/revisionLog" Target="revisionLog3.xml"/><Relationship Id="rId14" Type="http://schemas.openxmlformats.org/officeDocument/2006/relationships/revisionLog" Target="revisionLog8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3406F925-1FA9-4A2D-887B-B8A03D0A7E7F}" diskRevisions="1" revisionId="531" version="16">
  <header guid="{3ED08C69-8384-4DB2-AFD1-758371307A25}" dateTime="2014-01-21T14:40:19" maxSheetId="10" userName="Kaur, Lovepreet" r:id="rId8" minRId="193" maxRId="196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33BDE4EB-A182-41D3-A51B-BCA433AD56F1}" dateTime="2014-01-21T15:28:03" maxSheetId="10" userName="Kaur, Lovepreet" r:id="rId9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FC0C61EA-49D6-4EBE-A59D-0D4AC669A327}" dateTime="2014-01-21T15:28:19" maxSheetId="10" userName="Kaur, Lovepreet" r:id="rId10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7893B642-48D0-4408-B118-913CE75FBE82}" dateTime="2014-01-22T17:15:41" maxSheetId="10" userName="Kaur, Lovepreet" r:id="rId11" minRId="248" maxRId="274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749674BE-B25D-4CFD-85EE-76B62EA7A66E}" dateTime="2014-01-22T17:16:21" maxSheetId="10" userName="Kaur, Lovepreet" r:id="rId12" minRId="292" maxRId="294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0F15BC90-E8D7-473D-97FD-2F668264C9C2}" dateTime="2014-01-23T10:04:37" maxSheetId="10" userName="Kaur, Lovepreet" r:id="rId13" minRId="312" maxRId="377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E63CDAF5-AA3C-4258-A4D5-7E04CFBBA9E6}" dateTime="2014-01-23T10:06:41" maxSheetId="10" userName="Kaur, Lovepreet" r:id="rId14" minRId="395" maxRId="398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8C4EA4D2-40DA-4DB3-8F24-733107FC6171}" dateTime="2014-01-23T10:14:58" maxSheetId="10" userName="Kaur, Lovepreet" r:id="rId15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D7449240-B383-4291-A277-C13316AE7FC8}" dateTime="2014-01-27T14:42:20" maxSheetId="10" userName="Reddy, Srikanth" r:id="rId16" minRId="416" maxRId="425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F8BD0933-FD2C-44DF-B5D1-E5B6678ECCF2}" dateTime="2014-01-27T15:05:47" maxSheetId="10" userName="Reddy, Srikanth" r:id="rId17" minRId="443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627ADF74-AE28-4D95-A3B8-6015A5C23D3F}" dateTime="2014-01-27T15:09:54" maxSheetId="10" userName="Reddy, Srikanth" r:id="rId18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8E21E3BA-5F48-4B6C-944F-C0EE9D6DFD70}" dateTime="2014-02-02T20:23:51" maxSheetId="10" userName="Reddy, Srikanth" r:id="rId19" minRId="478" maxRId="490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577CBC59-E685-47F6-B06F-153E311688A7}" dateTime="2014-02-05T10:21:52" maxSheetId="10" userName="Reddy, Srikanth" r:id="rId20" minRId="508" maxRId="512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  <header guid="{3406F925-1FA9-4A2D-887B-B8A03D0A7E7F}" dateTime="2014-02-05T10:25:43" maxSheetId="10" userName="Reddy, Srikanth" r:id="rId21" minRId="513" maxRId="514">
    <sheetIdMap count="9">
      <sheetId val="1"/>
      <sheetId val="2"/>
      <sheetId val="3"/>
      <sheetId val="4"/>
      <sheetId val="5"/>
      <sheetId val="6"/>
      <sheetId val="7"/>
      <sheetId val="8"/>
      <sheetId val="9"/>
    </sheetIdMap>
  </header>
</headers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93" sId="1">
    <nc r="A7">
      <v>5</v>
    </nc>
  </rcc>
  <rfmt sheetId="1" sqref="B7" start="0" length="0">
    <dxf>
      <font>
        <sz val="10"/>
        <color auto="1"/>
        <name val="Arial"/>
        <scheme val="none"/>
      </font>
    </dxf>
  </rfmt>
  <rcc rId="194" sId="1">
    <nc r="B7" t="inlineStr">
      <is>
        <t>LK</t>
      </is>
    </nc>
  </rcc>
  <rcc rId="195" sId="1" numFmtId="20">
    <nc r="C7">
      <v>41660</v>
    </nc>
  </rcc>
  <rcc rId="196" sId="1" odxf="1" dxf="1">
    <nc r="D7" t="inlineStr">
      <is>
        <t>Add cal k_PWMBaseFrequency_Hz</t>
      </is>
    </nc>
    <odxf>
      <font>
        <sz val="10"/>
        <color auto="1"/>
        <name val="Arial"/>
        <scheme val="none"/>
      </font>
    </odxf>
    <ndxf>
      <font>
        <sz val="10"/>
        <color auto="1"/>
        <name val="Arial"/>
        <scheme val="none"/>
      </font>
    </ndxf>
  </rcc>
  <rfmt sheetId="3" sqref="A7:XFD7">
    <dxf>
      <fill>
        <patternFill patternType="solid">
          <bgColor rgb="FFFFFF00"/>
        </patternFill>
      </fill>
    </dxf>
  </rfmt>
  <rfmt sheetId="3" s="1" sqref="A7" start="0" length="0">
    <dxf>
      <font>
        <sz val="8"/>
        <color auto="1"/>
        <name val="Arial"/>
        <scheme val="none"/>
      </font>
      <fill>
        <patternFill patternType="none">
          <bgColor indexed="65"/>
        </patternFill>
      </fill>
      <alignment vertical="top" wrapText="1" readingOrder="0"/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  <protection locked="0"/>
    </dxf>
  </rfmt>
  <rfmt sheetId="3" s="1" sqref="B7" start="0" length="0">
    <dxf>
      <font>
        <sz val="8"/>
        <color auto="1"/>
        <name val="Arial"/>
        <scheme val="none"/>
      </font>
      <fill>
        <patternFill patternType="none">
          <bgColor indexed="65"/>
        </patternFill>
      </fill>
      <border outline="0">
        <top style="thin">
          <color indexed="64"/>
        </top>
        <bottom style="thin">
          <color indexed="64"/>
        </bottom>
      </border>
      <protection locked="0"/>
    </dxf>
  </rfmt>
  <rfmt sheetId="3" sqref="A7:B7">
    <dxf>
      <fill>
        <patternFill patternType="solid">
          <bgColor rgb="FFFFFF00"/>
        </patternFill>
      </fill>
    </dxf>
  </rfmt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J9:O9">
    <dxf>
      <fill>
        <patternFill patternType="none">
          <bgColor auto="1"/>
        </patternFill>
      </fill>
    </dxf>
  </rfmt>
  <rfmt sheetId="2" sqref="K30">
    <dxf>
      <fill>
        <patternFill patternType="none">
          <bgColor auto="1"/>
        </patternFill>
      </fill>
    </dxf>
  </rfmt>
  <rfmt sheetId="2" sqref="A34:O36">
    <dxf>
      <fill>
        <patternFill patternType="none">
          <bgColor auto="1"/>
        </patternFill>
      </fill>
    </dxf>
  </rfmt>
  <rfmt sheetId="4" sqref="J4" start="0" length="0">
    <dxf>
      <fill>
        <patternFill patternType="solid">
          <bgColor rgb="FFFFFF99"/>
        </patternFill>
      </fill>
    </dxf>
  </rfmt>
  <rfmt sheetId="4" sqref="A12" start="0" length="2147483647">
    <dxf>
      <font>
        <b/>
      </font>
    </dxf>
  </rfmt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xfDxf="1" s="1" sqref="A37" start="0" length="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/>
        <bottom style="thin">
          <color indexed="64"/>
        </bottom>
      </border>
      <protection locked="1" hidden="0"/>
    </dxf>
  </rfmt>
  <rfmt sheetId="2" xfDxf="1" s="1" sqref="A38" start="0" length="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</rfmt>
  <rfmt sheetId="2" xfDxf="1" s="1" sqref="A39" start="0" length="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</rfmt>
  <rcc rId="248" sId="2" odxf="1" dxf="1">
    <nc r="A37" t="inlineStr">
      <is>
        <t>PwmCdd_PWMPrdMax_Cnt_M_u16</t>
      </is>
    </nc>
    <ndxf/>
  </rcc>
  <rfmt sheetId="2" sqref="B37" start="0" length="0">
    <dxf/>
  </rfmt>
  <rfmt sheetId="2" sqref="C37" start="0" length="0">
    <dxf/>
  </rfmt>
  <rfmt sheetId="2" sqref="D37" start="0" length="0">
    <dxf/>
  </rfmt>
  <rfmt sheetId="2" sqref="E37" start="0" length="0">
    <dxf/>
  </rfmt>
  <rfmt sheetId="2" sqref="F37" start="0" length="0">
    <dxf/>
  </rfmt>
  <rfmt sheetId="2" sqref="G37" start="0" length="0">
    <dxf/>
  </rfmt>
  <rfmt sheetId="2" sqref="H37" start="0" length="0">
    <dxf/>
  </rfmt>
  <rfmt sheetId="2" sqref="I37" start="0" length="0">
    <dxf/>
  </rfmt>
  <rfmt sheetId="2" sqref="J37" start="0" length="0">
    <dxf/>
  </rfmt>
  <rfmt sheetId="2" sqref="K37" start="0" length="0">
    <dxf/>
  </rfmt>
  <rfmt sheetId="2" sqref="L37" start="0" length="0">
    <dxf/>
  </rfmt>
  <rfmt sheetId="2" sqref="M37" start="0" length="0">
    <dxf/>
  </rfmt>
  <rfmt sheetId="2" sqref="N37" start="0" length="0">
    <dxf/>
  </rfmt>
  <rfmt sheetId="2" sqref="O37" start="0" length="0">
    <dxf>
      <font>
        <sz val="8"/>
        <name val="Calibri"/>
        <scheme val="minor"/>
      </font>
    </dxf>
  </rfmt>
  <rcc rId="249" sId="2" odxf="1" dxf="1">
    <nc r="A38" t="inlineStr">
      <is>
        <t>PwmCdd_PWMPrdMin_Cnt_M_u16</t>
      </is>
    </nc>
    <ndxf>
      <font>
        <sz val="8"/>
        <name val="Calibri"/>
        <scheme val="minor"/>
      </font>
      <border outline="0">
        <left style="thin">
          <color indexed="64"/>
        </left>
        <right style="double">
          <color indexed="64"/>
        </right>
        <bottom style="thin">
          <color indexed="64"/>
        </bottom>
      </border>
      <protection locked="1"/>
    </ndxf>
  </rcc>
  <rfmt sheetId="2" sqref="B38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C38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D38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E38" start="0" length="0">
    <dxf>
      <font>
        <sz val="8"/>
        <color auto="1"/>
        <name val="Calibri"/>
        <scheme val="minor"/>
      </font>
      <alignment wrapText="1" readingOrder="0"/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F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G38" start="0" length="0">
    <dxf>
      <font>
        <sz val="8"/>
        <color auto="1"/>
        <name val="Calibri"/>
        <scheme val="minor"/>
      </font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H38" start="0" length="0">
    <dxf>
      <font>
        <sz val="8"/>
        <color auto="1"/>
        <name val="Calibri"/>
        <scheme val="minor"/>
      </font>
      <border outline="0">
        <top style="thin">
          <color indexed="64"/>
        </top>
        <bottom style="thin">
          <color indexed="64"/>
        </bottom>
      </border>
    </dxf>
  </rfmt>
  <rfmt sheetId="2" sqref="I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K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L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M38" start="0" length="0">
    <dxf>
      <font>
        <sz val="8"/>
        <color auto="1"/>
        <name val="Calibri"/>
        <scheme val="minor"/>
      </font>
      <numFmt numFmtId="15" formatCode="0.00E+00"/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O38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P38" start="0" length="0">
    <dxf>
      <font>
        <sz val="8"/>
        <color auto="1"/>
        <name val="Arial"/>
        <scheme val="none"/>
      </font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</rfmt>
  <rcc rId="250" sId="2" odxf="1" dxf="1">
    <nc r="A39" t="inlineStr">
      <is>
        <t>PwmCdd_PWMPrdRange_Cnt_M_u16</t>
      </is>
    </nc>
    <ndxf>
      <font>
        <sz val="8"/>
        <name val="Calibri"/>
        <scheme val="minor"/>
      </font>
      <border outline="0">
        <left style="thin">
          <color indexed="64"/>
        </left>
        <right style="double">
          <color indexed="64"/>
        </right>
        <bottom style="thin">
          <color indexed="64"/>
        </bottom>
      </border>
      <protection locked="1"/>
    </ndxf>
  </rcc>
  <rfmt sheetId="2" sqref="B39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C39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D39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E39" start="0" length="0">
    <dxf>
      <font>
        <sz val="8"/>
        <color auto="1"/>
        <name val="Calibri"/>
        <scheme val="minor"/>
      </font>
      <alignment wrapText="1" readingOrder="0"/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F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G39" start="0" length="0">
    <dxf>
      <font>
        <sz val="8"/>
        <color auto="1"/>
        <name val="Calibri"/>
        <scheme val="minor"/>
      </font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H39" start="0" length="0">
    <dxf>
      <font>
        <sz val="8"/>
        <color auto="1"/>
        <name val="Calibri"/>
        <scheme val="minor"/>
      </font>
      <border outline="0">
        <top style="thin">
          <color indexed="64"/>
        </top>
        <bottom style="thin">
          <color indexed="64"/>
        </bottom>
      </border>
    </dxf>
  </rfmt>
  <rfmt sheetId="2" sqref="I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K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L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M39" start="0" length="0">
    <dxf>
      <font>
        <sz val="8"/>
        <color auto="1"/>
        <name val="Calibri"/>
        <scheme val="minor"/>
      </font>
      <numFmt numFmtId="15" formatCode="0.00E+00"/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O39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P39" start="0" length="0">
    <dxf>
      <font>
        <sz val="8"/>
        <color auto="1"/>
        <name val="Arial"/>
        <scheme val="none"/>
      </font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</rfmt>
  <rcc rId="251" sId="2">
    <nc r="G37" t="inlineStr">
      <is>
        <t>N</t>
      </is>
    </nc>
  </rcc>
  <rcc rId="252" sId="2">
    <nc r="F37" t="inlineStr">
      <is>
        <t>M</t>
      </is>
    </nc>
  </rcc>
  <rcc rId="253" sId="2">
    <nc r="F38" t="inlineStr">
      <is>
        <t>M</t>
      </is>
    </nc>
  </rcc>
  <rcc rId="254" sId="2">
    <nc r="F39" t="inlineStr">
      <is>
        <t>M</t>
      </is>
    </nc>
  </rcc>
  <rcc rId="255" sId="2">
    <nc r="G38" t="inlineStr">
      <is>
        <t>N</t>
      </is>
    </nc>
  </rcc>
  <rcc rId="256" sId="2">
    <nc r="G39" t="inlineStr">
      <is>
        <t>N</t>
      </is>
    </nc>
  </rcc>
  <rcc rId="257" sId="2">
    <nc r="I37">
      <v>0</v>
    </nc>
  </rcc>
  <rcc rId="258" sId="2">
    <nc r="I38">
      <v>0</v>
    </nc>
  </rcc>
  <rcc rId="259" sId="2">
    <nc r="I39">
      <v>0</v>
    </nc>
  </rcc>
  <rcc rId="260" sId="2">
    <nc r="J37">
      <v>400</v>
    </nc>
  </rcc>
  <rcc rId="261" sId="2">
    <nc r="K37">
      <v>666.67</v>
    </nc>
  </rcc>
  <rcc rId="262" sId="2">
    <nc r="J38">
      <v>333.33</v>
    </nc>
  </rcc>
  <rcc rId="263" sId="2">
    <nc r="K38">
      <v>500</v>
    </nc>
  </rcc>
  <rcc rId="264" sId="2">
    <nc r="J39">
      <v>66.67</v>
    </nc>
  </rcc>
  <rcc rId="265" sId="2">
    <nc r="K39">
      <v>166.67</v>
    </nc>
  </rcc>
  <rcc rId="266" sId="2">
    <nc r="L37">
      <v>1</v>
    </nc>
  </rcc>
  <rcc rId="267" sId="2">
    <nc r="L38">
      <v>1</v>
    </nc>
  </rcc>
  <rcc rId="268" sId="2">
    <nc r="L39">
      <v>1</v>
    </nc>
  </rcc>
  <rcc rId="269" sId="2">
    <nc r="N37" t="inlineStr">
      <is>
        <t>Cnts</t>
      </is>
    </nc>
  </rcc>
  <rcc rId="270" sId="2">
    <nc r="N38" t="inlineStr">
      <is>
        <t>Cnts</t>
      </is>
    </nc>
  </rcc>
  <rcc rId="271" sId="2">
    <nc r="N39" t="inlineStr">
      <is>
        <t>Cnts</t>
      </is>
    </nc>
  </rcc>
  <rcc rId="272" sId="2">
    <nc r="O37" t="inlineStr">
      <is>
        <t>uint16</t>
      </is>
    </nc>
  </rcc>
  <rcc rId="273" sId="2">
    <nc r="O38" t="inlineStr">
      <is>
        <t>uint16</t>
      </is>
    </nc>
  </rcc>
  <rcc rId="274" sId="2">
    <nc r="O39" t="inlineStr">
      <is>
        <t>uint16</t>
      </is>
    </nc>
  </rcc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37:O39">
    <dxf>
      <fill>
        <patternFill patternType="solid">
          <bgColor rgb="FFFFFF00"/>
        </patternFill>
      </fill>
    </dxf>
  </rfmt>
  <rcc rId="292" sId="2" odxf="1" dxf="1">
    <nc r="D37" t="inlineStr">
      <is>
        <t>FDD15D SineVoltageGenerationDrive</t>
      </is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c rId="293" sId="2" odxf="1" dxf="1">
    <nc r="D38" t="inlineStr">
      <is>
        <t>FDD15D SineVoltageGenerationDrive</t>
      </is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c rId="294" sId="2" odxf="1" dxf="1">
    <nc r="D39" t="inlineStr">
      <is>
        <t>FDD15D SineVoltageGenerationDrive</t>
      </is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12" sId="1">
    <oc r="D7" t="inlineStr">
      <is>
        <t>Add cal k_PWMBaseFrequency_Hz</t>
      </is>
    </oc>
    <nc r="D7" t="inlineStr">
      <is>
        <t>Add cal k_PWMBaseFrequency_Hz and variables</t>
      </is>
    </nc>
  </rcc>
  <rfmt sheetId="2" sqref="A40" start="0" length="0">
    <dxf>
      <font>
        <sz val="8"/>
        <name val="Calibri"/>
        <scheme val="minor"/>
      </font>
      <border outline="0">
        <left style="thin">
          <color indexed="64"/>
        </left>
        <right style="double">
          <color indexed="64"/>
        </right>
        <bottom style="thin">
          <color indexed="64"/>
        </bottom>
      </border>
      <protection locked="1"/>
    </dxf>
  </rfmt>
  <rfmt sheetId="2" sqref="B40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C40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D40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E40" start="0" length="0">
    <dxf>
      <font>
        <sz val="8"/>
        <color auto="1"/>
        <name val="Calibri"/>
        <scheme val="minor"/>
      </font>
      <alignment wrapText="1" readingOrder="0"/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F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G40" start="0" length="0">
    <dxf>
      <font>
        <sz val="8"/>
        <color auto="1"/>
        <name val="Calibri"/>
        <scheme val="minor"/>
      </font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</dxf>
  </rfmt>
  <rfmt sheetId="2" sqref="H40" start="0" length="0">
    <dxf>
      <font>
        <sz val="8"/>
        <color auto="1"/>
        <name val="Calibri"/>
        <scheme val="minor"/>
      </font>
      <border outline="0">
        <top style="thin">
          <color indexed="64"/>
        </top>
        <bottom style="thin">
          <color indexed="64"/>
        </bottom>
      </border>
    </dxf>
  </rfmt>
  <rfmt sheetId="2" sqref="I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K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L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M40" start="0" length="0">
    <dxf>
      <font>
        <sz val="8"/>
        <color auto="1"/>
        <name val="Calibri"/>
        <scheme val="minor"/>
      </font>
      <numFmt numFmtId="15" formatCode="0.00E+00"/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N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O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P40" start="0" length="0">
    <dxf>
      <font>
        <sz val="8"/>
        <color auto="1"/>
        <name val="Arial"/>
        <scheme val="none"/>
      </font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</rfmt>
  <rcc rId="313" sId="2" odxf="1" dxf="1">
    <nc r="A41" t="inlineStr">
      <is>
        <t>PrevLowerEnd_Cnt_M_u16[4]</t>
      </is>
    </nc>
    <odxf>
      <font>
        <sz val="8"/>
      </font>
      <border outline="0">
        <left/>
        <right/>
        <bottom/>
      </border>
      <protection locked="0"/>
    </odxf>
    <ndxf>
      <font>
        <sz val="8"/>
        <name val="Calibri"/>
        <scheme val="minor"/>
      </font>
      <border outline="0">
        <left style="thin">
          <color indexed="64"/>
        </left>
        <right style="double">
          <color indexed="64"/>
        </right>
        <bottom style="thin">
          <color indexed="64"/>
        </bottom>
      </border>
      <protection locked="1"/>
    </ndxf>
  </rcc>
  <rfmt sheetId="2" sqref="B41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C41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cc rId="314" sId="2" odxf="1" dxf="1">
    <nc r="D41" t="inlineStr">
      <is>
        <t>FDD15D SineVoltageGenerationDrive</t>
      </is>
    </nc>
    <odxf>
      <font>
        <sz val="8"/>
      </font>
      <alignment horizontal="general" readingOrder="0"/>
      <border outline="0">
        <right/>
        <top/>
        <bottom/>
      </border>
      <protection locked="0"/>
    </odxf>
    <n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ndxf>
  </rcc>
  <rfmt sheetId="2" sqref="E41" start="0" length="0">
    <dxf>
      <font>
        <sz val="8"/>
        <color auto="1"/>
        <name val="Calibri"/>
        <scheme val="minor"/>
      </font>
      <alignment wrapText="1" readingOrder="0"/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cc rId="315" sId="2" odxf="1" dxf="1">
    <nc r="F41" t="inlineStr">
      <is>
        <t>M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ndxf>
  </rcc>
  <rcc rId="316" sId="2" odxf="1" dxf="1">
    <nc r="G41" t="inlineStr">
      <is>
        <t>N</t>
      </is>
    </nc>
    <odxf>
      <font>
        <sz val="10"/>
        <color auto="1"/>
        <name val="Arial"/>
        <scheme val="none"/>
      </font>
      <border outline="0">
        <right/>
        <top/>
        <bottom/>
      </border>
    </odxf>
    <ndxf>
      <font>
        <sz val="8"/>
        <color auto="1"/>
        <name val="Calibri"/>
        <scheme val="minor"/>
      </font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</ndxf>
  </rcc>
  <rfmt sheetId="2" sqref="H41" start="0" length="0">
    <dxf>
      <font>
        <sz val="8"/>
        <color auto="1"/>
        <name val="Calibri"/>
        <scheme val="minor"/>
      </font>
      <border outline="0">
        <top style="thin">
          <color indexed="64"/>
        </top>
        <bottom style="thin">
          <color indexed="64"/>
        </bottom>
      </border>
    </dxf>
  </rfmt>
  <rcc rId="317" sId="2" odxf="1" dxf="1">
    <nc r="I41" t="inlineStr">
      <is>
        <t>{0,0,0,0}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18" sId="2" odxf="1" dxf="1">
    <nc r="J41">
      <v>0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19" sId="2" odxf="1" dxf="1">
    <nc r="K41">
      <v>65535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20" sId="2" odxf="1" dxf="1">
    <nc r="L41">
      <v>1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21" sId="2" odxf="1" dxf="1" numFmtId="15">
    <nc r="M41">
      <v>1</v>
    </nc>
    <odxf>
      <font>
        <sz val="10"/>
        <color auto="1"/>
        <name val="Arial"/>
        <scheme val="none"/>
      </font>
      <numFmt numFmtId="0" formatCode="General"/>
      <border outline="0">
        <left/>
        <right/>
        <top/>
        <bottom/>
      </border>
    </odxf>
    <ndxf>
      <font>
        <sz val="8"/>
        <color auto="1"/>
        <name val="Calibri"/>
        <scheme val="minor"/>
      </font>
      <numFmt numFmtId="15" formatCode="0.00E+00"/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22" sId="2" odxf="1" dxf="1">
    <nc r="N41" t="inlineStr">
      <is>
        <t>Cnts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23" sId="2" odxf="1" dxf="1">
    <nc r="O41" t="inlineStr">
      <is>
        <t>uint16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fmt sheetId="2" sqref="P41" start="0" length="0">
    <dxf>
      <font>
        <sz val="8"/>
        <color auto="1"/>
        <name val="Arial"/>
        <scheme val="none"/>
      </font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</rfmt>
  <rcc rId="324" sId="2" odxf="1" dxf="1">
    <nc r="A42" t="inlineStr">
      <is>
        <t>PrevLowerEnd_Cnt_M_u16[4]</t>
      </is>
    </nc>
    <odxf>
      <font>
        <sz val="8"/>
      </font>
      <border outline="0">
        <left/>
        <right/>
        <bottom/>
      </border>
      <protection locked="0"/>
    </odxf>
    <ndxf>
      <font>
        <sz val="8"/>
        <name val="Calibri"/>
        <scheme val="minor"/>
      </font>
      <border outline="0">
        <left style="thin">
          <color indexed="64"/>
        </left>
        <right style="double">
          <color indexed="64"/>
        </right>
        <bottom style="thin">
          <color indexed="64"/>
        </bottom>
      </border>
      <protection locked="1"/>
    </ndxf>
  </rcc>
  <rfmt sheetId="2" sqref="B42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C42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cc rId="325" sId="2" odxf="1" dxf="1">
    <nc r="D42" t="inlineStr">
      <is>
        <t>FDD15D SineVoltageGenerationDrive</t>
      </is>
    </nc>
    <odxf>
      <font>
        <sz val="8"/>
      </font>
      <alignment horizontal="general" readingOrder="0"/>
      <border outline="0">
        <right/>
        <top/>
        <bottom/>
      </border>
      <protection locked="0"/>
    </odxf>
    <n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ndxf>
  </rcc>
  <rfmt sheetId="2" sqref="E42" start="0" length="0">
    <dxf>
      <font>
        <sz val="8"/>
        <color auto="1"/>
        <name val="Calibri"/>
        <scheme val="minor"/>
      </font>
      <alignment wrapText="1" readingOrder="0"/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cc rId="326" sId="2" odxf="1" dxf="1">
    <nc r="F42" t="inlineStr">
      <is>
        <t>M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ndxf>
  </rcc>
  <rcc rId="327" sId="2" odxf="1" dxf="1">
    <nc r="G42" t="inlineStr">
      <is>
        <t>N</t>
      </is>
    </nc>
    <odxf>
      <font>
        <sz val="10"/>
        <color auto="1"/>
        <name val="Arial"/>
        <scheme val="none"/>
      </font>
      <border outline="0">
        <right/>
        <top/>
        <bottom/>
      </border>
    </odxf>
    <ndxf>
      <font>
        <sz val="8"/>
        <color auto="1"/>
        <name val="Calibri"/>
        <scheme val="minor"/>
      </font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</ndxf>
  </rcc>
  <rfmt sheetId="2" sqref="H42" start="0" length="0">
    <dxf>
      <font>
        <sz val="8"/>
        <color auto="1"/>
        <name val="Calibri"/>
        <scheme val="minor"/>
      </font>
      <border outline="0">
        <top style="thin">
          <color indexed="64"/>
        </top>
        <bottom style="thin">
          <color indexed="64"/>
        </bottom>
      </border>
    </dxf>
  </rfmt>
  <rcc rId="328" sId="2" odxf="1" dxf="1">
    <nc r="I42" t="inlineStr">
      <is>
        <t>{0,0,0,0}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29" sId="2" odxf="1" dxf="1">
    <nc r="J42">
      <v>0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30" sId="2" odxf="1" dxf="1">
    <nc r="K42">
      <v>65535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31" sId="2" odxf="1" dxf="1">
    <nc r="L42">
      <v>1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32" sId="2" odxf="1" dxf="1" numFmtId="15">
    <nc r="M42">
      <v>1</v>
    </nc>
    <odxf>
      <font>
        <sz val="10"/>
        <color auto="1"/>
        <name val="Arial"/>
        <scheme val="none"/>
      </font>
      <numFmt numFmtId="0" formatCode="General"/>
      <border outline="0">
        <left/>
        <right/>
        <top/>
        <bottom/>
      </border>
    </odxf>
    <ndxf>
      <font>
        <sz val="8"/>
        <color auto="1"/>
        <name val="Calibri"/>
        <scheme val="minor"/>
      </font>
      <numFmt numFmtId="15" formatCode="0.00E+00"/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333" sId="2" odxf="1" dxf="1">
    <nc r="N42" t="inlineStr">
      <is>
        <t>Cnts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334" sId="2" odxf="1" dxf="1">
    <nc r="O42" t="inlineStr">
      <is>
        <t>uint16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fmt sheetId="2" sqref="P42" start="0" length="0">
    <dxf>
      <font>
        <sz val="8"/>
        <color auto="1"/>
        <name val="Arial"/>
        <scheme val="none"/>
      </font>
      <border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</rfmt>
  <rrc rId="335" sId="2" ref="A41:XFD41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41:XFD41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cc rId="0" sId="2" dxf="1">
      <nc r="A41" t="inlineStr">
        <is>
          <t>PrevLowerEnd_Cnt_M_u16[4]</t>
        </is>
      </nc>
      <ndxf>
        <font>
          <sz val="8"/>
          <color auto="1"/>
          <name val="Calibri"/>
          <scheme val="minor"/>
        </font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ndxf>
    </rcc>
    <rfmt sheetId="2" sqref="B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cc rId="0" sId="2" dxf="1">
      <nc r="D41" t="inlineStr">
        <is>
          <t>FDD15D SineVoltageGenerationDrive</t>
        </is>
      </nc>
      <n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E41" start="0" length="0">
      <dxf>
        <font>
          <sz val="8"/>
          <color auto="1"/>
          <name val="Calibri"/>
          <scheme val="minor"/>
        </font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F41" t="inlineStr">
        <is>
          <t>M</t>
        </is>
      </nc>
      <ndxf>
        <font>
          <sz val="8"/>
          <color auto="1"/>
          <name val="Calibri"/>
          <scheme val="minor"/>
        </font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G41" t="inlineStr">
        <is>
          <t>N</t>
        </is>
      </nc>
      <ndxf>
        <font>
          <sz val="8"/>
          <color auto="1"/>
          <name val="Calibri"/>
          <scheme val="minor"/>
        </font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2" sqref="H41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cc rId="0" sId="2" dxf="1">
      <nc r="I41" t="inlineStr">
        <is>
          <t>{0,0,0,0}</t>
        </is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J41">
        <v>0</v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K41">
        <v>65535</v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L41">
        <v>1</v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 numFmtId="15">
      <nc r="M41">
        <v>1</v>
      </nc>
      <ndxf>
        <font>
          <sz val="8"/>
          <color auto="1"/>
          <name val="Calibri"/>
          <scheme val="minor"/>
        </font>
        <numFmt numFmtId="15" formatCode="0.00E+00"/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N41" t="inlineStr">
        <is>
          <t>Cnts</t>
        </is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O41" t="inlineStr">
        <is>
          <t>uint16</t>
        </is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P41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41" start="0" length="0">
      <dxf>
        <alignment horizontal="left" vertical="top" readingOrder="0"/>
      </dxf>
    </rfmt>
    <rfmt sheetId="2" sqref="R41" start="0" length="0">
      <dxf>
        <alignment horizontal="left" vertical="top" readingOrder="0"/>
      </dxf>
    </rfmt>
  </rrc>
  <rrc rId="336" sId="2" ref="A41:XFD41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41:XFD41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cc rId="0" sId="2" dxf="1">
      <nc r="A41" t="inlineStr">
        <is>
          <t>PrevLowerEnd_Cnt_M_u16[4]</t>
        </is>
      </nc>
      <ndxf>
        <font>
          <sz val="8"/>
          <color auto="1"/>
          <name val="Calibri"/>
          <scheme val="minor"/>
        </font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ndxf>
    </rcc>
    <rfmt sheetId="2" sqref="B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cc rId="0" sId="2" dxf="1">
      <nc r="D41" t="inlineStr">
        <is>
          <t>FDD15D SineVoltageGenerationDrive</t>
        </is>
      </nc>
      <n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E41" start="0" length="0">
      <dxf>
        <font>
          <sz val="8"/>
          <color auto="1"/>
          <name val="Calibri"/>
          <scheme val="minor"/>
        </font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F41" t="inlineStr">
        <is>
          <t>M</t>
        </is>
      </nc>
      <ndxf>
        <font>
          <sz val="8"/>
          <color auto="1"/>
          <name val="Calibri"/>
          <scheme val="minor"/>
        </font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G41" t="inlineStr">
        <is>
          <t>N</t>
        </is>
      </nc>
      <ndxf>
        <font>
          <sz val="8"/>
          <color auto="1"/>
          <name val="Calibri"/>
          <scheme val="minor"/>
        </font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2" sqref="H41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cc rId="0" sId="2" dxf="1">
      <nc r="I41" t="inlineStr">
        <is>
          <t>{0,0,0,0}</t>
        </is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J41">
        <v>0</v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K41">
        <v>65535</v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L41">
        <v>1</v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 numFmtId="15">
      <nc r="M41">
        <v>1</v>
      </nc>
      <ndxf>
        <font>
          <sz val="8"/>
          <color auto="1"/>
          <name val="Calibri"/>
          <scheme val="minor"/>
        </font>
        <numFmt numFmtId="15" formatCode="0.00E+00"/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N41" t="inlineStr">
        <is>
          <t>Cnts</t>
        </is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O41" t="inlineStr">
        <is>
          <t>uint16</t>
        </is>
      </nc>
      <n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P41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41" start="0" length="0">
      <dxf>
        <alignment horizontal="left" vertical="top" readingOrder="0"/>
      </dxf>
    </rfmt>
    <rfmt sheetId="2" sqref="R41" start="0" length="0">
      <dxf>
        <alignment horizontal="left" vertical="top" readingOrder="0"/>
      </dxf>
    </rfmt>
  </rrc>
  <rfmt sheetId="2" sqref="D34" start="0" length="0">
    <dxf/>
  </rfmt>
  <rfmt sheetId="2" sqref="D35" start="0" length="0">
    <dxf/>
  </rfmt>
  <rfmt sheetId="2" sqref="D36" start="0" length="0">
    <dxf/>
  </rfmt>
  <rcc rId="337" sId="2">
    <oc r="D37" t="inlineStr">
      <is>
        <t>FDD15D SineVoltageGenerationDrive</t>
      </is>
    </oc>
    <nc r="D37"/>
  </rcc>
  <rcc rId="338" sId="2">
    <oc r="D38" t="inlineStr">
      <is>
        <t>FDD15D SineVoltageGenerationDrive</t>
      </is>
    </oc>
    <nc r="D38"/>
  </rcc>
  <rcc rId="339" sId="2">
    <oc r="D39" t="inlineStr">
      <is>
        <t>FDD15D SineVoltageGenerationDrive</t>
      </is>
    </oc>
    <nc r="D39"/>
  </rcc>
  <rfmt sheetId="2" sqref="D40" start="0" length="0">
    <dxf/>
  </rfmt>
  <rcc rId="340" sId="2">
    <nc r="D34" t="inlineStr">
      <is>
        <t>FDD15D SineVoltageGenerationDrive</t>
      </is>
    </nc>
  </rcc>
  <rrc rId="341" sId="2" ref="A34:XFD34" action="insert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</rrc>
  <rrc rId="342" sId="2" ref="A34:XFD36" action="insert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</rrc>
  <rcc rId="343" sId="2" odxf="1" dxf="1">
    <nc r="A34" t="inlineStr">
      <is>
        <t>PwmCdd_PWMPrdMax_Cnt_M_u16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B34" start="0" length="0">
    <dxf>
      <fill>
        <patternFill patternType="solid">
          <bgColor rgb="FFFFFF00"/>
        </patternFill>
      </fill>
    </dxf>
  </rfmt>
  <rfmt sheetId="2" sqref="C34" start="0" length="0">
    <dxf>
      <fill>
        <patternFill patternType="solid">
          <bgColor rgb="FFFFFF00"/>
        </patternFill>
      </fill>
    </dxf>
  </rfmt>
  <rfmt sheetId="2" sqref="E34" start="0" length="0">
    <dxf>
      <fill>
        <patternFill patternType="solid">
          <bgColor rgb="FFFFFF00"/>
        </patternFill>
      </fill>
    </dxf>
  </rfmt>
  <rcc rId="344" sId="2" odxf="1" dxf="1">
    <nc r="F34" t="inlineStr">
      <is>
        <t>M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45" sId="2" odxf="1" dxf="1">
    <nc r="G34" t="inlineStr">
      <is>
        <t>N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H34" start="0" length="0">
    <dxf>
      <fill>
        <patternFill patternType="solid">
          <bgColor rgb="FFFFFF00"/>
        </patternFill>
      </fill>
    </dxf>
  </rfmt>
  <rcc rId="346" sId="2" odxf="1" dxf="1">
    <nc r="I34">
      <v>0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47" sId="2" odxf="1" dxf="1">
    <nc r="J34">
      <v>400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48" sId="2" odxf="1" dxf="1">
    <nc r="K34">
      <v>666.67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49" sId="2" odxf="1" dxf="1">
    <nc r="L34">
      <v>1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M34" start="0" length="0">
    <dxf>
      <fill>
        <patternFill patternType="solid">
          <bgColor rgb="FFFFFF00"/>
        </patternFill>
      </fill>
    </dxf>
  </rfmt>
  <rcc rId="350" sId="2" odxf="1" dxf="1">
    <nc r="N34" t="inlineStr">
      <is>
        <t>Cnts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51" sId="2" odxf="1" dxf="1">
    <nc r="O34" t="inlineStr">
      <is>
        <t>uint16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52" sId="2" odxf="1" dxf="1">
    <nc r="A35" t="inlineStr">
      <is>
        <t>PwmCdd_PWMPrdMin_Cnt_M_u16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B35" start="0" length="0">
    <dxf>
      <fill>
        <patternFill patternType="solid">
          <bgColor rgb="FFFFFF00"/>
        </patternFill>
      </fill>
    </dxf>
  </rfmt>
  <rfmt sheetId="2" sqref="C35" start="0" length="0">
    <dxf>
      <fill>
        <patternFill patternType="solid">
          <bgColor rgb="FFFFFF00"/>
        </patternFill>
      </fill>
    </dxf>
  </rfmt>
  <rfmt sheetId="2" sqref="E35" start="0" length="0">
    <dxf>
      <fill>
        <patternFill patternType="solid">
          <bgColor rgb="FFFFFF00"/>
        </patternFill>
      </fill>
    </dxf>
  </rfmt>
  <rcc rId="353" sId="2" odxf="1" dxf="1">
    <nc r="F35" t="inlineStr">
      <is>
        <t>M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54" sId="2" odxf="1" dxf="1">
    <nc r="G35" t="inlineStr">
      <is>
        <t>N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H35" start="0" length="0">
    <dxf>
      <fill>
        <patternFill patternType="solid">
          <bgColor rgb="FFFFFF00"/>
        </patternFill>
      </fill>
    </dxf>
  </rfmt>
  <rcc rId="355" sId="2" odxf="1" dxf="1">
    <nc r="I35">
      <v>0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56" sId="2" odxf="1" dxf="1">
    <nc r="J35">
      <v>333.33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57" sId="2" odxf="1" dxf="1">
    <nc r="K35">
      <v>500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58" sId="2" odxf="1" dxf="1">
    <nc r="L35">
      <v>1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M35" start="0" length="0">
    <dxf>
      <fill>
        <patternFill patternType="solid">
          <bgColor rgb="FFFFFF00"/>
        </patternFill>
      </fill>
    </dxf>
  </rfmt>
  <rcc rId="359" sId="2" odxf="1" dxf="1">
    <nc r="N35" t="inlineStr">
      <is>
        <t>Cnts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0" sId="2" odxf="1" dxf="1">
    <nc r="O35" t="inlineStr">
      <is>
        <t>uint16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1" sId="2" odxf="1" dxf="1">
    <nc r="A36" t="inlineStr">
      <is>
        <t>PwmCdd_PWMPrdRange_Cnt_M_u16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B36" start="0" length="0">
    <dxf>
      <fill>
        <patternFill patternType="solid">
          <bgColor rgb="FFFFFF00"/>
        </patternFill>
      </fill>
    </dxf>
  </rfmt>
  <rfmt sheetId="2" sqref="C36" start="0" length="0">
    <dxf>
      <fill>
        <patternFill patternType="solid">
          <bgColor rgb="FFFFFF00"/>
        </patternFill>
      </fill>
    </dxf>
  </rfmt>
  <rfmt sheetId="2" sqref="E36" start="0" length="0">
    <dxf>
      <fill>
        <patternFill patternType="solid">
          <bgColor rgb="FFFFFF00"/>
        </patternFill>
      </fill>
    </dxf>
  </rfmt>
  <rcc rId="362" sId="2" odxf="1" dxf="1">
    <nc r="F36" t="inlineStr">
      <is>
        <t>M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3" sId="2" odxf="1" dxf="1">
    <nc r="G36" t="inlineStr">
      <is>
        <t>N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H36" start="0" length="0">
    <dxf>
      <fill>
        <patternFill patternType="solid">
          <bgColor rgb="FFFFFF00"/>
        </patternFill>
      </fill>
    </dxf>
  </rfmt>
  <rcc rId="364" sId="2" odxf="1" dxf="1">
    <nc r="I36">
      <v>0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5" sId="2" odxf="1" dxf="1">
    <nc r="J36">
      <v>66.67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6" sId="2" odxf="1" dxf="1">
    <nc r="K36">
      <v>166.67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7" sId="2" odxf="1" dxf="1">
    <nc r="L36">
      <v>1</v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fmt sheetId="2" sqref="M36" start="0" length="0">
    <dxf>
      <fill>
        <patternFill patternType="solid">
          <bgColor rgb="FFFFFF00"/>
        </patternFill>
      </fill>
    </dxf>
  </rfmt>
  <rcc rId="368" sId="2" odxf="1" dxf="1">
    <nc r="N36" t="inlineStr">
      <is>
        <t>Cnts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69" sId="2" odxf="1" dxf="1">
    <nc r="O36" t="inlineStr">
      <is>
        <t>uint16</t>
      </is>
    </nc>
    <odxf>
      <fill>
        <patternFill patternType="none">
          <bgColor indexed="65"/>
        </patternFill>
      </fill>
    </odxf>
    <ndxf>
      <fill>
        <patternFill patternType="solid">
          <bgColor rgb="FFFFFF00"/>
        </patternFill>
      </fill>
    </ndxf>
  </rcc>
  <rcc rId="370" sId="2">
    <nc r="D34" t="inlineStr">
      <is>
        <t>FDD15D SineVoltageGenerationDrive</t>
      </is>
    </nc>
  </rcc>
  <rcc rId="371" sId="2">
    <nc r="D35" t="inlineStr">
      <is>
        <t>FDD15D SineVoltageGenerationDrive</t>
      </is>
    </nc>
  </rcc>
  <rcc rId="372" sId="2">
    <nc r="D36" t="inlineStr">
      <is>
        <t>FDD15D SineVoltageGenerationDrive</t>
      </is>
    </nc>
  </rcc>
  <rrc rId="373" sId="2" ref="A41:XFD41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41:XFD41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cc rId="0" sId="2" dxf="1">
      <nc r="A41" t="inlineStr">
        <is>
          <t>PwmCdd_PWMPrdMax_Cnt_M_u16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ndxf>
    </rcc>
    <rfmt sheetId="2" sqref="B41" start="0" length="0">
      <dxf>
        <font>
          <sz val="8"/>
          <color rgb="FF000000"/>
          <name val="Calibri"/>
          <scheme val="minor"/>
        </font>
        <fill>
          <patternFill patternType="solid">
            <bgColor rgb="FFFFFF00"/>
          </patternFill>
        </fill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41" start="0" length="0">
      <dxf>
        <font>
          <sz val="8"/>
          <color rgb="FF000000"/>
          <name val="Calibri"/>
          <scheme val="minor"/>
        </font>
        <fill>
          <patternFill patternType="solid">
            <bgColor rgb="FFFFFF00"/>
          </patternFill>
        </fill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D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E41" start="0" length="0">
      <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F41" t="inlineStr">
        <is>
          <t>M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G41" t="inlineStr">
        <is>
          <t>N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2" sqref="H41" start="0" length="0">
      <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cc rId="0" sId="2" dxf="1">
      <nc r="I41">
        <v>0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J41">
        <v>400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K41">
        <v>666.67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L41">
        <v>1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M41" start="0" length="0">
      <dxf>
        <font>
          <sz val="8"/>
          <color auto="1"/>
          <name val="Calibri"/>
          <scheme val="minor"/>
        </font>
        <numFmt numFmtId="15" formatCode="0.00E+00"/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N41" t="inlineStr">
        <is>
          <t>Cnts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O41" t="inlineStr">
        <is>
          <t>uint16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P41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41" start="0" length="0">
      <dxf>
        <alignment horizontal="left" vertical="top" readingOrder="0"/>
      </dxf>
    </rfmt>
    <rfmt sheetId="2" sqref="R41" start="0" length="0">
      <dxf>
        <alignment horizontal="left" vertical="top" readingOrder="0"/>
      </dxf>
    </rfmt>
  </rrc>
  <rrc rId="374" sId="2" ref="A41:XFD41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41:XFD41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cc rId="0" sId="2" dxf="1">
      <nc r="A41" t="inlineStr">
        <is>
          <t>PwmCdd_PWMPrdMin_Cnt_M_u16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ndxf>
    </rcc>
    <rfmt sheetId="2" sqref="B41" start="0" length="0">
      <dxf>
        <font>
          <sz val="8"/>
          <color rgb="FF000000"/>
          <name val="Calibri"/>
          <scheme val="minor"/>
        </font>
        <fill>
          <patternFill patternType="solid">
            <bgColor rgb="FFFFFF00"/>
          </patternFill>
        </fill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41" start="0" length="0">
      <dxf>
        <font>
          <sz val="8"/>
          <color rgb="FF000000"/>
          <name val="Calibri"/>
          <scheme val="minor"/>
        </font>
        <fill>
          <patternFill patternType="solid">
            <bgColor rgb="FFFFFF00"/>
          </patternFill>
        </fill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D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E41" start="0" length="0">
      <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F41" t="inlineStr">
        <is>
          <t>M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G41" t="inlineStr">
        <is>
          <t>N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2" sqref="H41" start="0" length="0">
      <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cc rId="0" sId="2" dxf="1">
      <nc r="I41">
        <v>0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J41">
        <v>333.33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K41">
        <v>500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L41">
        <v>1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M41" start="0" length="0">
      <dxf>
        <font>
          <sz val="8"/>
          <color auto="1"/>
          <name val="Calibri"/>
          <scheme val="minor"/>
        </font>
        <numFmt numFmtId="15" formatCode="0.00E+00"/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N41" t="inlineStr">
        <is>
          <t>Cnts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O41" t="inlineStr">
        <is>
          <t>uint16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P41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41" start="0" length="0">
      <dxf>
        <alignment horizontal="left" vertical="top" readingOrder="0"/>
      </dxf>
    </rfmt>
    <rfmt sheetId="2" sqref="R41" start="0" length="0">
      <dxf>
        <alignment horizontal="left" vertical="top" readingOrder="0"/>
      </dxf>
    </rfmt>
  </rrc>
  <rrc rId="375" sId="2" ref="A41:XFD41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41:XFD41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cc rId="0" sId="2" dxf="1">
      <nc r="A41" t="inlineStr">
        <is>
          <t>PwmCdd_PWMPrdRange_Cnt_M_u16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ndxf>
    </rcc>
    <rfmt sheetId="2" sqref="B41" start="0" length="0">
      <dxf>
        <font>
          <sz val="8"/>
          <color rgb="FF000000"/>
          <name val="Calibri"/>
          <scheme val="minor"/>
        </font>
        <fill>
          <patternFill patternType="solid">
            <bgColor rgb="FFFFFF00"/>
          </patternFill>
        </fill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41" start="0" length="0">
      <dxf>
        <font>
          <sz val="8"/>
          <color rgb="FF000000"/>
          <name val="Calibri"/>
          <scheme val="minor"/>
        </font>
        <fill>
          <patternFill patternType="solid">
            <bgColor rgb="FFFFFF00"/>
          </patternFill>
        </fill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D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E41" start="0" length="0">
      <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F41" t="inlineStr">
        <is>
          <t>M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G41" t="inlineStr">
        <is>
          <t>N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ndxf>
    </rcc>
    <rfmt sheetId="2" sqref="H41" start="0" length="0">
      <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cc rId="0" sId="2" dxf="1">
      <nc r="I41">
        <v>0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ndxf>
    </rcc>
    <rcc rId="0" sId="2" dxf="1">
      <nc r="J41">
        <v>66.67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K41">
        <v>166.67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L41">
        <v>1</v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M41" start="0" length="0">
      <dxf>
        <font>
          <sz val="8"/>
          <color auto="1"/>
          <name val="Calibri"/>
          <scheme val="minor"/>
        </font>
        <numFmt numFmtId="15" formatCode="0.00E+00"/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cc rId="0" sId="2" dxf="1">
      <nc r="N41" t="inlineStr">
        <is>
          <t>Cnts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cc rId="0" sId="2" dxf="1">
      <nc r="O41" t="inlineStr">
        <is>
          <t>uint16</t>
        </is>
      </nc>
      <ndxf>
        <font>
          <sz val="8"/>
          <color auto="1"/>
          <name val="Calibri"/>
          <scheme val="minor"/>
        </font>
        <fill>
          <patternFill patternType="solid">
            <bgColor rgb="FFFFFF00"/>
          </patternFill>
        </fill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ndxf>
    </rcc>
    <rfmt sheetId="2" sqref="P41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41" start="0" length="0">
      <dxf>
        <alignment horizontal="left" vertical="top" readingOrder="0"/>
      </dxf>
    </rfmt>
    <rfmt sheetId="2" sqref="R41" start="0" length="0">
      <dxf>
        <alignment horizontal="left" vertical="top" readingOrder="0"/>
      </dxf>
    </rfmt>
  </rrc>
  <rrc rId="376" sId="2" ref="A41:XFD41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41:XFD41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fmt sheetId="2" sqref="A41" start="0" length="0">
      <dxf>
        <font>
          <sz val="8"/>
          <color auto="1"/>
          <name val="Calibri"/>
          <scheme val="minor"/>
        </font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dxf>
    </rfmt>
    <rfmt sheetId="2" sqref="B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D41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E41" start="0" length="0">
      <dxf>
        <font>
          <sz val="8"/>
          <color auto="1"/>
          <name val="Calibri"/>
          <scheme val="minor"/>
        </font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41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41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41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fmt sheetId="2" sqref="I41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41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K41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L41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M41" start="0" length="0">
      <dxf>
        <font>
          <sz val="8"/>
          <color auto="1"/>
          <name val="Calibri"/>
          <scheme val="minor"/>
        </font>
        <numFmt numFmtId="15" formatCode="0.00E+00"/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41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O41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P41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41" start="0" length="0">
      <dxf>
        <alignment horizontal="left" vertical="top" readingOrder="0"/>
      </dxf>
    </rfmt>
    <rfmt sheetId="2" sqref="R41" start="0" length="0">
      <dxf>
        <alignment horizontal="left" vertical="top" readingOrder="0"/>
      </dxf>
    </rfmt>
  </rrc>
  <rrc rId="377" sId="2" ref="A37:XFD37" action="deleteRow">
    <undo index="2" exp="area" ref3D="1" dr="$P$1:$P$1048576" dn="Z_4133ED5E_99F2_4B74_85B8_24C66B4DC868_.wvu.Cols" sId="2"/>
    <undo index="1" exp="area" ref3D="1" dr="$C$1:$C$1048576" dn="Z_4133ED5E_99F2_4B74_85B8_24C66B4DC868_.wvu.Cols" sId="2"/>
    <undo index="2" exp="area" ref3D="1" dr="$P$1:$P$1048576" dn="Z_CDE91C1B_E8DA_4970_958C_BB86FE77ABD6_.wvu.Cols" sId="2"/>
    <undo index="1" exp="area" ref3D="1" dr="$C$1:$C$1048576" dn="Z_CDE91C1B_E8DA_4970_958C_BB86FE77ABD6_.wvu.Cols" sId="2"/>
    <undo index="2" exp="area" ref3D="1" dr="$P$1:$P$1048576" dn="Z_C44768EB_A6B9_4D4C_A778_B11850F195E2_.wvu.Cols" sId="2"/>
    <undo index="1" exp="area" ref3D="1" dr="$C$1:$C$1048576" dn="Z_C44768EB_A6B9_4D4C_A778_B11850F195E2_.wvu.Cols" sId="2"/>
    <rfmt sheetId="2" xfDxf="1" s="1" sqref="A37:XFD37" start="0" length="0">
      <dxf>
        <font>
          <b val="0"/>
          <i val="0"/>
          <strike val="0"/>
          <condense val="0"/>
          <extend val="0"/>
          <outline val="0"/>
          <shadow val="0"/>
          <u val="none"/>
          <vertAlign val="baseline"/>
          <sz val="10"/>
          <color auto="1"/>
          <name val="Arial"/>
          <scheme val="none"/>
        </font>
        <numFmt numFmtId="0" formatCode="General"/>
        <fill>
          <patternFill patternType="none">
            <fgColor indexed="64"/>
            <bgColor indexed="65"/>
          </patternFill>
        </fill>
        <alignment horizontal="general" vertical="bottom" textRotation="0" wrapText="0" indent="0" justifyLastLine="0" shrinkToFit="0" readingOrder="0"/>
        <border diagonalUp="0" diagonalDown="0" outline="0">
          <left/>
          <right/>
          <top/>
          <bottom/>
        </border>
        <protection locked="0" hidden="0"/>
      </dxf>
    </rfmt>
    <rfmt sheetId="2" sqref="A37" start="0" length="0">
      <dxf>
        <font>
          <sz val="8"/>
          <color auto="1"/>
          <name val="Calibri"/>
          <scheme val="minor"/>
        </font>
        <alignment vertical="top" wrapText="1" readingOrder="0"/>
        <border outline="0">
          <left style="thin">
            <color indexed="64"/>
          </left>
          <right style="double">
            <color indexed="64"/>
          </right>
          <bottom style="thin">
            <color indexed="64"/>
          </bottom>
        </border>
        <protection locked="1"/>
      </dxf>
    </rfmt>
    <rfmt sheetId="2" sqref="B37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C37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D37" start="0" length="0">
      <dxf>
        <font>
          <sz val="8"/>
          <color rgb="FF000000"/>
          <name val="Calibri"/>
          <scheme val="minor"/>
        </font>
        <alignment horizontal="left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E37" start="0" length="0">
      <dxf>
        <font>
          <sz val="8"/>
          <color auto="1"/>
          <name val="Calibri"/>
          <scheme val="minor"/>
        </font>
        <alignment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F37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left style="double">
            <color indexed="64"/>
          </left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G37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right style="double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H37" start="0" length="0">
      <dxf>
        <font>
          <sz val="8"/>
          <color auto="1"/>
          <name val="Calibri"/>
          <scheme val="minor"/>
        </font>
        <alignment horizontal="center" vertical="top" wrapText="1" readingOrder="0"/>
        <border outline="0">
          <top style="thin">
            <color indexed="64"/>
          </top>
          <bottom style="thin">
            <color indexed="64"/>
          </bottom>
        </border>
      </dxf>
    </rfmt>
    <rfmt sheetId="2" sqref="I37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J37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K37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L37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M37" start="0" length="0">
      <dxf>
        <font>
          <sz val="8"/>
          <color auto="1"/>
          <name val="Calibri"/>
          <scheme val="minor"/>
        </font>
        <numFmt numFmtId="15" formatCode="0.00E+00"/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N37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O37" start="0" length="0">
      <dxf>
        <font>
          <sz val="8"/>
          <color auto="1"/>
          <name val="Calibri"/>
          <scheme val="minor"/>
        </font>
        <alignment horizontal="center" vertical="top" readingOrder="0"/>
        <border outline="0">
          <left style="double">
            <color indexed="64"/>
          </left>
          <right style="thin">
            <color indexed="64"/>
          </right>
          <top style="thin">
            <color indexed="64"/>
          </top>
          <bottom style="thin">
            <color indexed="64"/>
          </bottom>
        </border>
        <protection locked="1"/>
      </dxf>
    </rfmt>
    <rfmt sheetId="2" sqref="P37" start="0" length="0">
      <dxf>
        <font>
          <sz val="8"/>
          <color auto="1"/>
          <name val="Arial"/>
          <scheme val="none"/>
        </font>
        <alignment horizontal="center" vertical="top" readingOrder="0"/>
        <border outline="0">
          <left style="thin">
            <color indexed="64"/>
          </left>
          <right style="medium">
            <color indexed="64"/>
          </right>
          <top style="thin">
            <color indexed="64"/>
          </top>
          <bottom style="thin">
            <color indexed="64"/>
          </bottom>
        </border>
      </dxf>
    </rfmt>
    <rfmt sheetId="2" sqref="Q37" start="0" length="0">
      <dxf>
        <alignment horizontal="left" vertical="top" readingOrder="0"/>
      </dxf>
    </rfmt>
    <rfmt sheetId="2" sqref="R37" start="0" length="0">
      <dxf>
        <alignment horizontal="left" vertical="top" readingOrder="0"/>
      </dxf>
    </rfmt>
  </rrc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395" sId="2" odxf="1" dxf="1" numFmtId="15">
    <nc r="M34">
      <v>1</v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c rId="396" sId="2" odxf="1" dxf="1" numFmtId="15">
    <nc r="M35">
      <v>1</v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c rId="397" sId="2" odxf="1" dxf="1" numFmtId="15">
    <nc r="M36">
      <v>1</v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  <rcc rId="398" sId="3" odxf="1" dxf="1">
    <nc r="N7" t="inlineStr">
      <is>
        <t>PwmCdd</t>
      </is>
    </nc>
    <odxf>
      <fill>
        <patternFill patternType="solid">
          <bgColor rgb="FFFFFF00"/>
        </patternFill>
      </fill>
    </odxf>
    <ndxf>
      <fill>
        <patternFill patternType="none">
          <bgColor indexed="65"/>
        </patternFill>
      </fill>
    </ndxf>
  </rcc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4133ED5E-99F2-4B74-85B8-24C66B4DC868}" action="delete"/>
  <rdn rId="0" localSheetId="1" customView="1" name="Z_4133ED5E_99F2_4B74_85B8_24C66B4DC868_.wvu.FilterData" hidden="1" oldHidden="1">
    <formula>'Change Log'!$A$2:$D$4</formula>
    <oldFormula>'Change Log'!$A$2:$D$4</oldFormula>
  </rdn>
  <rdn rId="0" localSheetId="2" customView="1" name="Z_4133ED5E_99F2_4B74_85B8_24C66B4DC868_.wvu.PrintArea" hidden="1" oldHidden="1">
    <formula>'Variable Dictionary'!$A$1:$P$12</formula>
    <oldFormula>'Variable Dictionary'!$A$1:$P$12</oldFormula>
  </rdn>
  <rdn rId="0" localSheetId="2" customView="1" name="Z_4133ED5E_99F2_4B74_85B8_24C66B4DC868_.wvu.PrintTitles" hidden="1" oldHidden="1">
    <formula>'Variable Dictionary'!$1:$4</formula>
    <oldFormula>'Variable Dictionary'!$1:$4</oldFormula>
  </rdn>
  <rdn rId="0" localSheetId="2" customView="1" name="Z_4133ED5E_99F2_4B74_85B8_24C66B4DC868_.wvu.Cols" hidden="1" oldHidden="1">
    <formula>'Variable Dictionary'!$C:$C,'Variable Dictionary'!$P:$P</formula>
    <oldFormula>'Variable Dictionary'!$C:$C,'Variable Dictionary'!$P:$P</oldFormula>
  </rdn>
  <rdn rId="0" localSheetId="2" customView="1" name="Z_4133ED5E_99F2_4B74_85B8_24C66B4DC868_.wvu.FilterData" hidden="1" oldHidden="1">
    <formula>'Variable Dictionary'!$A$1:$S$12</formula>
    <oldFormula>'Variable Dictionary'!$A$1:$S$12</oldFormula>
  </rdn>
  <rdn rId="0" localSheetId="3" customView="1" name="Z_4133ED5E_99F2_4B74_85B8_24C66B4DC868_.wvu.PrintArea" hidden="1" oldHidden="1">
    <formula>'Calibration Dictionary'!$A$1:$O$7</formula>
    <oldFormula>'Calibration Dictionary'!$A$1:$O$7</oldFormula>
  </rdn>
  <rdn rId="0" localSheetId="3" customView="1" name="Z_4133ED5E_99F2_4B74_85B8_24C66B4DC868_.wvu.PrintTitles" hidden="1" oldHidden="1">
    <formula>'Calibration Dictionary'!$1:$4</formula>
    <oldFormula>'Calibration Dictionary'!$1:$4</oldFormula>
  </rdn>
  <rdn rId="0" localSheetId="3" customView="1" name="Z_4133ED5E_99F2_4B74_85B8_24C66B4DC868_.wvu.Cols" hidden="1" oldHidden="1">
    <formula>'Calibration Dictionary'!$C:$C,'Calibration Dictionary'!$O:$O</formula>
    <oldFormula>'Calibration Dictionary'!$C:$C,'Calibration Dictionary'!$O:$O</oldFormula>
  </rdn>
  <rdn rId="0" localSheetId="3" customView="1" name="Z_4133ED5E_99F2_4B74_85B8_24C66B4DC868_.wvu.FilterData" hidden="1" oldHidden="1">
    <formula>'Calibration Dictionary'!$A$1:$Q$7</formula>
    <oldFormula>'Calibration Dictionary'!$A$1:$Q$7</oldFormula>
  </rdn>
  <rdn rId="0" localSheetId="4" customView="1" name="Z_4133ED5E_99F2_4B74_85B8_24C66B4DC868_.wvu.FilterData" hidden="1" oldHidden="1">
    <formula>'Global Constants'!$F$4:$BZ$193</formula>
    <oldFormula>'Global Constants'!$F$4:$BZ$193</oldFormula>
  </rdn>
  <rdn rId="0" localSheetId="5" customView="1" name="Z_4133ED5E_99F2_4B74_85B8_24C66B4DC868_.wvu.PrintArea" hidden="1" oldHidden="1">
    <formula>NVM!$A$1:$J$42</formula>
    <oldFormula>NVM!$A$1:$J$42</oldFormula>
  </rdn>
  <rdn rId="0" localSheetId="5" customView="1" name="Z_4133ED5E_99F2_4B74_85B8_24C66B4DC868_.wvu.PrintTitles" hidden="1" oldHidden="1">
    <formula>NVM!$1:$4</formula>
    <oldFormula>NVM!$1:$4</oldFormula>
  </rdn>
  <rdn rId="0" localSheetId="5" customView="1" name="Z_4133ED5E_99F2_4B74_85B8_24C66B4DC868_.wvu.FilterData" hidden="1" oldHidden="1">
    <formula>NVM!$A$1:$J$104</formula>
    <oldFormula>NVM!$A$1:$J$104</oldFormula>
  </rdn>
  <rdn rId="0" localSheetId="6" customView="1" name="Z_4133ED5E_99F2_4B74_85B8_24C66B4DC868_.wvu.PrintTitles" hidden="1" oldHidden="1">
    <formula>'Layered Module List'!$1:$1</formula>
    <oldFormula>'Layered Module List'!$1:$1</oldFormula>
  </rdn>
  <rdn rId="0" localSheetId="6" customView="1" name="Z_4133ED5E_99F2_4B74_85B8_24C66B4DC868_.wvu.Cols" hidden="1" oldHidden="1">
    <formula>'Layered Module List'!$D:$D</formula>
    <oldFormula>'Layered Module List'!$D:$D</oldFormula>
  </rdn>
  <rdn rId="0" localSheetId="6" customView="1" name="Z_4133ED5E_99F2_4B74_85B8_24C66B4DC868_.wvu.FilterData" hidden="1" oldHidden="1">
    <formula>'Layered Module List'!$A$1:$F$73</formula>
    <oldFormula>'Layered Module List'!$A$1:$F$73</oldFormula>
  </rdn>
  <rdn rId="0" localSheetId="8" customView="1" name="Z_4133ED5E_99F2_4B74_85B8_24C66B4DC868_.wvu.FilterData" hidden="1" oldHidden="1">
    <formula>Help!$B$1:$D$2</formula>
    <oldFormula>Help!$B$1:$D$2</oldFormula>
  </rdn>
  <rcv guid="{4133ED5E-99F2-4B74-85B8-24C66B4DC868}" action="add"/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16" sId="2">
    <oc r="J34">
      <v>400</v>
    </oc>
    <nc r="J34">
      <v>4000</v>
    </nc>
  </rcc>
  <rcc rId="417" sId="2">
    <oc r="K34">
      <v>666.67</v>
    </oc>
    <nc r="K34">
      <v>6667</v>
    </nc>
  </rcc>
  <rcc rId="418" sId="2">
    <oc r="K35">
      <v>500</v>
    </oc>
    <nc r="K35">
      <v>5000</v>
    </nc>
  </rcc>
  <rcc rId="419" sId="2">
    <oc r="J35">
      <v>333.33</v>
    </oc>
    <nc r="J35">
      <v>3334</v>
    </nc>
  </rcc>
  <rcc rId="420" sId="2">
    <oc r="J36">
      <v>66.67</v>
    </oc>
    <nc r="J36">
      <v>666</v>
    </nc>
  </rcc>
  <rcc rId="421" sId="2">
    <oc r="K36">
      <v>166.67</v>
    </oc>
    <nc r="K36">
      <v>1667</v>
    </nc>
  </rcc>
  <rcc rId="422" sId="1">
    <nc r="A8">
      <v>6</v>
    </nc>
  </rcc>
  <rcc rId="423" sId="1">
    <nc r="B8" t="inlineStr">
      <is>
        <t>SR</t>
      </is>
    </nc>
  </rcc>
  <rcc rId="424" sId="1" numFmtId="20">
    <nc r="C8">
      <v>41666</v>
    </nc>
  </rcc>
  <rcc rId="425" sId="1">
    <nc r="D8" t="inlineStr">
      <is>
        <t>Module variable range updates</t>
      </is>
    </nc>
  </rcc>
  <rcv guid="{CDE91C1B-E8DA-4970-958C-BB86FE77ABD6}" action="delete"/>
  <rdn rId="0" localSheetId="1" customView="1" name="Z_CDE91C1B_E8DA_4970_958C_BB86FE77ABD6_.wvu.FilterData" hidden="1" oldHidden="1">
    <formula>'Change Log'!$A$2:$D$4</formula>
    <oldFormula>'Change Log'!$A$2:$D$4</oldFormula>
  </rdn>
  <rdn rId="0" localSheetId="2" customView="1" name="Z_CDE91C1B_E8DA_4970_958C_BB86FE77ABD6_.wvu.PrintArea" hidden="1" oldHidden="1">
    <formula>'Variable Dictionary'!$A$1:$P$12</formula>
    <oldFormula>'Variable Dictionary'!$A$1:$P$12</oldFormula>
  </rdn>
  <rdn rId="0" localSheetId="2" customView="1" name="Z_CDE91C1B_E8DA_4970_958C_BB86FE77ABD6_.wvu.PrintTitles" hidden="1" oldHidden="1">
    <formula>'Variable Dictionary'!$1:$4</formula>
    <oldFormula>'Variable Dictionary'!$1:$4</oldFormula>
  </rdn>
  <rdn rId="0" localSheetId="2" customView="1" name="Z_CDE91C1B_E8DA_4970_958C_BB86FE77ABD6_.wvu.Cols" hidden="1" oldHidden="1">
    <formula>'Variable Dictionary'!$C:$C,'Variable Dictionary'!$P:$P</formula>
    <oldFormula>'Variable Dictionary'!$C:$C,'Variable Dictionary'!$P:$P</oldFormula>
  </rdn>
  <rdn rId="0" localSheetId="2" customView="1" name="Z_CDE91C1B_E8DA_4970_958C_BB86FE77ABD6_.wvu.FilterData" hidden="1" oldHidden="1">
    <formula>'Variable Dictionary'!$A$1:$S$12</formula>
    <oldFormula>'Variable Dictionary'!$A$1:$S$12</oldFormula>
  </rdn>
  <rdn rId="0" localSheetId="3" customView="1" name="Z_CDE91C1B_E8DA_4970_958C_BB86FE77ABD6_.wvu.PrintArea" hidden="1" oldHidden="1">
    <formula>'Calibration Dictionary'!$A$1:$O$7</formula>
    <oldFormula>'Calibration Dictionary'!$A$1:$O$7</oldFormula>
  </rdn>
  <rdn rId="0" localSheetId="3" customView="1" name="Z_CDE91C1B_E8DA_4970_958C_BB86FE77ABD6_.wvu.PrintTitles" hidden="1" oldHidden="1">
    <formula>'Calibration Dictionary'!$1:$4</formula>
    <oldFormula>'Calibration Dictionary'!$1:$4</oldFormula>
  </rdn>
  <rdn rId="0" localSheetId="3" customView="1" name="Z_CDE91C1B_E8DA_4970_958C_BB86FE77ABD6_.wvu.Cols" hidden="1" oldHidden="1">
    <formula>'Calibration Dictionary'!$C:$C,'Calibration Dictionary'!$O:$O</formula>
    <oldFormula>'Calibration Dictionary'!$C:$C,'Calibration Dictionary'!$O:$O</oldFormula>
  </rdn>
  <rdn rId="0" localSheetId="3" customView="1" name="Z_CDE91C1B_E8DA_4970_958C_BB86FE77ABD6_.wvu.FilterData" hidden="1" oldHidden="1">
    <formula>'Calibration Dictionary'!$A$1:$Q$7</formula>
    <oldFormula>'Calibration Dictionary'!$A$1:$Q$7</oldFormula>
  </rdn>
  <rdn rId="0" localSheetId="4" customView="1" name="Z_CDE91C1B_E8DA_4970_958C_BB86FE77ABD6_.wvu.FilterData" hidden="1" oldHidden="1">
    <formula>'Global Constants'!$F$4:$BZ$193</formula>
    <oldFormula>'Global Constants'!$F$4:$BZ$193</oldFormula>
  </rdn>
  <rdn rId="0" localSheetId="5" customView="1" name="Z_CDE91C1B_E8DA_4970_958C_BB86FE77ABD6_.wvu.PrintArea" hidden="1" oldHidden="1">
    <formula>NVM!$A$1:$J$42</formula>
    <oldFormula>NVM!$A$1:$J$42</oldFormula>
  </rdn>
  <rdn rId="0" localSheetId="5" customView="1" name="Z_CDE91C1B_E8DA_4970_958C_BB86FE77ABD6_.wvu.PrintTitles" hidden="1" oldHidden="1">
    <formula>NVM!$1:$4</formula>
    <oldFormula>NVM!$1:$4</oldFormula>
  </rdn>
  <rdn rId="0" localSheetId="5" customView="1" name="Z_CDE91C1B_E8DA_4970_958C_BB86FE77ABD6_.wvu.FilterData" hidden="1" oldHidden="1">
    <formula>NVM!$A$1:$J$104</formula>
    <oldFormula>NVM!$A$1:$J$104</oldFormula>
  </rdn>
  <rdn rId="0" localSheetId="6" customView="1" name="Z_CDE91C1B_E8DA_4970_958C_BB86FE77ABD6_.wvu.PrintTitles" hidden="1" oldHidden="1">
    <formula>'Layered Module List'!$1:$1</formula>
    <oldFormula>'Layered Module List'!$1:$1</oldFormula>
  </rdn>
  <rdn rId="0" localSheetId="6" customView="1" name="Z_CDE91C1B_E8DA_4970_958C_BB86FE77ABD6_.wvu.Cols" hidden="1" oldHidden="1">
    <formula>'Layered Module List'!$D:$D</formula>
    <oldFormula>'Layered Module List'!$D:$D</oldFormula>
  </rdn>
  <rdn rId="0" localSheetId="6" customView="1" name="Z_CDE91C1B_E8DA_4970_958C_BB86FE77ABD6_.wvu.FilterData" hidden="1" oldHidden="1">
    <formula>'Layered Module List'!$A$1:$F$73</formula>
    <oldFormula>'Layered Module List'!$A$1:$F$73</oldFormula>
  </rdn>
  <rdn rId="0" localSheetId="8" customView="1" name="Z_CDE91C1B_E8DA_4970_958C_BB86FE77ABD6_.wvu.FilterData" hidden="1" oldHidden="1">
    <formula>Help!$B$1:$D$2</formula>
    <oldFormula>Help!$B$1:$D$2</oldFormula>
  </rdn>
  <rcv guid="{CDE91C1B-E8DA-4970-958C-BB86FE77ABD6}" action="add"/>
</revisions>
</file>

<file path=xl/revisions/revisionLog1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43" sId="2">
    <oc r="K29">
      <v>65535</v>
    </oc>
    <nc r="K29">
      <v>2000</v>
    </nc>
  </rcc>
  <rfmt sheetId="2" sqref="K29">
    <dxf>
      <fill>
        <patternFill patternType="solid">
          <bgColor rgb="FFFFFF00"/>
        </patternFill>
      </fill>
    </dxf>
  </rfmt>
  <rcv guid="{CDE91C1B-E8DA-4970-958C-BB86FE77ABD6}" action="delete"/>
  <rdn rId="0" localSheetId="1" customView="1" name="Z_CDE91C1B_E8DA_4970_958C_BB86FE77ABD6_.wvu.FilterData" hidden="1" oldHidden="1">
    <formula>'Change Log'!$A$2:$D$4</formula>
    <oldFormula>'Change Log'!$A$2:$D$4</oldFormula>
  </rdn>
  <rdn rId="0" localSheetId="2" customView="1" name="Z_CDE91C1B_E8DA_4970_958C_BB86FE77ABD6_.wvu.PrintArea" hidden="1" oldHidden="1">
    <formula>'Variable Dictionary'!$A$1:$P$12</formula>
    <oldFormula>'Variable Dictionary'!$A$1:$P$12</oldFormula>
  </rdn>
  <rdn rId="0" localSheetId="2" customView="1" name="Z_CDE91C1B_E8DA_4970_958C_BB86FE77ABD6_.wvu.PrintTitles" hidden="1" oldHidden="1">
    <formula>'Variable Dictionary'!$1:$4</formula>
    <oldFormula>'Variable Dictionary'!$1:$4</oldFormula>
  </rdn>
  <rdn rId="0" localSheetId="2" customView="1" name="Z_CDE91C1B_E8DA_4970_958C_BB86FE77ABD6_.wvu.Cols" hidden="1" oldHidden="1">
    <formula>'Variable Dictionary'!$C:$C,'Variable Dictionary'!$P:$P</formula>
    <oldFormula>'Variable Dictionary'!$C:$C,'Variable Dictionary'!$P:$P</oldFormula>
  </rdn>
  <rdn rId="0" localSheetId="2" customView="1" name="Z_CDE91C1B_E8DA_4970_958C_BB86FE77ABD6_.wvu.FilterData" hidden="1" oldHidden="1">
    <formula>'Variable Dictionary'!$A$1:$S$12</formula>
    <oldFormula>'Variable Dictionary'!$A$1:$S$12</oldFormula>
  </rdn>
  <rdn rId="0" localSheetId="3" customView="1" name="Z_CDE91C1B_E8DA_4970_958C_BB86FE77ABD6_.wvu.PrintArea" hidden="1" oldHidden="1">
    <formula>'Calibration Dictionary'!$A$1:$O$7</formula>
    <oldFormula>'Calibration Dictionary'!$A$1:$O$7</oldFormula>
  </rdn>
  <rdn rId="0" localSheetId="3" customView="1" name="Z_CDE91C1B_E8DA_4970_958C_BB86FE77ABD6_.wvu.PrintTitles" hidden="1" oldHidden="1">
    <formula>'Calibration Dictionary'!$1:$4</formula>
    <oldFormula>'Calibration Dictionary'!$1:$4</oldFormula>
  </rdn>
  <rdn rId="0" localSheetId="3" customView="1" name="Z_CDE91C1B_E8DA_4970_958C_BB86FE77ABD6_.wvu.Cols" hidden="1" oldHidden="1">
    <formula>'Calibration Dictionary'!$C:$C,'Calibration Dictionary'!$O:$O</formula>
    <oldFormula>'Calibration Dictionary'!$C:$C,'Calibration Dictionary'!$O:$O</oldFormula>
  </rdn>
  <rdn rId="0" localSheetId="3" customView="1" name="Z_CDE91C1B_E8DA_4970_958C_BB86FE77ABD6_.wvu.FilterData" hidden="1" oldHidden="1">
    <formula>'Calibration Dictionary'!$A$1:$Q$7</formula>
    <oldFormula>'Calibration Dictionary'!$A$1:$Q$7</oldFormula>
  </rdn>
  <rdn rId="0" localSheetId="4" customView="1" name="Z_CDE91C1B_E8DA_4970_958C_BB86FE77ABD6_.wvu.FilterData" hidden="1" oldHidden="1">
    <formula>'Global Constants'!$F$4:$BZ$193</formula>
    <oldFormula>'Global Constants'!$F$4:$BZ$193</oldFormula>
  </rdn>
  <rdn rId="0" localSheetId="5" customView="1" name="Z_CDE91C1B_E8DA_4970_958C_BB86FE77ABD6_.wvu.PrintArea" hidden="1" oldHidden="1">
    <formula>NVM!$A$1:$J$42</formula>
    <oldFormula>NVM!$A$1:$J$42</oldFormula>
  </rdn>
  <rdn rId="0" localSheetId="5" customView="1" name="Z_CDE91C1B_E8DA_4970_958C_BB86FE77ABD6_.wvu.PrintTitles" hidden="1" oldHidden="1">
    <formula>NVM!$1:$4</formula>
    <oldFormula>NVM!$1:$4</oldFormula>
  </rdn>
  <rdn rId="0" localSheetId="5" customView="1" name="Z_CDE91C1B_E8DA_4970_958C_BB86FE77ABD6_.wvu.FilterData" hidden="1" oldHidden="1">
    <formula>NVM!$A$1:$J$104</formula>
    <oldFormula>NVM!$A$1:$J$104</oldFormula>
  </rdn>
  <rdn rId="0" localSheetId="6" customView="1" name="Z_CDE91C1B_E8DA_4970_958C_BB86FE77ABD6_.wvu.PrintTitles" hidden="1" oldHidden="1">
    <formula>'Layered Module List'!$1:$1</formula>
    <oldFormula>'Layered Module List'!$1:$1</oldFormula>
  </rdn>
  <rdn rId="0" localSheetId="6" customView="1" name="Z_CDE91C1B_E8DA_4970_958C_BB86FE77ABD6_.wvu.Cols" hidden="1" oldHidden="1">
    <formula>'Layered Module List'!$D:$D</formula>
    <oldFormula>'Layered Module List'!$D:$D</oldFormula>
  </rdn>
  <rdn rId="0" localSheetId="6" customView="1" name="Z_CDE91C1B_E8DA_4970_958C_BB86FE77ABD6_.wvu.FilterData" hidden="1" oldHidden="1">
    <formula>'Layered Module List'!$A$1:$F$73</formula>
    <oldFormula>'Layered Module List'!$A$1:$F$73</oldFormula>
  </rdn>
  <rdn rId="0" localSheetId="8" customView="1" name="Z_CDE91C1B_E8DA_4970_958C_BB86FE77ABD6_.wvu.FilterData" hidden="1" oldHidden="1">
    <formula>Help!$B$1:$D$2</formula>
    <oldFormula>Help!$B$1:$D$2</oldFormula>
  </rdn>
  <rcv guid="{CDE91C1B-E8DA-4970-958C-BB86FE77ABD6}" action="add"/>
</revisions>
</file>

<file path=xl/revisions/revisionLog1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CDE91C1B-E8DA-4970-958C-BB86FE77ABD6}" action="delete"/>
  <rdn rId="0" localSheetId="1" customView="1" name="Z_CDE91C1B_E8DA_4970_958C_BB86FE77ABD6_.wvu.FilterData" hidden="1" oldHidden="1">
    <formula>'Change Log'!$A$2:$D$4</formula>
    <oldFormula>'Change Log'!$A$2:$D$4</oldFormula>
  </rdn>
  <rdn rId="0" localSheetId="2" customView="1" name="Z_CDE91C1B_E8DA_4970_958C_BB86FE77ABD6_.wvu.PrintArea" hidden="1" oldHidden="1">
    <formula>'Variable Dictionary'!$A$1:$P$12</formula>
    <oldFormula>'Variable Dictionary'!$A$1:$P$12</oldFormula>
  </rdn>
  <rdn rId="0" localSheetId="2" customView="1" name="Z_CDE91C1B_E8DA_4970_958C_BB86FE77ABD6_.wvu.PrintTitles" hidden="1" oldHidden="1">
    <formula>'Variable Dictionary'!$1:$4</formula>
    <oldFormula>'Variable Dictionary'!$1:$4</oldFormula>
  </rdn>
  <rdn rId="0" localSheetId="2" customView="1" name="Z_CDE91C1B_E8DA_4970_958C_BB86FE77ABD6_.wvu.Cols" hidden="1" oldHidden="1">
    <formula>'Variable Dictionary'!$C:$C,'Variable Dictionary'!$P:$P</formula>
    <oldFormula>'Variable Dictionary'!$C:$C,'Variable Dictionary'!$P:$P</oldFormula>
  </rdn>
  <rdn rId="0" localSheetId="2" customView="1" name="Z_CDE91C1B_E8DA_4970_958C_BB86FE77ABD6_.wvu.FilterData" hidden="1" oldHidden="1">
    <formula>'Variable Dictionary'!$A$1:$S$12</formula>
    <oldFormula>'Variable Dictionary'!$A$1:$S$12</oldFormula>
  </rdn>
  <rdn rId="0" localSheetId="3" customView="1" name="Z_CDE91C1B_E8DA_4970_958C_BB86FE77ABD6_.wvu.PrintArea" hidden="1" oldHidden="1">
    <formula>'Calibration Dictionary'!$A$1:$O$7</formula>
    <oldFormula>'Calibration Dictionary'!$A$1:$O$7</oldFormula>
  </rdn>
  <rdn rId="0" localSheetId="3" customView="1" name="Z_CDE91C1B_E8DA_4970_958C_BB86FE77ABD6_.wvu.PrintTitles" hidden="1" oldHidden="1">
    <formula>'Calibration Dictionary'!$1:$4</formula>
    <oldFormula>'Calibration Dictionary'!$1:$4</oldFormula>
  </rdn>
  <rdn rId="0" localSheetId="3" customView="1" name="Z_CDE91C1B_E8DA_4970_958C_BB86FE77ABD6_.wvu.Cols" hidden="1" oldHidden="1">
    <formula>'Calibration Dictionary'!$C:$C,'Calibration Dictionary'!$O:$O</formula>
    <oldFormula>'Calibration Dictionary'!$C:$C,'Calibration Dictionary'!$O:$O</oldFormula>
  </rdn>
  <rdn rId="0" localSheetId="3" customView="1" name="Z_CDE91C1B_E8DA_4970_958C_BB86FE77ABD6_.wvu.FilterData" hidden="1" oldHidden="1">
    <formula>'Calibration Dictionary'!$A$1:$Q$7</formula>
    <oldFormula>'Calibration Dictionary'!$A$1:$Q$7</oldFormula>
  </rdn>
  <rdn rId="0" localSheetId="4" customView="1" name="Z_CDE91C1B_E8DA_4970_958C_BB86FE77ABD6_.wvu.FilterData" hidden="1" oldHidden="1">
    <formula>'Global Constants'!$F$4:$BZ$193</formula>
    <oldFormula>'Global Constants'!$F$4:$BZ$193</oldFormula>
  </rdn>
  <rdn rId="0" localSheetId="5" customView="1" name="Z_CDE91C1B_E8DA_4970_958C_BB86FE77ABD6_.wvu.PrintArea" hidden="1" oldHidden="1">
    <formula>NVM!$A$1:$J$42</formula>
    <oldFormula>NVM!$A$1:$J$42</oldFormula>
  </rdn>
  <rdn rId="0" localSheetId="5" customView="1" name="Z_CDE91C1B_E8DA_4970_958C_BB86FE77ABD6_.wvu.PrintTitles" hidden="1" oldHidden="1">
    <formula>NVM!$1:$4</formula>
    <oldFormula>NVM!$1:$4</oldFormula>
  </rdn>
  <rdn rId="0" localSheetId="5" customView="1" name="Z_CDE91C1B_E8DA_4970_958C_BB86FE77ABD6_.wvu.FilterData" hidden="1" oldHidden="1">
    <formula>NVM!$A$1:$J$104</formula>
    <oldFormula>NVM!$A$1:$J$104</oldFormula>
  </rdn>
  <rdn rId="0" localSheetId="6" customView="1" name="Z_CDE91C1B_E8DA_4970_958C_BB86FE77ABD6_.wvu.PrintTitles" hidden="1" oldHidden="1">
    <formula>'Layered Module List'!$1:$1</formula>
    <oldFormula>'Layered Module List'!$1:$1</oldFormula>
  </rdn>
  <rdn rId="0" localSheetId="6" customView="1" name="Z_CDE91C1B_E8DA_4970_958C_BB86FE77ABD6_.wvu.Cols" hidden="1" oldHidden="1">
    <formula>'Layered Module List'!$D:$D</formula>
    <oldFormula>'Layered Module List'!$D:$D</oldFormula>
  </rdn>
  <rdn rId="0" localSheetId="6" customView="1" name="Z_CDE91C1B_E8DA_4970_958C_BB86FE77ABD6_.wvu.FilterData" hidden="1" oldHidden="1">
    <formula>'Layered Module List'!$A$1:$F$73</formula>
    <oldFormula>'Layered Module List'!$A$1:$F$73</oldFormula>
  </rdn>
  <rdn rId="0" localSheetId="8" customView="1" name="Z_CDE91C1B_E8DA_4970_958C_BB86FE77ABD6_.wvu.FilterData" hidden="1" oldHidden="1">
    <formula>Help!$B$1:$D$2</formula>
    <oldFormula>Help!$B$1:$D$2</oldFormula>
  </rdn>
  <rcv guid="{CDE91C1B-E8DA-4970-958C-BB86FE77ABD6}" action="add"/>
</revisions>
</file>

<file path=xl/revisions/revisionLog1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2" sqref="A40" start="0" length="0">
    <dxf>
      <font>
        <sz val="8"/>
        <name val="Calibri"/>
        <scheme val="minor"/>
      </font>
      <border outline="0">
        <left style="thin">
          <color indexed="64"/>
        </left>
        <right style="double">
          <color indexed="64"/>
        </right>
        <bottom style="thin">
          <color indexed="64"/>
        </bottom>
      </border>
      <protection locked="1"/>
    </dxf>
  </rfmt>
  <rfmt sheetId="2" sqref="B40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C40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D40" start="0" length="0">
    <dxf>
      <font>
        <sz val="8"/>
        <color rgb="FF000000"/>
        <name val="Calibri"/>
        <scheme val="minor"/>
      </font>
      <alignment horizontal="left" readingOrder="0"/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E40" start="0" length="0">
    <dxf>
      <font>
        <sz val="8"/>
        <color auto="1"/>
        <name val="Calibri"/>
        <scheme val="minor"/>
      </font>
      <alignment wrapText="1" readingOrder="0"/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</rfmt>
  <rcc rId="478" sId="2" odxf="1" dxf="1">
    <nc r="F40" t="inlineStr">
      <is>
        <t>O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ndxf>
  </rcc>
  <rcc rId="479" sId="2" odxf="1" dxf="1">
    <nc r="G40" t="inlineStr">
      <is>
        <t>N</t>
      </is>
    </nc>
    <odxf>
      <font>
        <sz val="10"/>
        <color auto="1"/>
        <name val="Arial"/>
        <scheme val="none"/>
      </font>
      <border outline="0">
        <right/>
        <top/>
        <bottom/>
      </border>
    </odxf>
    <ndxf>
      <font>
        <sz val="8"/>
        <color auto="1"/>
        <name val="Calibri"/>
        <scheme val="minor"/>
      </font>
      <border outline="0">
        <right style="double">
          <color indexed="64"/>
        </right>
        <top style="thin">
          <color indexed="64"/>
        </top>
        <bottom style="thin">
          <color indexed="64"/>
        </bottom>
      </border>
    </ndxf>
  </rcc>
  <rfmt sheetId="2" sqref="H40" start="0" length="0">
    <dxf>
      <font>
        <sz val="8"/>
        <color auto="1"/>
        <name val="Calibri"/>
        <scheme val="minor"/>
      </font>
      <border outline="0">
        <top style="thin">
          <color indexed="64"/>
        </top>
        <bottom style="thin">
          <color indexed="64"/>
        </bottom>
      </border>
    </dxf>
  </rfmt>
  <rfmt sheetId="2" sqref="I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rfmt>
  <rfmt sheetId="2" sqref="J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fmt sheetId="2" sqref="K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cc rId="480" sId="2" odxf="1" dxf="1">
    <nc r="L40">
      <v>1</v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cc rId="481" sId="2" odxf="1" dxf="1" numFmtId="15">
    <nc r="M40">
      <v>1</v>
    </nc>
    <odxf>
      <font>
        <sz val="10"/>
        <color auto="1"/>
        <name val="Arial"/>
        <scheme val="none"/>
      </font>
      <numFmt numFmtId="0" formatCode="General"/>
      <border outline="0">
        <left/>
        <right/>
        <top/>
        <bottom/>
      </border>
    </odxf>
    <ndxf>
      <font>
        <sz val="8"/>
        <color auto="1"/>
        <name val="Calibri"/>
        <scheme val="minor"/>
      </font>
      <numFmt numFmtId="15" formatCode="0.00E+00"/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ndxf>
  </rcc>
  <rcc rId="482" sId="2" odxf="1" dxf="1">
    <nc r="N40" t="inlineStr">
      <is>
        <t>Cnts</t>
      </is>
    </nc>
    <odxf>
      <font>
        <sz val="10"/>
        <color auto="1"/>
        <name val="Arial"/>
        <scheme val="none"/>
      </font>
      <border outline="0">
        <left/>
        <right/>
        <top/>
        <bottom/>
      </border>
      <protection locked="0"/>
    </odxf>
    <n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ndxf>
  </rcc>
  <rfmt sheetId="2" sqref="O40" start="0" length="0">
    <dxf>
      <font>
        <sz val="8"/>
        <color auto="1"/>
        <name val="Calibri"/>
        <scheme val="minor"/>
      </font>
      <border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/>
    </dxf>
  </rfmt>
  <rcc rId="483" sId="2">
    <nc r="O40" t="inlineStr">
      <is>
        <t>uint16</t>
      </is>
    </nc>
  </rcc>
  <rcc rId="484" sId="2">
    <nc r="A40" t="inlineStr">
      <is>
        <t>CDD_PWMPeriod_Cnt_G_u16</t>
      </is>
    </nc>
  </rcc>
  <rcc rId="485" sId="2" odxf="1" dxf="1">
    <oc r="I34">
      <v>0</v>
    </oc>
    <nc r="I34">
      <v>4000</v>
    </nc>
    <odxf>
      <protection locked="0"/>
    </odxf>
    <ndxf>
      <protection locked="1"/>
    </ndxf>
  </rcc>
  <rcc rId="486" sId="2" odxf="1" dxf="1">
    <oc r="I35">
      <v>0</v>
    </oc>
    <nc r="I35">
      <v>3334</v>
    </nc>
    <odxf>
      <protection locked="0"/>
    </odxf>
    <ndxf>
      <protection locked="1"/>
    </ndxf>
  </rcc>
  <rcc rId="487" sId="2" odxf="1" dxf="1">
    <oc r="I36">
      <v>0</v>
    </oc>
    <nc r="I36">
      <v>666</v>
    </nc>
    <odxf>
      <protection locked="0"/>
    </odxf>
    <ndxf>
      <protection locked="1"/>
    </ndxf>
  </rcc>
  <rcc rId="488" sId="2">
    <nc r="J40">
      <v>3334</v>
    </nc>
  </rcc>
  <rcc rId="489" sId="2">
    <nc r="K40">
      <v>6667</v>
    </nc>
  </rcc>
  <rcc rId="490" sId="2" odxf="1" dxf="1">
    <nc r="I40">
      <v>3334</v>
    </nc>
    <ndxf>
      <protection locked="1"/>
    </ndxf>
  </rcc>
  <rfmt sheetId="2" sqref="A40:O40">
    <dxf>
      <fill>
        <patternFill patternType="solid">
          <bgColor rgb="FFFFFF00"/>
        </patternFill>
      </fill>
    </dxf>
  </rfmt>
  <rcv guid="{CDE91C1B-E8DA-4970-958C-BB86FE77ABD6}" action="delete"/>
  <rdn rId="0" localSheetId="1" customView="1" name="Z_CDE91C1B_E8DA_4970_958C_BB86FE77ABD6_.wvu.FilterData" hidden="1" oldHidden="1">
    <formula>'Change Log'!$A$2:$D$4</formula>
    <oldFormula>'Change Log'!$A$2:$D$4</oldFormula>
  </rdn>
  <rdn rId="0" localSheetId="2" customView="1" name="Z_CDE91C1B_E8DA_4970_958C_BB86FE77ABD6_.wvu.PrintArea" hidden="1" oldHidden="1">
    <formula>'Variable Dictionary'!$A$1:$P$12</formula>
    <oldFormula>'Variable Dictionary'!$A$1:$P$12</oldFormula>
  </rdn>
  <rdn rId="0" localSheetId="2" customView="1" name="Z_CDE91C1B_E8DA_4970_958C_BB86FE77ABD6_.wvu.PrintTitles" hidden="1" oldHidden="1">
    <formula>'Variable Dictionary'!$1:$4</formula>
    <oldFormula>'Variable Dictionary'!$1:$4</oldFormula>
  </rdn>
  <rdn rId="0" localSheetId="2" customView="1" name="Z_CDE91C1B_E8DA_4970_958C_BB86FE77ABD6_.wvu.Cols" hidden="1" oldHidden="1">
    <formula>'Variable Dictionary'!$C:$C,'Variable Dictionary'!$P:$P</formula>
    <oldFormula>'Variable Dictionary'!$C:$C,'Variable Dictionary'!$P:$P</oldFormula>
  </rdn>
  <rdn rId="0" localSheetId="2" customView="1" name="Z_CDE91C1B_E8DA_4970_958C_BB86FE77ABD6_.wvu.FilterData" hidden="1" oldHidden="1">
    <formula>'Variable Dictionary'!$A$1:$S$12</formula>
    <oldFormula>'Variable Dictionary'!$A$1:$S$12</oldFormula>
  </rdn>
  <rdn rId="0" localSheetId="3" customView="1" name="Z_CDE91C1B_E8DA_4970_958C_BB86FE77ABD6_.wvu.PrintArea" hidden="1" oldHidden="1">
    <formula>'Calibration Dictionary'!$A$1:$O$7</formula>
    <oldFormula>'Calibration Dictionary'!$A$1:$O$7</oldFormula>
  </rdn>
  <rdn rId="0" localSheetId="3" customView="1" name="Z_CDE91C1B_E8DA_4970_958C_BB86FE77ABD6_.wvu.PrintTitles" hidden="1" oldHidden="1">
    <formula>'Calibration Dictionary'!$1:$4</formula>
    <oldFormula>'Calibration Dictionary'!$1:$4</oldFormula>
  </rdn>
  <rdn rId="0" localSheetId="3" customView="1" name="Z_CDE91C1B_E8DA_4970_958C_BB86FE77ABD6_.wvu.Cols" hidden="1" oldHidden="1">
    <formula>'Calibration Dictionary'!$C:$C,'Calibration Dictionary'!$O:$O</formula>
    <oldFormula>'Calibration Dictionary'!$C:$C,'Calibration Dictionary'!$O:$O</oldFormula>
  </rdn>
  <rdn rId="0" localSheetId="3" customView="1" name="Z_CDE91C1B_E8DA_4970_958C_BB86FE77ABD6_.wvu.FilterData" hidden="1" oldHidden="1">
    <formula>'Calibration Dictionary'!$A$1:$Q$7</formula>
    <oldFormula>'Calibration Dictionary'!$A$1:$Q$7</oldFormula>
  </rdn>
  <rdn rId="0" localSheetId="4" customView="1" name="Z_CDE91C1B_E8DA_4970_958C_BB86FE77ABD6_.wvu.FilterData" hidden="1" oldHidden="1">
    <formula>'Global Constants'!$F$4:$BZ$193</formula>
    <oldFormula>'Global Constants'!$F$4:$BZ$193</oldFormula>
  </rdn>
  <rdn rId="0" localSheetId="5" customView="1" name="Z_CDE91C1B_E8DA_4970_958C_BB86FE77ABD6_.wvu.PrintArea" hidden="1" oldHidden="1">
    <formula>NVM!$A$1:$J$42</formula>
    <oldFormula>NVM!$A$1:$J$42</oldFormula>
  </rdn>
  <rdn rId="0" localSheetId="5" customView="1" name="Z_CDE91C1B_E8DA_4970_958C_BB86FE77ABD6_.wvu.PrintTitles" hidden="1" oldHidden="1">
    <formula>NVM!$1:$4</formula>
    <oldFormula>NVM!$1:$4</oldFormula>
  </rdn>
  <rdn rId="0" localSheetId="5" customView="1" name="Z_CDE91C1B_E8DA_4970_958C_BB86FE77ABD6_.wvu.FilterData" hidden="1" oldHidden="1">
    <formula>NVM!$A$1:$J$104</formula>
    <oldFormula>NVM!$A$1:$J$104</oldFormula>
  </rdn>
  <rdn rId="0" localSheetId="6" customView="1" name="Z_CDE91C1B_E8DA_4970_958C_BB86FE77ABD6_.wvu.PrintTitles" hidden="1" oldHidden="1">
    <formula>'Layered Module List'!$1:$1</formula>
    <oldFormula>'Layered Module List'!$1:$1</oldFormula>
  </rdn>
  <rdn rId="0" localSheetId="6" customView="1" name="Z_CDE91C1B_E8DA_4970_958C_BB86FE77ABD6_.wvu.Cols" hidden="1" oldHidden="1">
    <formula>'Layered Module List'!$D:$D</formula>
    <oldFormula>'Layered Module List'!$D:$D</oldFormula>
  </rdn>
  <rdn rId="0" localSheetId="6" customView="1" name="Z_CDE91C1B_E8DA_4970_958C_BB86FE77ABD6_.wvu.FilterData" hidden="1" oldHidden="1">
    <formula>'Layered Module List'!$A$1:$F$73</formula>
    <oldFormula>'Layered Module List'!$A$1:$F$73</oldFormula>
  </rdn>
  <rdn rId="0" localSheetId="8" customView="1" name="Z_CDE91C1B_E8DA_4970_958C_BB86FE77ABD6_.wvu.FilterData" hidden="1" oldHidden="1">
    <formula>Help!$B$1:$D$2</formula>
    <oldFormula>Help!$B$1:$D$2</oldFormula>
  </rdn>
  <rcv guid="{CDE91C1B-E8DA-4970-958C-BB86FE77ABD6}" action="add"/>
</revisions>
</file>

<file path=xl/revisions/revisionLog1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08" sId="2">
    <oc r="I35">
      <v>3334</v>
    </oc>
    <nc r="I35">
      <v>3333</v>
    </nc>
  </rcc>
  <rcc rId="509" sId="2">
    <oc r="J35">
      <v>3334</v>
    </oc>
    <nc r="J35">
      <v>3333</v>
    </nc>
  </rcc>
  <rcc rId="510" sId="2">
    <oc r="K34">
      <v>6667</v>
    </oc>
    <nc r="K34">
      <v>6666</v>
    </nc>
  </rcc>
  <rcc rId="511" sId="2">
    <oc r="J40">
      <v>3334</v>
    </oc>
    <nc r="J40">
      <v>3333</v>
    </nc>
  </rcc>
  <rcc rId="512" sId="2">
    <oc r="K40">
      <v>6667</v>
    </oc>
    <nc r="K40">
      <v>6666</v>
    </nc>
  </rcc>
</revisions>
</file>

<file path=xl/revisions/revisionLog1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513" sId="2">
    <oc r="K36">
      <v>1667</v>
    </oc>
    <nc r="K36">
      <v>1666</v>
    </nc>
  </rcc>
  <rcc rId="514" sId="2">
    <oc r="J36">
      <v>666</v>
    </oc>
    <nc r="J36">
      <v>667</v>
    </nc>
  </rcc>
  <rcv guid="{CDE91C1B-E8DA-4970-958C-BB86FE77ABD6}" action="delete"/>
  <rdn rId="0" localSheetId="1" customView="1" name="Z_CDE91C1B_E8DA_4970_958C_BB86FE77ABD6_.wvu.FilterData" hidden="1" oldHidden="1">
    <formula>'Change Log'!$A$2:$D$4</formula>
    <oldFormula>'Change Log'!$A$2:$D$4</oldFormula>
  </rdn>
  <rdn rId="0" localSheetId="2" customView="1" name="Z_CDE91C1B_E8DA_4970_958C_BB86FE77ABD6_.wvu.PrintArea" hidden="1" oldHidden="1">
    <formula>'Variable Dictionary'!$A$1:$P$12</formula>
    <oldFormula>'Variable Dictionary'!$A$1:$P$12</oldFormula>
  </rdn>
  <rdn rId="0" localSheetId="2" customView="1" name="Z_CDE91C1B_E8DA_4970_958C_BB86FE77ABD6_.wvu.PrintTitles" hidden="1" oldHidden="1">
    <formula>'Variable Dictionary'!$1:$4</formula>
    <oldFormula>'Variable Dictionary'!$1:$4</oldFormula>
  </rdn>
  <rdn rId="0" localSheetId="2" customView="1" name="Z_CDE91C1B_E8DA_4970_958C_BB86FE77ABD6_.wvu.Cols" hidden="1" oldHidden="1">
    <formula>'Variable Dictionary'!$C:$C,'Variable Dictionary'!$P:$P</formula>
    <oldFormula>'Variable Dictionary'!$C:$C,'Variable Dictionary'!$P:$P</oldFormula>
  </rdn>
  <rdn rId="0" localSheetId="2" customView="1" name="Z_CDE91C1B_E8DA_4970_958C_BB86FE77ABD6_.wvu.FilterData" hidden="1" oldHidden="1">
    <formula>'Variable Dictionary'!$A$1:$S$12</formula>
    <oldFormula>'Variable Dictionary'!$A$1:$S$12</oldFormula>
  </rdn>
  <rdn rId="0" localSheetId="3" customView="1" name="Z_CDE91C1B_E8DA_4970_958C_BB86FE77ABD6_.wvu.PrintArea" hidden="1" oldHidden="1">
    <formula>'Calibration Dictionary'!$A$1:$O$7</formula>
    <oldFormula>'Calibration Dictionary'!$A$1:$O$7</oldFormula>
  </rdn>
  <rdn rId="0" localSheetId="3" customView="1" name="Z_CDE91C1B_E8DA_4970_958C_BB86FE77ABD6_.wvu.PrintTitles" hidden="1" oldHidden="1">
    <formula>'Calibration Dictionary'!$1:$4</formula>
    <oldFormula>'Calibration Dictionary'!$1:$4</oldFormula>
  </rdn>
  <rdn rId="0" localSheetId="3" customView="1" name="Z_CDE91C1B_E8DA_4970_958C_BB86FE77ABD6_.wvu.Cols" hidden="1" oldHidden="1">
    <formula>'Calibration Dictionary'!$C:$C,'Calibration Dictionary'!$O:$O</formula>
    <oldFormula>'Calibration Dictionary'!$C:$C,'Calibration Dictionary'!$O:$O</oldFormula>
  </rdn>
  <rdn rId="0" localSheetId="3" customView="1" name="Z_CDE91C1B_E8DA_4970_958C_BB86FE77ABD6_.wvu.FilterData" hidden="1" oldHidden="1">
    <formula>'Calibration Dictionary'!$A$1:$Q$7</formula>
    <oldFormula>'Calibration Dictionary'!$A$1:$Q$7</oldFormula>
  </rdn>
  <rdn rId="0" localSheetId="4" customView="1" name="Z_CDE91C1B_E8DA_4970_958C_BB86FE77ABD6_.wvu.FilterData" hidden="1" oldHidden="1">
    <formula>'Global Constants'!$F$4:$BZ$193</formula>
    <oldFormula>'Global Constants'!$F$4:$BZ$193</oldFormula>
  </rdn>
  <rdn rId="0" localSheetId="5" customView="1" name="Z_CDE91C1B_E8DA_4970_958C_BB86FE77ABD6_.wvu.PrintArea" hidden="1" oldHidden="1">
    <formula>NVM!$A$1:$J$42</formula>
    <oldFormula>NVM!$A$1:$J$42</oldFormula>
  </rdn>
  <rdn rId="0" localSheetId="5" customView="1" name="Z_CDE91C1B_E8DA_4970_958C_BB86FE77ABD6_.wvu.PrintTitles" hidden="1" oldHidden="1">
    <formula>NVM!$1:$4</formula>
    <oldFormula>NVM!$1:$4</oldFormula>
  </rdn>
  <rdn rId="0" localSheetId="5" customView="1" name="Z_CDE91C1B_E8DA_4970_958C_BB86FE77ABD6_.wvu.FilterData" hidden="1" oldHidden="1">
    <formula>NVM!$A$1:$J$104</formula>
    <oldFormula>NVM!$A$1:$J$104</oldFormula>
  </rdn>
  <rdn rId="0" localSheetId="6" customView="1" name="Z_CDE91C1B_E8DA_4970_958C_BB86FE77ABD6_.wvu.PrintTitles" hidden="1" oldHidden="1">
    <formula>'Layered Module List'!$1:$1</formula>
    <oldFormula>'Layered Module List'!$1:$1</oldFormula>
  </rdn>
  <rdn rId="0" localSheetId="6" customView="1" name="Z_CDE91C1B_E8DA_4970_958C_BB86FE77ABD6_.wvu.Cols" hidden="1" oldHidden="1">
    <formula>'Layered Module List'!$D:$D</formula>
    <oldFormula>'Layered Module List'!$D:$D</oldFormula>
  </rdn>
  <rdn rId="0" localSheetId="6" customView="1" name="Z_CDE91C1B_E8DA_4970_958C_BB86FE77ABD6_.wvu.FilterData" hidden="1" oldHidden="1">
    <formula>'Layered Module List'!$A$1:$F$73</formula>
    <oldFormula>'Layered Module List'!$A$1:$F$73</oldFormula>
  </rdn>
  <rdn rId="0" localSheetId="8" customView="1" name="Z_CDE91C1B_E8DA_4970_958C_BB86FE77ABD6_.wvu.FilterData" hidden="1" oldHidden="1">
    <formula>Help!$B$1:$D$2</formula>
    <oldFormula>Help!$B$1:$D$2</oldFormula>
  </rdn>
  <rcv guid="{CDE91C1B-E8DA-4970-958C-BB86FE77ABD6}" action="add"/>
</revisions>
</file>

<file path=xl/revisions/userNames1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1">
  <userInfo guid="{3ED08C69-8384-4DB2-AFD1-758371307A25}" name="Kaur, Lovepreet" id="-1224042143" dateTime="2014-01-21T14:38:49"/>
</us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printerSettings" Target="../printerSettings/printerSettings1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46"/>
  <sheetViews>
    <sheetView tabSelected="1" workbookViewId="0">
      <selection activeCell="A8" sqref="A8"/>
    </sheetView>
  </sheetViews>
  <sheetFormatPr defaultRowHeight="12.75" x14ac:dyDescent="0.2"/>
  <cols>
    <col min="3" max="3" width="14.7109375" customWidth="1"/>
    <col min="4" max="4" width="68.28515625" style="4" customWidth="1"/>
    <col min="8" max="8" width="10.42578125" bestFit="1" customWidth="1"/>
  </cols>
  <sheetData>
    <row r="1" spans="1:14" ht="18.75" thickBot="1" x14ac:dyDescent="0.25">
      <c r="A1" s="260" t="str">
        <f>CONCATENATE("SVDrvr_CM Rev  ",MAX(A3:A100))</f>
        <v>SVDrvr_CM Rev  6</v>
      </c>
      <c r="B1" s="261"/>
      <c r="C1" s="261"/>
      <c r="D1" s="261"/>
      <c r="E1" s="204" t="s">
        <v>149</v>
      </c>
      <c r="F1" s="147"/>
      <c r="G1" s="147"/>
      <c r="H1" s="147"/>
      <c r="I1" s="147"/>
      <c r="J1" s="147"/>
      <c r="K1" s="147"/>
      <c r="L1" s="147"/>
      <c r="M1" s="147"/>
      <c r="N1" s="147"/>
    </row>
    <row r="2" spans="1:14" x14ac:dyDescent="0.2">
      <c r="A2" s="6" t="s">
        <v>47</v>
      </c>
      <c r="B2" s="6" t="s">
        <v>48</v>
      </c>
      <c r="C2" s="6" t="s">
        <v>49</v>
      </c>
      <c r="D2" s="3" t="s">
        <v>50</v>
      </c>
      <c r="G2" s="168" t="s">
        <v>146</v>
      </c>
      <c r="H2" t="s">
        <v>145</v>
      </c>
    </row>
    <row r="3" spans="1:14" x14ac:dyDescent="0.2">
      <c r="A3" s="221">
        <v>1</v>
      </c>
      <c r="B3" s="6" t="s">
        <v>291</v>
      </c>
      <c r="C3" s="5">
        <v>41320</v>
      </c>
      <c r="D3" s="3" t="s">
        <v>228</v>
      </c>
    </row>
    <row r="4" spans="1:14" x14ac:dyDescent="0.2">
      <c r="A4" s="6">
        <v>2</v>
      </c>
      <c r="B4" s="6" t="s">
        <v>291</v>
      </c>
      <c r="C4" s="5">
        <v>41450</v>
      </c>
      <c r="D4" s="3" t="s">
        <v>292</v>
      </c>
    </row>
    <row r="5" spans="1:14" x14ac:dyDescent="0.2">
      <c r="A5" s="6">
        <v>3</v>
      </c>
      <c r="B5" s="6" t="s">
        <v>291</v>
      </c>
      <c r="C5" s="5">
        <v>41579</v>
      </c>
      <c r="D5" s="3" t="s">
        <v>298</v>
      </c>
    </row>
    <row r="6" spans="1:14" ht="25.5" x14ac:dyDescent="0.2">
      <c r="A6" s="6">
        <v>4</v>
      </c>
      <c r="B6" s="6" t="s">
        <v>291</v>
      </c>
      <c r="C6" s="5">
        <v>41585</v>
      </c>
      <c r="D6" s="3" t="s">
        <v>306</v>
      </c>
    </row>
    <row r="7" spans="1:14" x14ac:dyDescent="0.2">
      <c r="A7" s="6">
        <v>5</v>
      </c>
      <c r="B7" s="229" t="s">
        <v>312</v>
      </c>
      <c r="C7" s="5">
        <v>41660</v>
      </c>
      <c r="D7" s="230" t="s">
        <v>316</v>
      </c>
    </row>
    <row r="8" spans="1:14" x14ac:dyDescent="0.2">
      <c r="A8" s="6">
        <v>6</v>
      </c>
      <c r="B8" s="6" t="s">
        <v>317</v>
      </c>
      <c r="C8" s="5">
        <v>41666</v>
      </c>
      <c r="D8" s="3" t="s">
        <v>318</v>
      </c>
    </row>
    <row r="9" spans="1:14" x14ac:dyDescent="0.2">
      <c r="A9" s="6"/>
      <c r="B9" s="6"/>
      <c r="C9" s="5"/>
      <c r="D9" s="3"/>
    </row>
    <row r="10" spans="1:14" x14ac:dyDescent="0.2">
      <c r="A10" s="6"/>
      <c r="B10" s="6"/>
      <c r="C10" s="5"/>
      <c r="D10" s="3"/>
    </row>
    <row r="11" spans="1:14" x14ac:dyDescent="0.2">
      <c r="A11" s="6"/>
      <c r="B11" s="6"/>
      <c r="C11" s="5"/>
      <c r="D11" s="3"/>
    </row>
    <row r="12" spans="1:14" x14ac:dyDescent="0.2">
      <c r="A12" s="6"/>
      <c r="B12" s="6"/>
      <c r="C12" s="5"/>
      <c r="D12" s="3"/>
    </row>
    <row r="13" spans="1:14" x14ac:dyDescent="0.2">
      <c r="A13" s="7"/>
      <c r="B13" s="6"/>
      <c r="C13" s="5"/>
      <c r="D13" s="3"/>
    </row>
    <row r="14" spans="1:14" x14ac:dyDescent="0.2">
      <c r="A14" s="6"/>
      <c r="B14" s="6"/>
      <c r="C14" s="5"/>
      <c r="D14" s="3"/>
    </row>
    <row r="15" spans="1:14" x14ac:dyDescent="0.2">
      <c r="A15" s="6"/>
      <c r="B15" s="6"/>
      <c r="C15" s="5"/>
      <c r="D15" s="3"/>
    </row>
    <row r="16" spans="1:14" x14ac:dyDescent="0.2">
      <c r="A16" s="6"/>
      <c r="B16" s="6"/>
      <c r="C16" s="5"/>
      <c r="D16" s="3"/>
    </row>
    <row r="17" spans="1:4" x14ac:dyDescent="0.2">
      <c r="A17" s="6"/>
      <c r="B17" s="6"/>
      <c r="C17" s="5"/>
      <c r="D17" s="3"/>
    </row>
    <row r="18" spans="1:4" x14ac:dyDescent="0.2">
      <c r="A18" s="6"/>
      <c r="B18" s="6"/>
      <c r="C18" s="5"/>
      <c r="D18" s="3"/>
    </row>
    <row r="19" spans="1:4" x14ac:dyDescent="0.2">
      <c r="A19" s="6"/>
      <c r="B19" s="6"/>
      <c r="C19" s="5"/>
      <c r="D19" s="3"/>
    </row>
    <row r="20" spans="1:4" x14ac:dyDescent="0.2">
      <c r="A20" s="6"/>
      <c r="B20" s="6"/>
      <c r="C20" s="5"/>
      <c r="D20" s="3"/>
    </row>
    <row r="21" spans="1:4" x14ac:dyDescent="0.2">
      <c r="A21" s="6"/>
      <c r="B21" s="6"/>
      <c r="C21" s="5"/>
      <c r="D21" s="3"/>
    </row>
    <row r="22" spans="1:4" x14ac:dyDescent="0.2">
      <c r="A22" s="6"/>
      <c r="B22" s="6"/>
      <c r="C22" s="5"/>
      <c r="D22" s="3"/>
    </row>
    <row r="23" spans="1:4" x14ac:dyDescent="0.2">
      <c r="A23" s="6"/>
      <c r="B23" s="6"/>
      <c r="C23" s="5"/>
      <c r="D23" s="3"/>
    </row>
    <row r="24" spans="1:4" x14ac:dyDescent="0.2">
      <c r="A24" s="6"/>
      <c r="B24" s="6"/>
      <c r="C24" s="5"/>
      <c r="D24" s="3"/>
    </row>
    <row r="25" spans="1:4" x14ac:dyDescent="0.2">
      <c r="A25" s="6"/>
      <c r="B25" s="6"/>
      <c r="C25" s="5"/>
      <c r="D25" s="3"/>
    </row>
    <row r="26" spans="1:4" x14ac:dyDescent="0.2">
      <c r="A26" s="6"/>
      <c r="B26" s="6"/>
      <c r="C26" s="5"/>
      <c r="D26" s="3"/>
    </row>
    <row r="27" spans="1:4" x14ac:dyDescent="0.2">
      <c r="A27" s="6"/>
      <c r="B27" s="6"/>
      <c r="C27" s="5"/>
      <c r="D27" s="3"/>
    </row>
    <row r="28" spans="1:4" x14ac:dyDescent="0.2">
      <c r="A28" s="6"/>
      <c r="B28" s="6"/>
      <c r="C28" s="5"/>
      <c r="D28" s="3"/>
    </row>
    <row r="29" spans="1:4" x14ac:dyDescent="0.2">
      <c r="A29" s="6"/>
      <c r="B29" s="6"/>
      <c r="C29" s="5"/>
      <c r="D29" s="3"/>
    </row>
    <row r="30" spans="1:4" x14ac:dyDescent="0.2">
      <c r="A30" s="6"/>
      <c r="B30" s="6"/>
      <c r="C30" s="6"/>
      <c r="D30" s="3"/>
    </row>
    <row r="31" spans="1:4" x14ac:dyDescent="0.2">
      <c r="A31" s="6"/>
      <c r="B31" s="6"/>
      <c r="C31" s="6"/>
      <c r="D31" s="3"/>
    </row>
    <row r="32" spans="1:4" x14ac:dyDescent="0.2">
      <c r="A32" s="6"/>
      <c r="B32" s="6"/>
      <c r="C32" s="6"/>
      <c r="D32" s="3"/>
    </row>
    <row r="33" spans="1:4" x14ac:dyDescent="0.2">
      <c r="A33" s="6"/>
      <c r="B33" s="6"/>
      <c r="C33" s="6"/>
      <c r="D33" s="3"/>
    </row>
    <row r="34" spans="1:4" x14ac:dyDescent="0.2">
      <c r="A34" s="6"/>
      <c r="B34" s="6"/>
      <c r="C34" s="6"/>
      <c r="D34" s="3"/>
    </row>
    <row r="35" spans="1:4" x14ac:dyDescent="0.2">
      <c r="A35" s="6"/>
      <c r="B35" s="6"/>
      <c r="C35" s="6"/>
      <c r="D35" s="3"/>
    </row>
    <row r="36" spans="1:4" x14ac:dyDescent="0.2">
      <c r="A36" s="6"/>
      <c r="B36" s="6"/>
      <c r="C36" s="6"/>
      <c r="D36" s="3"/>
    </row>
    <row r="37" spans="1:4" x14ac:dyDescent="0.2">
      <c r="A37" s="6"/>
      <c r="B37" s="6"/>
      <c r="C37" s="6"/>
      <c r="D37" s="3"/>
    </row>
    <row r="38" spans="1:4" x14ac:dyDescent="0.2">
      <c r="A38" s="6"/>
      <c r="B38" s="6"/>
      <c r="C38" s="6"/>
      <c r="D38" s="3"/>
    </row>
    <row r="39" spans="1:4" x14ac:dyDescent="0.2">
      <c r="A39" s="6"/>
      <c r="B39" s="6"/>
      <c r="C39" s="6"/>
      <c r="D39" s="3"/>
    </row>
    <row r="40" spans="1:4" x14ac:dyDescent="0.2">
      <c r="A40" s="6"/>
      <c r="B40" s="6"/>
      <c r="C40" s="6"/>
      <c r="D40" s="3"/>
    </row>
    <row r="41" spans="1:4" x14ac:dyDescent="0.2">
      <c r="A41" s="6"/>
      <c r="B41" s="6"/>
      <c r="C41" s="6"/>
      <c r="D41" s="3"/>
    </row>
    <row r="42" spans="1:4" x14ac:dyDescent="0.2">
      <c r="A42" s="6"/>
      <c r="B42" s="6"/>
      <c r="C42" s="6"/>
      <c r="D42" s="3"/>
    </row>
    <row r="43" spans="1:4" x14ac:dyDescent="0.2">
      <c r="A43" s="6"/>
      <c r="B43" s="6"/>
      <c r="C43" s="6"/>
      <c r="D43" s="3"/>
    </row>
    <row r="44" spans="1:4" x14ac:dyDescent="0.2">
      <c r="A44" s="6"/>
      <c r="B44" s="6"/>
      <c r="C44" s="6"/>
      <c r="D44" s="3"/>
    </row>
    <row r="45" spans="1:4" x14ac:dyDescent="0.2">
      <c r="A45" s="6"/>
      <c r="B45" s="6"/>
      <c r="C45" s="6"/>
      <c r="D45" s="3"/>
    </row>
    <row r="46" spans="1:4" x14ac:dyDescent="0.2">
      <c r="A46" s="6"/>
      <c r="B46" s="6"/>
      <c r="C46" s="6"/>
      <c r="D46" s="3"/>
    </row>
  </sheetData>
  <autoFilter ref="A2:D8"/>
  <customSheetViews>
    <customSheetView guid="{CDE91C1B-E8DA-4970-958C-BB86FE77ABD6}" showAutoFilter="1">
      <selection activeCell="A8" sqref="A8"/>
      <pageMargins left="0.75" right="0.75" top="1" bottom="1" header="0.5" footer="0.5"/>
      <pageSetup orientation="portrait" verticalDpi="0" r:id="rId1"/>
      <headerFooter alignWithMargins="0"/>
      <autoFilter ref="A2:D8"/>
    </customSheetView>
    <customSheetView guid="{4133ED5E-99F2-4B74-85B8-24C66B4DC868}" showAutoFilter="1">
      <selection activeCell="D7" sqref="D7"/>
      <pageMargins left="0.75" right="0.75" top="1" bottom="1" header="0.5" footer="0.5"/>
      <pageSetup orientation="portrait" verticalDpi="0" r:id="rId2"/>
      <headerFooter alignWithMargins="0"/>
      <autoFilter ref="A2:D7"/>
    </customSheetView>
    <customSheetView guid="{C44768EB-A6B9-4D4C-A778-B11850F195E2}" showAutoFilter="1">
      <selection activeCell="D5" sqref="D5"/>
      <pageMargins left="0.75" right="0.75" top="1" bottom="1" header="0.5" footer="0.5"/>
      <pageSetup orientation="portrait" verticalDpi="0" r:id="rId3"/>
      <headerFooter alignWithMargins="0"/>
      <autoFilter ref="A2:D5"/>
    </customSheetView>
  </customSheetViews>
  <mergeCells count="1">
    <mergeCell ref="A1:D1"/>
  </mergeCells>
  <phoneticPr fontId="0" type="noConversion"/>
  <dataValidations count="1">
    <dataValidation type="list" allowBlank="1" showInputMessage="1" showErrorMessage="1" sqref="H2">
      <formula1>"Integration, Component"</formula1>
    </dataValidation>
  </dataValidations>
  <pageMargins left="0.75" right="0.75" top="1" bottom="1" header="0.5" footer="0.5"/>
  <pageSetup orientation="portrait" verticalDpi="0" r:id="rId4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40"/>
  <sheetViews>
    <sheetView topLeftCell="A2" zoomScale="85" zoomScaleNormal="85" workbookViewId="0">
      <selection activeCell="J37" sqref="J37"/>
    </sheetView>
  </sheetViews>
  <sheetFormatPr defaultRowHeight="12.75" x14ac:dyDescent="0.2"/>
  <cols>
    <col min="1" max="1" width="37.28515625" style="199" customWidth="1"/>
    <col min="2" max="2" width="22.28515625" style="199" customWidth="1"/>
    <col min="3" max="3" width="29.85546875" style="199" hidden="1" customWidth="1"/>
    <col min="4" max="4" width="29.85546875" style="199" customWidth="1"/>
    <col min="5" max="5" width="24.42578125" style="200" customWidth="1"/>
    <col min="6" max="6" width="7.140625" style="201" bestFit="1" customWidth="1"/>
    <col min="7" max="7" width="5.7109375" style="201" bestFit="1" customWidth="1"/>
    <col min="8" max="8" width="9.140625" style="201" bestFit="1" customWidth="1"/>
    <col min="9" max="10" width="24.85546875" style="202" bestFit="1" customWidth="1"/>
    <col min="11" max="11" width="24.28515625" style="203" bestFit="1" customWidth="1"/>
    <col min="12" max="12" width="21.7109375" style="202" bestFit="1" customWidth="1"/>
    <col min="13" max="13" width="15.140625" style="202" bestFit="1" customWidth="1"/>
    <col min="14" max="14" width="14.85546875" style="202" bestFit="1" customWidth="1"/>
    <col min="15" max="15" width="15.7109375" style="202" bestFit="1" customWidth="1"/>
    <col min="16" max="16" width="17.42578125" style="202" hidden="1" customWidth="1"/>
    <col min="17" max="17" width="36.85546875" style="193" bestFit="1" customWidth="1"/>
    <col min="18" max="18" width="4.5703125" style="193" customWidth="1"/>
    <col min="19" max="19" width="2.5703125" style="194" bestFit="1" customWidth="1"/>
    <col min="20" max="20" width="2.42578125" style="194" bestFit="1" customWidth="1"/>
    <col min="21" max="21" width="2.5703125" style="194" bestFit="1" customWidth="1"/>
    <col min="22" max="23" width="2.28515625" style="194" bestFit="1" customWidth="1"/>
    <col min="24" max="16384" width="9.140625" style="194"/>
  </cols>
  <sheetData>
    <row r="1" spans="1:23" s="130" customFormat="1" ht="29.25" customHeight="1" thickBot="1" x14ac:dyDescent="0.25">
      <c r="A1" s="264" t="str">
        <f>'Change Log'!A1:D1</f>
        <v>SVDrvr_CM Rev  6</v>
      </c>
      <c r="B1" s="265"/>
      <c r="C1" s="265"/>
      <c r="D1" s="265"/>
      <c r="E1" s="265"/>
      <c r="F1" s="265"/>
      <c r="G1" s="265"/>
      <c r="H1" s="265"/>
      <c r="I1" s="265"/>
      <c r="J1" s="265"/>
      <c r="K1" s="265"/>
      <c r="L1" s="265"/>
      <c r="M1" s="265"/>
      <c r="N1" s="265"/>
      <c r="O1" s="265"/>
      <c r="P1" s="265"/>
      <c r="Q1" s="128"/>
      <c r="R1" s="128"/>
      <c r="S1" s="129" t="s">
        <v>136</v>
      </c>
      <c r="T1" s="129" t="s">
        <v>138</v>
      </c>
      <c r="U1" s="129" t="s">
        <v>139</v>
      </c>
      <c r="V1" s="129" t="s">
        <v>141</v>
      </c>
      <c r="W1" s="129" t="s">
        <v>82</v>
      </c>
    </row>
    <row r="2" spans="1:23" s="130" customFormat="1" ht="13.5" thickBot="1" x14ac:dyDescent="0.25">
      <c r="A2" s="266" t="s">
        <v>137</v>
      </c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8"/>
      <c r="Q2" s="133"/>
      <c r="R2" s="133"/>
      <c r="S2" s="129" t="s">
        <v>81</v>
      </c>
      <c r="T2" s="129" t="s">
        <v>82</v>
      </c>
      <c r="U2" s="129"/>
    </row>
    <row r="3" spans="1:23" s="130" customFormat="1" x14ac:dyDescent="0.2">
      <c r="A3" s="169"/>
      <c r="B3" s="170"/>
      <c r="C3" s="170"/>
      <c r="D3" s="170"/>
      <c r="E3" s="171"/>
      <c r="F3" s="172"/>
      <c r="G3" s="173"/>
      <c r="H3" s="172"/>
      <c r="I3" s="174"/>
      <c r="J3" s="262" t="s">
        <v>83</v>
      </c>
      <c r="K3" s="263"/>
      <c r="L3" s="175"/>
      <c r="M3" s="175"/>
      <c r="N3" s="175"/>
      <c r="O3" s="176"/>
      <c r="P3" s="176"/>
      <c r="Q3" s="134"/>
      <c r="R3" s="134"/>
      <c r="S3" s="129"/>
    </row>
    <row r="4" spans="1:23" s="130" customFormat="1" ht="23.25" thickBot="1" x14ac:dyDescent="0.25">
      <c r="A4" s="177" t="s">
        <v>140</v>
      </c>
      <c r="B4" s="178" t="s">
        <v>132</v>
      </c>
      <c r="C4" s="179" t="s">
        <v>94</v>
      </c>
      <c r="D4" s="178" t="s">
        <v>152</v>
      </c>
      <c r="E4" s="179" t="s">
        <v>57</v>
      </c>
      <c r="F4" s="179" t="s">
        <v>162</v>
      </c>
      <c r="G4" s="180" t="s">
        <v>133</v>
      </c>
      <c r="H4" s="179" t="s">
        <v>164</v>
      </c>
      <c r="I4" s="181" t="s">
        <v>147</v>
      </c>
      <c r="J4" s="181" t="s">
        <v>134</v>
      </c>
      <c r="K4" s="182" t="s">
        <v>135</v>
      </c>
      <c r="L4" s="179" t="s">
        <v>51</v>
      </c>
      <c r="M4" s="179" t="s">
        <v>148</v>
      </c>
      <c r="N4" s="179" t="s">
        <v>52</v>
      </c>
      <c r="O4" s="183" t="s">
        <v>90</v>
      </c>
      <c r="P4" s="176" t="s">
        <v>85</v>
      </c>
      <c r="Q4" s="133"/>
      <c r="R4" s="133"/>
      <c r="S4" s="135"/>
    </row>
    <row r="5" spans="1:23" s="130" customFormat="1" ht="15" customHeight="1" x14ac:dyDescent="0.2">
      <c r="A5" s="136" t="s">
        <v>142</v>
      </c>
      <c r="B5" s="137"/>
      <c r="C5" s="137"/>
      <c r="D5" s="137"/>
      <c r="E5" s="138"/>
      <c r="F5" s="139"/>
      <c r="G5" s="139"/>
      <c r="H5" s="139"/>
      <c r="I5" s="141"/>
      <c r="J5" s="141"/>
      <c r="K5" s="140"/>
      <c r="L5" s="141"/>
      <c r="M5" s="141"/>
      <c r="N5" s="141"/>
      <c r="O5" s="141"/>
      <c r="P5" s="141"/>
      <c r="Q5" s="133"/>
      <c r="R5" s="133"/>
    </row>
    <row r="6" spans="1:23" x14ac:dyDescent="0.2">
      <c r="A6" s="184" t="s">
        <v>230</v>
      </c>
      <c r="B6" s="185"/>
      <c r="C6" s="185"/>
      <c r="D6" s="185" t="s">
        <v>182</v>
      </c>
      <c r="E6" s="186"/>
      <c r="F6" s="187" t="s">
        <v>139</v>
      </c>
      <c r="G6" s="188" t="s">
        <v>82</v>
      </c>
      <c r="H6" s="220"/>
      <c r="I6" s="189">
        <v>0</v>
      </c>
      <c r="J6" s="190" t="s">
        <v>297</v>
      </c>
      <c r="K6" s="190">
        <v>65535</v>
      </c>
      <c r="L6" s="190">
        <v>1</v>
      </c>
      <c r="M6" s="191"/>
      <c r="N6" s="190" t="s">
        <v>229</v>
      </c>
      <c r="O6" s="190" t="s">
        <v>225</v>
      </c>
      <c r="P6" s="192"/>
    </row>
    <row r="7" spans="1:23" x14ac:dyDescent="0.2">
      <c r="A7" s="184" t="s">
        <v>231</v>
      </c>
      <c r="B7" s="185"/>
      <c r="C7" s="185"/>
      <c r="D7" s="185" t="s">
        <v>182</v>
      </c>
      <c r="E7" s="186"/>
      <c r="F7" s="187" t="s">
        <v>139</v>
      </c>
      <c r="G7" s="188" t="s">
        <v>82</v>
      </c>
      <c r="H7" s="220"/>
      <c r="I7" s="189">
        <v>0</v>
      </c>
      <c r="J7" s="190" t="s">
        <v>297</v>
      </c>
      <c r="K7" s="190">
        <v>65535</v>
      </c>
      <c r="L7" s="190">
        <v>1</v>
      </c>
      <c r="M7" s="191"/>
      <c r="N7" s="190" t="s">
        <v>229</v>
      </c>
      <c r="O7" s="190" t="s">
        <v>225</v>
      </c>
      <c r="P7" s="192"/>
    </row>
    <row r="8" spans="1:23" x14ac:dyDescent="0.2">
      <c r="A8" s="184" t="s">
        <v>232</v>
      </c>
      <c r="B8" s="185"/>
      <c r="C8" s="185"/>
      <c r="D8" s="185" t="s">
        <v>182</v>
      </c>
      <c r="E8" s="186"/>
      <c r="F8" s="187" t="s">
        <v>139</v>
      </c>
      <c r="G8" s="188" t="s">
        <v>82</v>
      </c>
      <c r="H8" s="220"/>
      <c r="I8" s="189">
        <v>0</v>
      </c>
      <c r="J8" s="190" t="s">
        <v>297</v>
      </c>
      <c r="K8" s="190">
        <v>65535</v>
      </c>
      <c r="L8" s="190">
        <v>1</v>
      </c>
      <c r="M8" s="191"/>
      <c r="N8" s="190" t="s">
        <v>229</v>
      </c>
      <c r="O8" s="190" t="s">
        <v>225</v>
      </c>
      <c r="P8" s="192"/>
    </row>
    <row r="9" spans="1:23" x14ac:dyDescent="0.2">
      <c r="A9" s="184" t="s">
        <v>290</v>
      </c>
      <c r="B9" s="185"/>
      <c r="C9" s="185"/>
      <c r="D9" s="185" t="s">
        <v>182</v>
      </c>
      <c r="E9" s="186"/>
      <c r="F9" s="187" t="s">
        <v>139</v>
      </c>
      <c r="G9" s="188" t="s">
        <v>82</v>
      </c>
      <c r="H9" s="220"/>
      <c r="I9" s="189" t="s">
        <v>293</v>
      </c>
      <c r="J9" s="241" t="s">
        <v>299</v>
      </c>
      <c r="K9" s="241" t="s">
        <v>300</v>
      </c>
      <c r="L9" s="242">
        <f>2^-16</f>
        <v>1.52587890625E-5</v>
      </c>
      <c r="M9" s="242">
        <f>2^-16</f>
        <v>1.52587890625E-5</v>
      </c>
      <c r="N9" s="242" t="s">
        <v>261</v>
      </c>
      <c r="O9" s="243" t="s">
        <v>225</v>
      </c>
      <c r="P9" s="192"/>
    </row>
    <row r="10" spans="1:23" ht="22.5" x14ac:dyDescent="0.2">
      <c r="A10" s="184" t="s">
        <v>233</v>
      </c>
      <c r="B10" s="185"/>
      <c r="C10" s="185"/>
      <c r="D10" s="185" t="s">
        <v>182</v>
      </c>
      <c r="E10" s="186" t="s">
        <v>269</v>
      </c>
      <c r="F10" s="187" t="s">
        <v>139</v>
      </c>
      <c r="G10" s="188" t="s">
        <v>82</v>
      </c>
      <c r="H10" s="220"/>
      <c r="I10" s="189">
        <v>0</v>
      </c>
      <c r="J10" s="190">
        <v>0</v>
      </c>
      <c r="K10" s="190">
        <v>7150</v>
      </c>
      <c r="L10" s="190">
        <v>1</v>
      </c>
      <c r="M10" s="191">
        <v>1</v>
      </c>
      <c r="N10" s="190" t="s">
        <v>229</v>
      </c>
      <c r="O10" s="190" t="s">
        <v>260</v>
      </c>
      <c r="P10" s="192"/>
    </row>
    <row r="11" spans="1:23" ht="22.5" x14ac:dyDescent="0.2">
      <c r="A11" s="184" t="s">
        <v>234</v>
      </c>
      <c r="B11" s="185"/>
      <c r="C11" s="185"/>
      <c r="D11" s="185" t="s">
        <v>182</v>
      </c>
      <c r="E11" s="186" t="s">
        <v>269</v>
      </c>
      <c r="F11" s="187" t="s">
        <v>139</v>
      </c>
      <c r="G11" s="188" t="s">
        <v>82</v>
      </c>
      <c r="H11" s="220"/>
      <c r="I11" s="189">
        <v>0</v>
      </c>
      <c r="J11" s="190">
        <v>0</v>
      </c>
      <c r="K11" s="190">
        <v>7150</v>
      </c>
      <c r="L11" s="190">
        <v>1</v>
      </c>
      <c r="M11" s="191">
        <v>1</v>
      </c>
      <c r="N11" s="190" t="s">
        <v>229</v>
      </c>
      <c r="O11" s="190" t="s">
        <v>260</v>
      </c>
      <c r="P11" s="192"/>
    </row>
    <row r="12" spans="1:23" ht="22.5" x14ac:dyDescent="0.2">
      <c r="A12" s="184" t="s">
        <v>235</v>
      </c>
      <c r="B12" s="185"/>
      <c r="C12" s="185"/>
      <c r="D12" s="185" t="s">
        <v>182</v>
      </c>
      <c r="E12" s="186" t="s">
        <v>269</v>
      </c>
      <c r="F12" s="187" t="s">
        <v>139</v>
      </c>
      <c r="G12" s="188" t="s">
        <v>82</v>
      </c>
      <c r="H12" s="220"/>
      <c r="I12" s="189">
        <v>0</v>
      </c>
      <c r="J12" s="190">
        <v>0</v>
      </c>
      <c r="K12" s="190">
        <v>7150</v>
      </c>
      <c r="L12" s="190">
        <v>1</v>
      </c>
      <c r="M12" s="191">
        <v>1</v>
      </c>
      <c r="N12" s="190" t="s">
        <v>229</v>
      </c>
      <c r="O12" s="190" t="s">
        <v>260</v>
      </c>
      <c r="P12" s="192"/>
    </row>
    <row r="13" spans="1:23" ht="22.5" x14ac:dyDescent="0.2">
      <c r="A13" s="184" t="s">
        <v>236</v>
      </c>
      <c r="B13" s="185" t="s">
        <v>264</v>
      </c>
      <c r="C13" s="185"/>
      <c r="D13" s="185" t="s">
        <v>182</v>
      </c>
      <c r="E13" s="186" t="s">
        <v>270</v>
      </c>
      <c r="F13" s="187" t="s">
        <v>139</v>
      </c>
      <c r="G13" s="188" t="s">
        <v>82</v>
      </c>
      <c r="H13" s="220"/>
      <c r="I13" s="189">
        <v>0</v>
      </c>
      <c r="J13" s="190">
        <v>0</v>
      </c>
      <c r="K13" s="190">
        <v>7150</v>
      </c>
      <c r="L13" s="190">
        <v>1</v>
      </c>
      <c r="M13" s="191">
        <v>1</v>
      </c>
      <c r="N13" s="190" t="s">
        <v>229</v>
      </c>
      <c r="O13" s="190" t="s">
        <v>260</v>
      </c>
      <c r="P13" s="192"/>
    </row>
    <row r="14" spans="1:23" ht="22.5" x14ac:dyDescent="0.2">
      <c r="A14" s="184" t="s">
        <v>237</v>
      </c>
      <c r="B14" s="185" t="s">
        <v>265</v>
      </c>
      <c r="C14" s="185"/>
      <c r="D14" s="185" t="s">
        <v>182</v>
      </c>
      <c r="E14" s="186" t="s">
        <v>270</v>
      </c>
      <c r="F14" s="187" t="s">
        <v>139</v>
      </c>
      <c r="G14" s="188" t="s">
        <v>82</v>
      </c>
      <c r="H14" s="220"/>
      <c r="I14" s="189">
        <v>0</v>
      </c>
      <c r="J14" s="190">
        <v>0</v>
      </c>
      <c r="K14" s="190">
        <v>7150</v>
      </c>
      <c r="L14" s="190">
        <v>1</v>
      </c>
      <c r="M14" s="191">
        <v>1</v>
      </c>
      <c r="N14" s="190" t="s">
        <v>229</v>
      </c>
      <c r="O14" s="190" t="s">
        <v>260</v>
      </c>
      <c r="P14" s="192"/>
    </row>
    <row r="15" spans="1:23" ht="22.5" x14ac:dyDescent="0.2">
      <c r="A15" s="184" t="s">
        <v>238</v>
      </c>
      <c r="B15" s="185" t="s">
        <v>266</v>
      </c>
      <c r="C15" s="185"/>
      <c r="D15" s="185" t="s">
        <v>182</v>
      </c>
      <c r="E15" s="186" t="s">
        <v>270</v>
      </c>
      <c r="F15" s="187" t="s">
        <v>139</v>
      </c>
      <c r="G15" s="188" t="s">
        <v>82</v>
      </c>
      <c r="H15" s="220"/>
      <c r="I15" s="189">
        <v>0</v>
      </c>
      <c r="J15" s="190">
        <v>0</v>
      </c>
      <c r="K15" s="190">
        <v>7150</v>
      </c>
      <c r="L15" s="190">
        <v>1</v>
      </c>
      <c r="M15" s="191">
        <v>1</v>
      </c>
      <c r="N15" s="190" t="s">
        <v>229</v>
      </c>
      <c r="O15" s="190" t="s">
        <v>260</v>
      </c>
      <c r="P15" s="192"/>
    </row>
    <row r="16" spans="1:23" ht="22.5" x14ac:dyDescent="0.2">
      <c r="A16" s="184" t="s">
        <v>239</v>
      </c>
      <c r="B16" s="185"/>
      <c r="C16" s="185"/>
      <c r="D16" s="185" t="s">
        <v>182</v>
      </c>
      <c r="E16" s="186" t="s">
        <v>275</v>
      </c>
      <c r="F16" s="187" t="s">
        <v>139</v>
      </c>
      <c r="G16" s="188" t="s">
        <v>82</v>
      </c>
      <c r="H16" s="220"/>
      <c r="I16" s="189">
        <v>0</v>
      </c>
      <c r="J16" s="190">
        <v>2950</v>
      </c>
      <c r="K16" s="190">
        <v>7150</v>
      </c>
      <c r="L16" s="190">
        <v>1</v>
      </c>
      <c r="M16" s="191">
        <v>1</v>
      </c>
      <c r="N16" s="190" t="s">
        <v>229</v>
      </c>
      <c r="O16" s="190" t="s">
        <v>225</v>
      </c>
      <c r="P16" s="192"/>
    </row>
    <row r="17" spans="1:16" ht="22.5" x14ac:dyDescent="0.2">
      <c r="A17" s="184" t="s">
        <v>240</v>
      </c>
      <c r="B17" s="185" t="s">
        <v>267</v>
      </c>
      <c r="C17" s="185"/>
      <c r="D17" s="185" t="s">
        <v>182</v>
      </c>
      <c r="E17" s="186" t="s">
        <v>268</v>
      </c>
      <c r="F17" s="187" t="s">
        <v>139</v>
      </c>
      <c r="G17" s="188" t="s">
        <v>82</v>
      </c>
      <c r="H17" s="220"/>
      <c r="I17" s="189">
        <v>0</v>
      </c>
      <c r="J17" s="190">
        <v>2950</v>
      </c>
      <c r="K17" s="190">
        <v>7150</v>
      </c>
      <c r="L17" s="190">
        <v>1</v>
      </c>
      <c r="M17" s="191">
        <v>1</v>
      </c>
      <c r="N17" s="190" t="s">
        <v>229</v>
      </c>
      <c r="O17" s="190" t="s">
        <v>225</v>
      </c>
      <c r="P17" s="192"/>
    </row>
    <row r="18" spans="1:16" ht="45" x14ac:dyDescent="0.2">
      <c r="A18" s="184" t="s">
        <v>241</v>
      </c>
      <c r="B18" s="185"/>
      <c r="C18" s="185"/>
      <c r="D18" s="185" t="s">
        <v>182</v>
      </c>
      <c r="E18" s="186" t="s">
        <v>279</v>
      </c>
      <c r="F18" s="187" t="s">
        <v>136</v>
      </c>
      <c r="G18" s="188" t="s">
        <v>82</v>
      </c>
      <c r="H18" s="220"/>
      <c r="I18" s="189">
        <v>0</v>
      </c>
      <c r="J18" s="190">
        <v>0</v>
      </c>
      <c r="K18" s="190">
        <v>1</v>
      </c>
      <c r="L18" s="190">
        <v>1</v>
      </c>
      <c r="M18" s="191"/>
      <c r="N18" s="190" t="s">
        <v>229</v>
      </c>
      <c r="O18" s="190" t="s">
        <v>225</v>
      </c>
      <c r="P18" s="192"/>
    </row>
    <row r="19" spans="1:16" ht="45" x14ac:dyDescent="0.2">
      <c r="A19" s="184" t="s">
        <v>250</v>
      </c>
      <c r="B19" s="185"/>
      <c r="C19" s="185"/>
      <c r="D19" s="185" t="s">
        <v>182</v>
      </c>
      <c r="E19" s="186" t="s">
        <v>279</v>
      </c>
      <c r="F19" s="187" t="s">
        <v>136</v>
      </c>
      <c r="G19" s="188" t="s">
        <v>82</v>
      </c>
      <c r="H19" s="220"/>
      <c r="I19" s="189">
        <v>0</v>
      </c>
      <c r="J19" s="190">
        <v>0</v>
      </c>
      <c r="K19" s="190">
        <v>1</v>
      </c>
      <c r="L19" s="190">
        <v>1</v>
      </c>
      <c r="M19" s="191"/>
      <c r="N19" s="190" t="s">
        <v>229</v>
      </c>
      <c r="O19" s="190" t="s">
        <v>225</v>
      </c>
      <c r="P19" s="192"/>
    </row>
    <row r="20" spans="1:16" ht="45" x14ac:dyDescent="0.2">
      <c r="A20" s="184" t="s">
        <v>253</v>
      </c>
      <c r="B20" s="185"/>
      <c r="C20" s="185"/>
      <c r="D20" s="185" t="s">
        <v>182</v>
      </c>
      <c r="E20" s="186" t="s">
        <v>279</v>
      </c>
      <c r="F20" s="187" t="s">
        <v>136</v>
      </c>
      <c r="G20" s="188" t="s">
        <v>82</v>
      </c>
      <c r="H20" s="220"/>
      <c r="I20" s="189">
        <v>0</v>
      </c>
      <c r="J20" s="190">
        <v>0</v>
      </c>
      <c r="K20" s="190">
        <v>1</v>
      </c>
      <c r="L20" s="190">
        <v>1</v>
      </c>
      <c r="M20" s="191"/>
      <c r="N20" s="190" t="s">
        <v>229</v>
      </c>
      <c r="O20" s="190" t="s">
        <v>225</v>
      </c>
      <c r="P20" s="192"/>
    </row>
    <row r="21" spans="1:16" ht="33.75" x14ac:dyDescent="0.2">
      <c r="A21" s="184" t="s">
        <v>242</v>
      </c>
      <c r="B21" s="185"/>
      <c r="C21" s="185"/>
      <c r="D21" s="185" t="s">
        <v>182</v>
      </c>
      <c r="E21" s="186" t="s">
        <v>278</v>
      </c>
      <c r="F21" s="187" t="s">
        <v>138</v>
      </c>
      <c r="G21" s="188" t="s">
        <v>82</v>
      </c>
      <c r="H21" s="220"/>
      <c r="I21" s="189" t="s">
        <v>294</v>
      </c>
      <c r="J21" s="190">
        <v>0</v>
      </c>
      <c r="K21" s="190">
        <v>200000</v>
      </c>
      <c r="L21" s="190">
        <v>1</v>
      </c>
      <c r="M21" s="191">
        <v>1</v>
      </c>
      <c r="N21" s="190" t="s">
        <v>229</v>
      </c>
      <c r="O21" s="190" t="s">
        <v>256</v>
      </c>
      <c r="P21" s="192"/>
    </row>
    <row r="22" spans="1:16" ht="33.75" x14ac:dyDescent="0.2">
      <c r="A22" s="184" t="s">
        <v>243</v>
      </c>
      <c r="B22" s="185"/>
      <c r="C22" s="185"/>
      <c r="D22" s="185" t="s">
        <v>182</v>
      </c>
      <c r="E22" s="186" t="s">
        <v>278</v>
      </c>
      <c r="F22" s="187" t="s">
        <v>138</v>
      </c>
      <c r="G22" s="188" t="s">
        <v>82</v>
      </c>
      <c r="H22" s="220"/>
      <c r="I22" s="189" t="s">
        <v>294</v>
      </c>
      <c r="J22" s="190">
        <v>0</v>
      </c>
      <c r="K22" s="190">
        <v>200000</v>
      </c>
      <c r="L22" s="190">
        <v>1</v>
      </c>
      <c r="M22" s="191">
        <v>1</v>
      </c>
      <c r="N22" s="190" t="s">
        <v>229</v>
      </c>
      <c r="O22" s="190" t="s">
        <v>256</v>
      </c>
      <c r="P22" s="192"/>
    </row>
    <row r="23" spans="1:16" ht="33.75" x14ac:dyDescent="0.2">
      <c r="A23" s="184" t="s">
        <v>244</v>
      </c>
      <c r="B23" s="185"/>
      <c r="C23" s="185"/>
      <c r="D23" s="185" t="s">
        <v>182</v>
      </c>
      <c r="E23" s="186" t="s">
        <v>278</v>
      </c>
      <c r="F23" s="187" t="s">
        <v>138</v>
      </c>
      <c r="G23" s="188" t="s">
        <v>82</v>
      </c>
      <c r="H23" s="220"/>
      <c r="I23" s="189" t="s">
        <v>294</v>
      </c>
      <c r="J23" s="190">
        <v>0</v>
      </c>
      <c r="K23" s="190">
        <v>200000</v>
      </c>
      <c r="L23" s="190">
        <v>1</v>
      </c>
      <c r="M23" s="191">
        <v>1</v>
      </c>
      <c r="N23" s="190" t="s">
        <v>229</v>
      </c>
      <c r="O23" s="190" t="s">
        <v>256</v>
      </c>
      <c r="P23" s="192"/>
    </row>
    <row r="24" spans="1:16" ht="22.5" x14ac:dyDescent="0.2">
      <c r="A24" s="184" t="s">
        <v>245</v>
      </c>
      <c r="B24" s="185"/>
      <c r="C24" s="185"/>
      <c r="D24" s="185" t="s">
        <v>182</v>
      </c>
      <c r="E24" s="186" t="s">
        <v>276</v>
      </c>
      <c r="F24" s="187" t="s">
        <v>138</v>
      </c>
      <c r="G24" s="188" t="s">
        <v>82</v>
      </c>
      <c r="H24" s="220"/>
      <c r="I24" s="189" t="s">
        <v>294</v>
      </c>
      <c r="J24" s="190">
        <v>0</v>
      </c>
      <c r="K24" s="190">
        <v>200000</v>
      </c>
      <c r="L24" s="190">
        <v>1</v>
      </c>
      <c r="M24" s="191">
        <v>1</v>
      </c>
      <c r="N24" s="190" t="s">
        <v>229</v>
      </c>
      <c r="O24" s="190" t="s">
        <v>256</v>
      </c>
      <c r="P24" s="192"/>
    </row>
    <row r="25" spans="1:16" ht="33.75" x14ac:dyDescent="0.2">
      <c r="A25" s="184" t="s">
        <v>246</v>
      </c>
      <c r="B25" s="185" t="s">
        <v>272</v>
      </c>
      <c r="C25" s="185"/>
      <c r="D25" s="185" t="s">
        <v>182</v>
      </c>
      <c r="E25" s="186" t="s">
        <v>277</v>
      </c>
      <c r="F25" s="187" t="s">
        <v>138</v>
      </c>
      <c r="G25" s="188" t="s">
        <v>82</v>
      </c>
      <c r="H25" s="220"/>
      <c r="I25" s="189" t="s">
        <v>294</v>
      </c>
      <c r="J25" s="190">
        <v>0</v>
      </c>
      <c r="K25" s="190">
        <v>4095</v>
      </c>
      <c r="L25" s="190">
        <v>1</v>
      </c>
      <c r="M25" s="191">
        <v>1</v>
      </c>
      <c r="N25" s="190" t="s">
        <v>229</v>
      </c>
      <c r="O25" s="190" t="s">
        <v>225</v>
      </c>
      <c r="P25" s="192"/>
    </row>
    <row r="26" spans="1:16" ht="33.75" x14ac:dyDescent="0.2">
      <c r="A26" s="184" t="s">
        <v>247</v>
      </c>
      <c r="B26" s="185" t="s">
        <v>273</v>
      </c>
      <c r="C26" s="185"/>
      <c r="D26" s="185" t="s">
        <v>182</v>
      </c>
      <c r="E26" s="186" t="s">
        <v>277</v>
      </c>
      <c r="F26" s="187" t="s">
        <v>138</v>
      </c>
      <c r="G26" s="188" t="s">
        <v>82</v>
      </c>
      <c r="H26" s="220"/>
      <c r="I26" s="189" t="s">
        <v>294</v>
      </c>
      <c r="J26" s="190">
        <v>0</v>
      </c>
      <c r="K26" s="190">
        <v>4095</v>
      </c>
      <c r="L26" s="190">
        <v>1</v>
      </c>
      <c r="M26" s="191">
        <v>1</v>
      </c>
      <c r="N26" s="190" t="s">
        <v>229</v>
      </c>
      <c r="O26" s="190" t="s">
        <v>225</v>
      </c>
      <c r="P26" s="192"/>
    </row>
    <row r="27" spans="1:16" ht="33.75" x14ac:dyDescent="0.2">
      <c r="A27" s="184" t="s">
        <v>248</v>
      </c>
      <c r="B27" s="185" t="s">
        <v>274</v>
      </c>
      <c r="C27" s="185"/>
      <c r="D27" s="185" t="s">
        <v>182</v>
      </c>
      <c r="E27" s="186" t="s">
        <v>277</v>
      </c>
      <c r="F27" s="187" t="s">
        <v>138</v>
      </c>
      <c r="G27" s="188" t="s">
        <v>82</v>
      </c>
      <c r="H27" s="220"/>
      <c r="I27" s="189" t="s">
        <v>294</v>
      </c>
      <c r="J27" s="190">
        <v>0</v>
      </c>
      <c r="K27" s="190">
        <v>4095</v>
      </c>
      <c r="L27" s="190">
        <v>1</v>
      </c>
      <c r="M27" s="191">
        <v>1</v>
      </c>
      <c r="N27" s="190" t="s">
        <v>229</v>
      </c>
      <c r="O27" s="190" t="s">
        <v>225</v>
      </c>
      <c r="P27" s="192"/>
    </row>
    <row r="28" spans="1:16" ht="33.75" x14ac:dyDescent="0.2">
      <c r="A28" s="184" t="s">
        <v>249</v>
      </c>
      <c r="B28" s="185" t="s">
        <v>281</v>
      </c>
      <c r="C28" s="185"/>
      <c r="D28" s="185" t="s">
        <v>182</v>
      </c>
      <c r="E28" s="186" t="s">
        <v>283</v>
      </c>
      <c r="F28" s="187" t="s">
        <v>136</v>
      </c>
      <c r="G28" s="188" t="s">
        <v>82</v>
      </c>
      <c r="H28" s="220"/>
      <c r="I28" s="189" t="s">
        <v>294</v>
      </c>
      <c r="J28" s="190">
        <v>0</v>
      </c>
      <c r="K28" s="190">
        <v>65535</v>
      </c>
      <c r="L28" s="190">
        <v>1</v>
      </c>
      <c r="M28" s="191"/>
      <c r="N28" s="190" t="s">
        <v>229</v>
      </c>
      <c r="O28" s="190" t="s">
        <v>225</v>
      </c>
      <c r="P28" s="192"/>
    </row>
    <row r="29" spans="1:16" ht="22.5" x14ac:dyDescent="0.2">
      <c r="A29" s="184" t="s">
        <v>251</v>
      </c>
      <c r="B29" s="185" t="s">
        <v>271</v>
      </c>
      <c r="C29" s="185"/>
      <c r="D29" s="185" t="s">
        <v>182</v>
      </c>
      <c r="E29" s="186" t="s">
        <v>286</v>
      </c>
      <c r="F29" s="187" t="s">
        <v>136</v>
      </c>
      <c r="G29" s="188" t="s">
        <v>82</v>
      </c>
      <c r="H29" s="220"/>
      <c r="I29" s="189" t="s">
        <v>294</v>
      </c>
      <c r="J29" s="190">
        <v>0</v>
      </c>
      <c r="K29" s="258">
        <v>2000</v>
      </c>
      <c r="L29" s="190">
        <v>1</v>
      </c>
      <c r="M29" s="191"/>
      <c r="N29" s="190" t="s">
        <v>229</v>
      </c>
      <c r="O29" s="190" t="s">
        <v>225</v>
      </c>
      <c r="P29" s="192"/>
    </row>
    <row r="30" spans="1:16" x14ac:dyDescent="0.2">
      <c r="A30" s="184" t="s">
        <v>252</v>
      </c>
      <c r="B30" s="185" t="s">
        <v>284</v>
      </c>
      <c r="C30" s="185"/>
      <c r="D30" s="185" t="s">
        <v>182</v>
      </c>
      <c r="E30" s="186" t="s">
        <v>285</v>
      </c>
      <c r="F30" s="187" t="s">
        <v>136</v>
      </c>
      <c r="G30" s="188" t="s">
        <v>82</v>
      </c>
      <c r="H30" s="220"/>
      <c r="I30" s="189" t="s">
        <v>294</v>
      </c>
      <c r="J30" s="190">
        <v>0</v>
      </c>
      <c r="K30" s="242">
        <f>1-(2^-16)</f>
        <v>0.9999847412109375</v>
      </c>
      <c r="L30" s="190">
        <f>2^-16</f>
        <v>1.52587890625E-5</v>
      </c>
      <c r="M30" s="191"/>
      <c r="N30" s="190" t="s">
        <v>261</v>
      </c>
      <c r="O30" s="190" t="s">
        <v>259</v>
      </c>
      <c r="P30" s="192"/>
    </row>
    <row r="31" spans="1:16" x14ac:dyDescent="0.2">
      <c r="A31" s="184" t="s">
        <v>255</v>
      </c>
      <c r="B31" s="185"/>
      <c r="C31" s="185"/>
      <c r="D31" s="185" t="s">
        <v>182</v>
      </c>
      <c r="E31" s="186"/>
      <c r="F31" s="187" t="s">
        <v>136</v>
      </c>
      <c r="G31" s="188" t="s">
        <v>82</v>
      </c>
      <c r="H31" s="220"/>
      <c r="I31" s="189" t="s">
        <v>295</v>
      </c>
      <c r="J31" s="190" t="b">
        <v>0</v>
      </c>
      <c r="K31" s="190" t="b">
        <v>1</v>
      </c>
      <c r="L31" s="190" t="s">
        <v>296</v>
      </c>
      <c r="M31" s="191"/>
      <c r="N31" s="190" t="s">
        <v>229</v>
      </c>
      <c r="O31" s="190" t="s">
        <v>258</v>
      </c>
      <c r="P31" s="192"/>
    </row>
    <row r="32" spans="1:16" ht="22.5" x14ac:dyDescent="0.2">
      <c r="A32" s="184" t="s">
        <v>254</v>
      </c>
      <c r="B32" s="185" t="s">
        <v>280</v>
      </c>
      <c r="C32" s="185"/>
      <c r="D32" s="185" t="s">
        <v>182</v>
      </c>
      <c r="E32" s="186" t="s">
        <v>282</v>
      </c>
      <c r="F32" s="187" t="s">
        <v>136</v>
      </c>
      <c r="G32" s="188" t="s">
        <v>82</v>
      </c>
      <c r="H32" s="220"/>
      <c r="I32" s="189" t="s">
        <v>294</v>
      </c>
      <c r="J32" s="190">
        <v>0</v>
      </c>
      <c r="K32" s="190">
        <f>1-(2^-16)</f>
        <v>0.9999847412109375</v>
      </c>
      <c r="L32" s="190">
        <f>2^-16</f>
        <v>1.52587890625E-5</v>
      </c>
      <c r="M32" s="191"/>
      <c r="N32" s="190" t="s">
        <v>229</v>
      </c>
      <c r="O32" s="190" t="s">
        <v>257</v>
      </c>
      <c r="P32" s="192"/>
    </row>
    <row r="33" spans="1:16" x14ac:dyDescent="0.2">
      <c r="A33" s="184" t="s">
        <v>287</v>
      </c>
      <c r="B33" s="185"/>
      <c r="C33" s="185"/>
      <c r="D33" s="185" t="s">
        <v>182</v>
      </c>
      <c r="E33" s="186"/>
      <c r="F33" s="187" t="s">
        <v>139</v>
      </c>
      <c r="G33" s="188" t="s">
        <v>82</v>
      </c>
      <c r="H33" s="220"/>
      <c r="I33" s="189" t="s">
        <v>288</v>
      </c>
      <c r="J33" s="190">
        <v>0</v>
      </c>
      <c r="K33" s="190">
        <v>65535</v>
      </c>
      <c r="L33" s="190">
        <v>1</v>
      </c>
      <c r="M33" s="191">
        <v>1</v>
      </c>
      <c r="N33" s="190" t="s">
        <v>229</v>
      </c>
      <c r="O33" s="190" t="s">
        <v>225</v>
      </c>
      <c r="P33" s="192"/>
    </row>
    <row r="34" spans="1:16" x14ac:dyDescent="0.2">
      <c r="A34" s="252" t="s">
        <v>313</v>
      </c>
      <c r="B34" s="253"/>
      <c r="C34" s="253"/>
      <c r="D34" s="185" t="s">
        <v>182</v>
      </c>
      <c r="E34" s="254"/>
      <c r="F34" s="255" t="s">
        <v>139</v>
      </c>
      <c r="G34" s="256" t="s">
        <v>82</v>
      </c>
      <c r="H34" s="257"/>
      <c r="I34" s="258">
        <v>4000</v>
      </c>
      <c r="J34" s="258">
        <v>4000</v>
      </c>
      <c r="K34" s="258">
        <v>6666</v>
      </c>
      <c r="L34" s="258">
        <v>1</v>
      </c>
      <c r="M34" s="191">
        <v>1</v>
      </c>
      <c r="N34" s="258" t="s">
        <v>229</v>
      </c>
      <c r="O34" s="258" t="s">
        <v>225</v>
      </c>
      <c r="P34" s="192"/>
    </row>
    <row r="35" spans="1:16" x14ac:dyDescent="0.2">
      <c r="A35" s="252" t="s">
        <v>314</v>
      </c>
      <c r="B35" s="253"/>
      <c r="C35" s="253"/>
      <c r="D35" s="185" t="s">
        <v>182</v>
      </c>
      <c r="E35" s="254"/>
      <c r="F35" s="255" t="s">
        <v>139</v>
      </c>
      <c r="G35" s="256" t="s">
        <v>82</v>
      </c>
      <c r="H35" s="257"/>
      <c r="I35" s="258">
        <v>3333</v>
      </c>
      <c r="J35" s="258">
        <v>3333</v>
      </c>
      <c r="K35" s="258">
        <v>5000</v>
      </c>
      <c r="L35" s="258">
        <v>1</v>
      </c>
      <c r="M35" s="191">
        <v>1</v>
      </c>
      <c r="N35" s="258" t="s">
        <v>229</v>
      </c>
      <c r="O35" s="258" t="s">
        <v>225</v>
      </c>
      <c r="P35" s="192"/>
    </row>
    <row r="36" spans="1:16" x14ac:dyDescent="0.2">
      <c r="A36" s="252" t="s">
        <v>315</v>
      </c>
      <c r="B36" s="253"/>
      <c r="C36" s="253"/>
      <c r="D36" s="185" t="s">
        <v>182</v>
      </c>
      <c r="E36" s="254"/>
      <c r="F36" s="255" t="s">
        <v>139</v>
      </c>
      <c r="G36" s="256" t="s">
        <v>82</v>
      </c>
      <c r="H36" s="257"/>
      <c r="I36" s="258">
        <v>666</v>
      </c>
      <c r="J36" s="258">
        <v>667</v>
      </c>
      <c r="K36" s="258">
        <v>1666</v>
      </c>
      <c r="L36" s="258">
        <v>1</v>
      </c>
      <c r="M36" s="191">
        <v>1</v>
      </c>
      <c r="N36" s="258" t="s">
        <v>229</v>
      </c>
      <c r="O36" s="258" t="s">
        <v>225</v>
      </c>
      <c r="P36" s="192"/>
    </row>
    <row r="37" spans="1:16" x14ac:dyDescent="0.2">
      <c r="A37" s="244" t="s">
        <v>301</v>
      </c>
      <c r="B37" s="245" t="s">
        <v>302</v>
      </c>
      <c r="C37" s="245"/>
      <c r="D37" s="185" t="s">
        <v>182</v>
      </c>
      <c r="E37" s="246"/>
      <c r="F37" s="247" t="s">
        <v>138</v>
      </c>
      <c r="G37" s="248" t="s">
        <v>82</v>
      </c>
      <c r="H37" s="249"/>
      <c r="I37" s="241">
        <v>0</v>
      </c>
      <c r="J37" s="242">
        <v>0</v>
      </c>
      <c r="K37" s="242">
        <v>7150</v>
      </c>
      <c r="L37" s="242">
        <v>1</v>
      </c>
      <c r="M37" s="250">
        <v>1</v>
      </c>
      <c r="N37" s="242" t="s">
        <v>229</v>
      </c>
      <c r="O37" s="242" t="s">
        <v>225</v>
      </c>
      <c r="P37" s="192"/>
    </row>
    <row r="38" spans="1:16" x14ac:dyDescent="0.2">
      <c r="A38" s="244" t="s">
        <v>303</v>
      </c>
      <c r="B38" s="245" t="s">
        <v>304</v>
      </c>
      <c r="C38" s="245"/>
      <c r="D38" s="185"/>
      <c r="E38" s="246"/>
      <c r="F38" s="247" t="s">
        <v>138</v>
      </c>
      <c r="G38" s="248" t="s">
        <v>82</v>
      </c>
      <c r="H38" s="249"/>
      <c r="I38" s="241">
        <v>0</v>
      </c>
      <c r="J38" s="242">
        <v>0</v>
      </c>
      <c r="K38" s="242">
        <v>7150</v>
      </c>
      <c r="L38" s="242">
        <v>1</v>
      </c>
      <c r="M38" s="250">
        <v>1</v>
      </c>
      <c r="N38" s="242" t="s">
        <v>229</v>
      </c>
      <c r="O38" s="242" t="s">
        <v>225</v>
      </c>
      <c r="P38" s="192"/>
    </row>
    <row r="39" spans="1:16" x14ac:dyDescent="0.2">
      <c r="A39" s="244" t="s">
        <v>305</v>
      </c>
      <c r="B39" s="245"/>
      <c r="C39" s="245"/>
      <c r="D39" s="185"/>
      <c r="E39" s="246"/>
      <c r="F39" s="247" t="s">
        <v>138</v>
      </c>
      <c r="G39" s="248" t="s">
        <v>82</v>
      </c>
      <c r="H39" s="249"/>
      <c r="I39" s="241">
        <v>0</v>
      </c>
      <c r="J39" s="242">
        <v>0</v>
      </c>
      <c r="K39" s="242">
        <v>7150</v>
      </c>
      <c r="L39" s="242">
        <v>1</v>
      </c>
      <c r="M39" s="250">
        <v>1</v>
      </c>
      <c r="N39" s="242" t="s">
        <v>229</v>
      </c>
      <c r="O39" s="242" t="s">
        <v>225</v>
      </c>
      <c r="P39" s="192"/>
    </row>
    <row r="40" spans="1:16" x14ac:dyDescent="0.2">
      <c r="A40" s="252" t="s">
        <v>319</v>
      </c>
      <c r="B40" s="253"/>
      <c r="C40" s="253"/>
      <c r="D40" s="253"/>
      <c r="E40" s="254"/>
      <c r="F40" s="255" t="s">
        <v>138</v>
      </c>
      <c r="G40" s="256" t="s">
        <v>82</v>
      </c>
      <c r="H40" s="257"/>
      <c r="I40" s="258">
        <v>3334</v>
      </c>
      <c r="J40" s="258">
        <v>3333</v>
      </c>
      <c r="K40" s="258">
        <v>6666</v>
      </c>
      <c r="L40" s="258">
        <v>1</v>
      </c>
      <c r="M40" s="259">
        <v>1</v>
      </c>
      <c r="N40" s="258" t="s">
        <v>229</v>
      </c>
      <c r="O40" s="258" t="s">
        <v>225</v>
      </c>
    </row>
  </sheetData>
  <sheetProtection insertColumns="0" insertRows="0" insertHyperlinks="0" deleteColumns="0" deleteRows="0" sort="0" autoFilter="0" pivotTables="0"/>
  <customSheetViews>
    <customSheetView guid="{CDE91C1B-E8DA-4970-958C-BB86FE77ABD6}" scale="85" showPageBreaks="1" printArea="1" hiddenColumns="1" topLeftCell="A2">
      <selection activeCell="J37" sqref="J37"/>
      <pageMargins left="0.25" right="0.25" top="0.75" bottom="0.75" header="0.5" footer="0.5"/>
      <printOptions horizontalCentered="1"/>
      <pageSetup scale="75" fitToHeight="8" orientation="landscape" r:id="rId1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</customSheetView>
    <customSheetView guid="{4133ED5E-99F2-4B74-85B8-24C66B4DC868}" scale="85" showPageBreaks="1" printArea="1" hiddenColumns="1" topLeftCell="D28">
      <selection activeCell="L44" sqref="L44"/>
      <pageMargins left="0.25" right="0.25" top="0.75" bottom="0.75" header="0.5" footer="0.5"/>
      <printOptions horizontalCentered="1"/>
      <pageSetup scale="75" fitToHeight="8" orientation="landscape" r:id="rId2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</customSheetView>
    <customSheetView guid="{C44768EB-A6B9-4D4C-A778-B11850F195E2}" scale="85" showPageBreaks="1" printArea="1" hiddenColumns="1" topLeftCell="A25">
      <selection activeCell="A36" sqref="A36:A37"/>
      <pageMargins left="0.25" right="0.25" top="0.75" bottom="0.75" header="0.5" footer="0.5"/>
      <printOptions horizontalCentered="1"/>
      <pageSetup scale="75" fitToHeight="8" orientation="landscape" r:id="rId3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</customSheetView>
  </customSheetViews>
  <mergeCells count="3">
    <mergeCell ref="J3:K3"/>
    <mergeCell ref="A1:P1"/>
    <mergeCell ref="A2:P2"/>
  </mergeCells>
  <conditionalFormatting sqref="H3:H5 H23:H65528 G3:G65528 I3:I65528">
    <cfRule type="cellIs" dxfId="75" priority="27" stopIfTrue="1" operator="equal">
      <formula>"y"</formula>
    </cfRule>
    <cfRule type="cellIs" dxfId="74" priority="28" stopIfTrue="1" operator="equal">
      <formula>"Y"</formula>
    </cfRule>
  </conditionalFormatting>
  <conditionalFormatting sqref="F6:G39 B6:D39 I6:P39">
    <cfRule type="expression" dxfId="73" priority="26" stopIfTrue="1">
      <formula>IF($A6&lt;&gt;"",IF(B6="",TRUE,FALSE),FALSE)</formula>
    </cfRule>
  </conditionalFormatting>
  <conditionalFormatting sqref="M6:M39">
    <cfRule type="expression" dxfId="72" priority="25" stopIfTrue="1">
      <formula>IF($F6="I",TRUE,FALSE)</formula>
    </cfRule>
  </conditionalFormatting>
  <conditionalFormatting sqref="M13">
    <cfRule type="expression" dxfId="71" priority="12" stopIfTrue="1">
      <formula>IF($F13="I",TRUE,FALSE)</formula>
    </cfRule>
  </conditionalFormatting>
  <conditionalFormatting sqref="M13">
    <cfRule type="expression" dxfId="70" priority="11" stopIfTrue="1">
      <formula>IF($F13="I",TRUE,FALSE)</formula>
    </cfRule>
  </conditionalFormatting>
  <conditionalFormatting sqref="D29">
    <cfRule type="expression" dxfId="69" priority="10" stopIfTrue="1">
      <formula>IF($A29&lt;&gt;"",IF(D29="",TRUE,FALSE),FALSE)</formula>
    </cfRule>
  </conditionalFormatting>
  <conditionalFormatting sqref="B23">
    <cfRule type="expression" dxfId="68" priority="8" stopIfTrue="1">
      <formula>IF($A23&lt;&gt;"",IF(B23="",TRUE,FALSE),FALSE)</formula>
    </cfRule>
  </conditionalFormatting>
  <conditionalFormatting sqref="B24">
    <cfRule type="expression" dxfId="67" priority="7" stopIfTrue="1">
      <formula>IF($A24&lt;&gt;"",IF(B24="",TRUE,FALSE),FALSE)</formula>
    </cfRule>
  </conditionalFormatting>
  <conditionalFormatting sqref="B24">
    <cfRule type="expression" dxfId="66" priority="6" stopIfTrue="1">
      <formula>IF($A24&lt;&gt;"",IF(B24="",TRUE,FALSE),FALSE)</formula>
    </cfRule>
  </conditionalFormatting>
  <conditionalFormatting sqref="D30">
    <cfRule type="expression" dxfId="65" priority="5" stopIfTrue="1">
      <formula>IF($A30&lt;&gt;"",IF(D30="",TRUE,FALSE),FALSE)</formula>
    </cfRule>
  </conditionalFormatting>
  <dataValidations count="5">
    <dataValidation type="list" allowBlank="1" showInputMessage="1" showErrorMessage="1" sqref="G5:H5">
      <formula1>$T$1:$T$2</formula1>
    </dataValidation>
    <dataValidation type="list" allowBlank="1" showInputMessage="1" showErrorMessage="1" sqref="F5">
      <formula1>$S$1:$S$3</formula1>
    </dataValidation>
    <dataValidation type="list" allowBlank="1" showInputMessage="1" showErrorMessage="1" sqref="D6:D36">
      <formula1>FDDValList</formula1>
    </dataValidation>
    <dataValidation type="list" allowBlank="1" showInputMessage="1" showErrorMessage="1" sqref="G6:H65528">
      <formula1>$S$2:$T$2</formula1>
    </dataValidation>
    <dataValidation type="list" allowBlank="1" showInputMessage="1" showErrorMessage="1" sqref="F6:F65528">
      <formula1>$S$1:$W$1</formula1>
    </dataValidation>
  </dataValidations>
  <printOptions horizontalCentered="1"/>
  <pageMargins left="0.25" right="0.25" top="0.75" bottom="0.75" header="0.5" footer="0.5"/>
  <pageSetup scale="75" fitToHeight="8" orientation="landscape" r:id="rId4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81"/>
  <sheetViews>
    <sheetView zoomScale="85" zoomScaleNormal="85" workbookViewId="0">
      <pane ySplit="4" topLeftCell="A5" activePane="bottomLeft" state="frozen"/>
      <selection pane="bottomLeft" activeCell="A7" sqref="A7"/>
    </sheetView>
  </sheetViews>
  <sheetFormatPr defaultRowHeight="12.75" x14ac:dyDescent="0.2"/>
  <cols>
    <col min="1" max="1" width="37.5703125" style="199" customWidth="1"/>
    <col min="2" max="2" width="30.85546875" style="199" customWidth="1"/>
    <col min="3" max="3" width="15.5703125" style="211" hidden="1" customWidth="1"/>
    <col min="4" max="4" width="15.5703125" style="211" customWidth="1"/>
    <col min="5" max="5" width="20.42578125" style="200" customWidth="1"/>
    <col min="6" max="6" width="10.5703125" style="201" customWidth="1"/>
    <col min="7" max="7" width="5.7109375" style="201" customWidth="1"/>
    <col min="8" max="8" width="8" style="201" customWidth="1"/>
    <col min="9" max="9" width="33.140625" style="212" customWidth="1"/>
    <col min="10" max="10" width="16.85546875" style="202" customWidth="1"/>
    <col min="11" max="11" width="19.140625" style="203" customWidth="1"/>
    <col min="12" max="12" width="14.85546875" style="202" customWidth="1"/>
    <col min="13" max="14" width="15.7109375" style="202" customWidth="1"/>
    <col min="15" max="15" width="22.28515625" style="202" hidden="1" customWidth="1"/>
    <col min="16" max="16" width="36.85546875" style="193" bestFit="1" customWidth="1"/>
    <col min="17" max="17" width="6.5703125" style="194" customWidth="1"/>
    <col min="18" max="16384" width="9.140625" style="194"/>
  </cols>
  <sheetData>
    <row r="1" spans="1:19" s="130" customFormat="1" ht="29.25" customHeight="1" thickBot="1" x14ac:dyDescent="0.25">
      <c r="A1" s="269" t="str">
        <f>'Change Log'!A1:D1</f>
        <v>SVDrvr_CM Rev  6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0"/>
      <c r="M1" s="270"/>
      <c r="N1" s="270"/>
      <c r="O1" s="270"/>
      <c r="P1" s="128"/>
      <c r="S1" s="129" t="str">
        <f>Template!C26</f>
        <v>N</v>
      </c>
    </row>
    <row r="2" spans="1:19" s="130" customFormat="1" ht="13.5" thickBot="1" x14ac:dyDescent="0.25">
      <c r="A2" s="266" t="s">
        <v>91</v>
      </c>
      <c r="B2" s="267"/>
      <c r="C2" s="267"/>
      <c r="D2" s="267"/>
      <c r="E2" s="271"/>
      <c r="F2" s="271"/>
      <c r="G2" s="131"/>
      <c r="H2" s="131"/>
      <c r="I2" s="272" t="s">
        <v>84</v>
      </c>
      <c r="J2" s="271"/>
      <c r="K2" s="271"/>
      <c r="L2" s="271"/>
      <c r="M2" s="271"/>
      <c r="N2" s="273"/>
      <c r="O2" s="132"/>
      <c r="P2" s="133"/>
      <c r="S2" s="129" t="str">
        <f>Template!C36</f>
        <v>Y</v>
      </c>
    </row>
    <row r="3" spans="1:19" s="130" customFormat="1" x14ac:dyDescent="0.2">
      <c r="A3" s="169"/>
      <c r="B3" s="170"/>
      <c r="C3" s="171"/>
      <c r="D3" s="171"/>
      <c r="E3" s="171"/>
      <c r="F3" s="172"/>
      <c r="G3" s="173"/>
      <c r="H3" s="172"/>
      <c r="I3" s="205"/>
      <c r="J3" s="262" t="s">
        <v>83</v>
      </c>
      <c r="K3" s="263"/>
      <c r="L3" s="175"/>
      <c r="M3" s="176"/>
      <c r="N3" s="176"/>
      <c r="O3" s="176"/>
      <c r="P3" s="133"/>
      <c r="S3" s="129" t="str">
        <f>Template!C46</f>
        <v>P</v>
      </c>
    </row>
    <row r="4" spans="1:19" s="130" customFormat="1" ht="23.25" thickBot="1" x14ac:dyDescent="0.25">
      <c r="A4" s="177" t="s">
        <v>150</v>
      </c>
      <c r="B4" s="127" t="s">
        <v>132</v>
      </c>
      <c r="C4" s="179" t="s">
        <v>94</v>
      </c>
      <c r="D4" s="213" t="s">
        <v>152</v>
      </c>
      <c r="E4" s="179" t="s">
        <v>57</v>
      </c>
      <c r="F4" s="179" t="s">
        <v>92</v>
      </c>
      <c r="G4" s="180" t="s">
        <v>133</v>
      </c>
      <c r="H4" s="179" t="s">
        <v>164</v>
      </c>
      <c r="I4" s="206" t="s">
        <v>163</v>
      </c>
      <c r="J4" s="181" t="s">
        <v>134</v>
      </c>
      <c r="K4" s="182" t="s">
        <v>135</v>
      </c>
      <c r="L4" s="179" t="s">
        <v>52</v>
      </c>
      <c r="M4" s="183" t="s">
        <v>90</v>
      </c>
      <c r="N4" s="183" t="s">
        <v>15</v>
      </c>
      <c r="O4" s="176" t="s">
        <v>85</v>
      </c>
      <c r="P4" s="133"/>
    </row>
    <row r="5" spans="1:19" s="130" customFormat="1" ht="15" customHeight="1" x14ac:dyDescent="0.2">
      <c r="A5" s="136" t="s">
        <v>151</v>
      </c>
      <c r="B5" s="137"/>
      <c r="C5" s="138"/>
      <c r="D5" s="138"/>
      <c r="E5" s="138"/>
      <c r="F5" s="139"/>
      <c r="G5" s="139"/>
      <c r="H5" s="139"/>
      <c r="I5" s="207"/>
      <c r="J5" s="141"/>
      <c r="K5" s="140"/>
      <c r="L5" s="141"/>
      <c r="M5" s="141"/>
      <c r="N5" s="141"/>
      <c r="O5" s="141"/>
      <c r="P5" s="133"/>
    </row>
    <row r="6" spans="1:19" ht="33.75" x14ac:dyDescent="0.2">
      <c r="A6" s="210" t="s">
        <v>227</v>
      </c>
      <c r="B6" s="208" t="s">
        <v>309</v>
      </c>
      <c r="C6" s="196"/>
      <c r="D6" s="196" t="s">
        <v>182</v>
      </c>
      <c r="E6" s="196" t="s">
        <v>263</v>
      </c>
      <c r="F6" s="197" t="s">
        <v>82</v>
      </c>
      <c r="G6" s="198" t="s">
        <v>82</v>
      </c>
      <c r="H6" s="198"/>
      <c r="I6" s="209">
        <v>20</v>
      </c>
      <c r="J6" s="195">
        <v>0</v>
      </c>
      <c r="K6" s="195">
        <v>65535</v>
      </c>
      <c r="L6" s="195" t="s">
        <v>262</v>
      </c>
      <c r="M6" s="195" t="s">
        <v>225</v>
      </c>
      <c r="N6" s="195" t="s">
        <v>289</v>
      </c>
      <c r="O6" s="192" t="s">
        <v>226</v>
      </c>
    </row>
    <row r="7" spans="1:19" s="238" customFormat="1" ht="33.75" x14ac:dyDescent="0.2">
      <c r="A7" s="239" t="s">
        <v>308</v>
      </c>
      <c r="B7" s="240" t="s">
        <v>307</v>
      </c>
      <c r="C7" s="231"/>
      <c r="D7" s="231" t="s">
        <v>182</v>
      </c>
      <c r="E7" s="231" t="s">
        <v>310</v>
      </c>
      <c r="F7" s="232" t="s">
        <v>82</v>
      </c>
      <c r="G7" s="233" t="s">
        <v>82</v>
      </c>
      <c r="H7" s="233"/>
      <c r="I7" s="234">
        <v>16000</v>
      </c>
      <c r="J7" s="235">
        <v>14000</v>
      </c>
      <c r="K7" s="235">
        <v>22000</v>
      </c>
      <c r="L7" s="235" t="s">
        <v>311</v>
      </c>
      <c r="M7" s="235" t="s">
        <v>225</v>
      </c>
      <c r="N7" s="195" t="s">
        <v>289</v>
      </c>
      <c r="O7" s="236"/>
      <c r="P7" s="237"/>
    </row>
    <row r="8" spans="1:19" x14ac:dyDescent="0.2">
      <c r="A8" s="222"/>
      <c r="B8" s="222"/>
      <c r="C8" s="223"/>
      <c r="D8" s="196"/>
      <c r="E8" s="223"/>
      <c r="F8" s="224"/>
      <c r="G8" s="225"/>
      <c r="H8" s="225"/>
      <c r="I8" s="226"/>
      <c r="J8" s="227"/>
      <c r="K8" s="227"/>
      <c r="L8" s="227"/>
      <c r="M8" s="227"/>
      <c r="N8" s="227"/>
      <c r="O8" s="228"/>
    </row>
    <row r="9" spans="1:19" x14ac:dyDescent="0.2">
      <c r="A9" s="222"/>
      <c r="B9" s="222"/>
      <c r="C9" s="223"/>
      <c r="D9" s="196"/>
      <c r="E9" s="223"/>
      <c r="F9" s="224"/>
      <c r="G9" s="225"/>
      <c r="H9" s="225"/>
      <c r="I9" s="226"/>
      <c r="J9" s="227"/>
      <c r="K9" s="227"/>
      <c r="L9" s="227"/>
      <c r="M9" s="227"/>
      <c r="N9" s="227"/>
      <c r="O9" s="228"/>
    </row>
    <row r="10" spans="1:19" x14ac:dyDescent="0.2">
      <c r="A10" s="222"/>
      <c r="B10" s="222"/>
      <c r="C10" s="223"/>
      <c r="D10" s="196"/>
      <c r="E10" s="223"/>
      <c r="F10" s="224"/>
      <c r="G10" s="225"/>
      <c r="H10" s="225"/>
      <c r="I10" s="226"/>
      <c r="J10" s="227"/>
      <c r="K10" s="227"/>
      <c r="L10" s="227"/>
      <c r="M10" s="227"/>
      <c r="N10" s="227"/>
      <c r="O10" s="228"/>
    </row>
    <row r="11" spans="1:19" x14ac:dyDescent="0.2">
      <c r="A11" s="222"/>
      <c r="B11" s="222"/>
      <c r="C11" s="223"/>
      <c r="D11" s="196"/>
      <c r="E11" s="223"/>
      <c r="F11" s="224"/>
      <c r="G11" s="225"/>
      <c r="H11" s="225"/>
      <c r="I11" s="226"/>
      <c r="J11" s="227"/>
      <c r="K11" s="227"/>
      <c r="L11" s="227"/>
      <c r="M11" s="227"/>
      <c r="N11" s="227"/>
      <c r="O11" s="228"/>
    </row>
    <row r="12" spans="1:19" x14ac:dyDescent="0.2">
      <c r="A12" s="222"/>
      <c r="B12" s="222"/>
      <c r="C12" s="223"/>
      <c r="D12" s="196"/>
      <c r="E12" s="223"/>
      <c r="F12" s="224"/>
      <c r="G12" s="225"/>
      <c r="H12" s="225"/>
      <c r="I12" s="226"/>
      <c r="J12" s="227"/>
      <c r="K12" s="227"/>
      <c r="L12" s="227"/>
      <c r="M12" s="227"/>
      <c r="N12" s="227"/>
      <c r="O12" s="228"/>
    </row>
    <row r="13" spans="1:19" x14ac:dyDescent="0.2">
      <c r="A13" s="210"/>
      <c r="B13" s="208"/>
      <c r="C13" s="196"/>
      <c r="D13" s="196"/>
      <c r="E13" s="196"/>
      <c r="F13" s="197"/>
      <c r="G13" s="198"/>
      <c r="H13" s="198"/>
      <c r="I13" s="209"/>
      <c r="J13" s="195"/>
      <c r="K13" s="195"/>
      <c r="L13" s="195"/>
      <c r="M13" s="195"/>
      <c r="N13" s="195"/>
      <c r="O13" s="192"/>
    </row>
    <row r="14" spans="1:19" x14ac:dyDescent="0.2">
      <c r="A14" s="210"/>
      <c r="B14" s="208"/>
      <c r="C14" s="196"/>
      <c r="D14" s="196"/>
      <c r="E14" s="196"/>
      <c r="F14" s="197"/>
      <c r="G14" s="198"/>
      <c r="H14" s="198"/>
      <c r="I14" s="209"/>
      <c r="J14" s="195"/>
      <c r="K14" s="195"/>
      <c r="L14" s="195"/>
      <c r="M14" s="195"/>
      <c r="N14" s="195"/>
      <c r="O14" s="192"/>
    </row>
    <row r="15" spans="1:19" x14ac:dyDescent="0.2">
      <c r="A15" s="210"/>
      <c r="B15" s="208"/>
      <c r="C15" s="196"/>
      <c r="D15" s="196"/>
      <c r="E15" s="196"/>
      <c r="F15" s="197"/>
      <c r="G15" s="198"/>
      <c r="H15" s="198"/>
      <c r="I15" s="209"/>
      <c r="J15" s="195"/>
      <c r="K15" s="195"/>
      <c r="L15" s="195"/>
      <c r="M15" s="195"/>
      <c r="N15" s="195"/>
      <c r="O15" s="192"/>
    </row>
    <row r="16" spans="1:19" x14ac:dyDescent="0.2">
      <c r="A16" s="210"/>
      <c r="B16" s="208"/>
      <c r="C16" s="196"/>
      <c r="D16" s="196"/>
      <c r="E16" s="196"/>
      <c r="F16" s="197"/>
      <c r="G16" s="198"/>
      <c r="H16" s="198"/>
      <c r="I16" s="209"/>
      <c r="J16" s="195"/>
      <c r="K16" s="195"/>
      <c r="L16" s="195"/>
      <c r="M16" s="195"/>
      <c r="N16" s="195"/>
      <c r="O16" s="192"/>
    </row>
    <row r="17" spans="1:15" x14ac:dyDescent="0.2">
      <c r="A17" s="210"/>
      <c r="B17" s="208"/>
      <c r="C17" s="196"/>
      <c r="D17" s="196"/>
      <c r="E17" s="196"/>
      <c r="F17" s="197"/>
      <c r="G17" s="198"/>
      <c r="H17" s="198"/>
      <c r="I17" s="209"/>
      <c r="J17" s="195"/>
      <c r="K17" s="195"/>
      <c r="L17" s="195"/>
      <c r="M17" s="195"/>
      <c r="N17" s="195"/>
      <c r="O17" s="192"/>
    </row>
    <row r="18" spans="1:15" x14ac:dyDescent="0.2">
      <c r="A18" s="210"/>
      <c r="B18" s="208"/>
      <c r="C18" s="196"/>
      <c r="D18" s="196"/>
      <c r="E18" s="196"/>
      <c r="F18" s="197"/>
      <c r="G18" s="198"/>
      <c r="H18" s="198"/>
      <c r="I18" s="209"/>
      <c r="J18" s="195"/>
      <c r="K18" s="195"/>
      <c r="L18" s="195"/>
      <c r="M18" s="195"/>
      <c r="N18" s="195"/>
      <c r="O18" s="192"/>
    </row>
    <row r="19" spans="1:15" x14ac:dyDescent="0.2">
      <c r="A19" s="210"/>
      <c r="B19" s="208"/>
      <c r="C19" s="196"/>
      <c r="D19" s="196"/>
      <c r="E19" s="196"/>
      <c r="F19" s="197"/>
      <c r="G19" s="198"/>
      <c r="H19" s="198"/>
      <c r="I19" s="209"/>
      <c r="J19" s="195"/>
      <c r="K19" s="195"/>
      <c r="L19" s="195"/>
      <c r="M19" s="195"/>
      <c r="N19" s="195"/>
      <c r="O19" s="192"/>
    </row>
    <row r="20" spans="1:15" x14ac:dyDescent="0.2">
      <c r="A20" s="210"/>
      <c r="B20" s="208"/>
      <c r="C20" s="196"/>
      <c r="D20" s="196"/>
      <c r="E20" s="196"/>
      <c r="F20" s="197"/>
      <c r="G20" s="198"/>
      <c r="H20" s="198"/>
      <c r="I20" s="209"/>
      <c r="J20" s="195"/>
      <c r="K20" s="195"/>
      <c r="L20" s="195"/>
      <c r="M20" s="195"/>
      <c r="N20" s="195"/>
      <c r="O20" s="192"/>
    </row>
    <row r="21" spans="1:15" x14ac:dyDescent="0.2">
      <c r="A21" s="210"/>
      <c r="B21" s="208"/>
      <c r="C21" s="196"/>
      <c r="D21" s="196"/>
      <c r="E21" s="196"/>
      <c r="F21" s="197"/>
      <c r="G21" s="198"/>
      <c r="H21" s="198"/>
      <c r="I21" s="209"/>
      <c r="J21" s="195"/>
      <c r="K21" s="195"/>
      <c r="L21" s="195"/>
      <c r="M21" s="195"/>
      <c r="N21" s="195"/>
      <c r="O21" s="192"/>
    </row>
    <row r="22" spans="1:15" x14ac:dyDescent="0.2">
      <c r="A22" s="210"/>
      <c r="B22" s="208"/>
      <c r="C22" s="196"/>
      <c r="D22" s="196"/>
      <c r="E22" s="196"/>
      <c r="F22" s="197"/>
      <c r="G22" s="198"/>
      <c r="H22" s="198"/>
      <c r="I22" s="209"/>
      <c r="J22" s="195"/>
      <c r="K22" s="195"/>
      <c r="L22" s="195"/>
      <c r="M22" s="195"/>
      <c r="N22" s="195"/>
      <c r="O22" s="192"/>
    </row>
    <row r="23" spans="1:15" x14ac:dyDescent="0.2">
      <c r="A23" s="210"/>
      <c r="B23" s="208"/>
      <c r="C23" s="196"/>
      <c r="D23" s="196"/>
      <c r="E23" s="196"/>
      <c r="F23" s="197"/>
      <c r="G23" s="198"/>
      <c r="H23" s="198"/>
      <c r="I23" s="209"/>
      <c r="J23" s="195"/>
      <c r="K23" s="195"/>
      <c r="L23" s="195"/>
      <c r="M23" s="195"/>
      <c r="N23" s="195"/>
      <c r="O23" s="192"/>
    </row>
    <row r="24" spans="1:15" x14ac:dyDescent="0.2">
      <c r="A24" s="210"/>
      <c r="B24" s="208"/>
      <c r="C24" s="196"/>
      <c r="D24" s="196"/>
      <c r="E24" s="196"/>
      <c r="F24" s="197"/>
      <c r="G24" s="198"/>
      <c r="H24" s="198"/>
      <c r="I24" s="209"/>
      <c r="J24" s="195"/>
      <c r="K24" s="195"/>
      <c r="L24" s="195"/>
      <c r="M24" s="195"/>
      <c r="N24" s="195"/>
      <c r="O24" s="192"/>
    </row>
    <row r="25" spans="1:15" x14ac:dyDescent="0.2">
      <c r="A25" s="210"/>
      <c r="B25" s="208"/>
      <c r="C25" s="196"/>
      <c r="D25" s="196"/>
      <c r="E25" s="196"/>
      <c r="F25" s="197"/>
      <c r="G25" s="198"/>
      <c r="H25" s="198"/>
      <c r="I25" s="209"/>
      <c r="J25" s="195"/>
      <c r="K25" s="195"/>
      <c r="L25" s="195"/>
      <c r="M25" s="195"/>
      <c r="N25" s="195"/>
      <c r="O25" s="192"/>
    </row>
    <row r="26" spans="1:15" x14ac:dyDescent="0.2">
      <c r="A26" s="210"/>
      <c r="B26" s="208"/>
      <c r="C26" s="196"/>
      <c r="D26" s="196"/>
      <c r="E26" s="196"/>
      <c r="F26" s="197"/>
      <c r="G26" s="198"/>
      <c r="H26" s="198"/>
      <c r="I26" s="209"/>
      <c r="J26" s="195"/>
      <c r="K26" s="195"/>
      <c r="L26" s="195"/>
      <c r="M26" s="195"/>
      <c r="N26" s="195"/>
      <c r="O26" s="192"/>
    </row>
    <row r="27" spans="1:15" x14ac:dyDescent="0.2">
      <c r="A27" s="210"/>
      <c r="B27" s="208"/>
      <c r="C27" s="196"/>
      <c r="D27" s="196"/>
      <c r="E27" s="196"/>
      <c r="F27" s="197"/>
      <c r="G27" s="198"/>
      <c r="H27" s="198"/>
      <c r="I27" s="209"/>
      <c r="J27" s="195"/>
      <c r="K27" s="195"/>
      <c r="L27" s="195"/>
      <c r="M27" s="195"/>
      <c r="N27" s="195"/>
      <c r="O27" s="192"/>
    </row>
    <row r="28" spans="1:15" x14ac:dyDescent="0.2">
      <c r="A28" s="210"/>
      <c r="B28" s="208"/>
      <c r="C28" s="196"/>
      <c r="D28" s="196"/>
      <c r="E28" s="196"/>
      <c r="F28" s="197"/>
      <c r="G28" s="198"/>
      <c r="H28" s="198"/>
      <c r="I28" s="209"/>
      <c r="J28" s="195"/>
      <c r="K28" s="195"/>
      <c r="L28" s="195"/>
      <c r="M28" s="195"/>
      <c r="N28" s="195"/>
      <c r="O28" s="192"/>
    </row>
    <row r="29" spans="1:15" x14ac:dyDescent="0.2">
      <c r="A29" s="210"/>
      <c r="B29" s="208"/>
      <c r="C29" s="196"/>
      <c r="D29" s="196"/>
      <c r="E29" s="196"/>
      <c r="F29" s="197"/>
      <c r="G29" s="198"/>
      <c r="H29" s="198"/>
      <c r="I29" s="209"/>
      <c r="J29" s="195"/>
      <c r="K29" s="195"/>
      <c r="L29" s="195"/>
      <c r="M29" s="195"/>
      <c r="N29" s="195"/>
      <c r="O29" s="192"/>
    </row>
    <row r="30" spans="1:15" x14ac:dyDescent="0.2">
      <c r="A30" s="210"/>
      <c r="B30" s="208"/>
      <c r="C30" s="196"/>
      <c r="D30" s="196"/>
      <c r="E30" s="196"/>
      <c r="F30" s="197"/>
      <c r="G30" s="198"/>
      <c r="H30" s="198"/>
      <c r="I30" s="209"/>
      <c r="J30" s="195"/>
      <c r="K30" s="195"/>
      <c r="L30" s="195"/>
      <c r="M30" s="195"/>
      <c r="N30" s="195"/>
      <c r="O30" s="192"/>
    </row>
    <row r="31" spans="1:15" x14ac:dyDescent="0.2">
      <c r="A31" s="210"/>
      <c r="B31" s="208"/>
      <c r="C31" s="196"/>
      <c r="D31" s="196"/>
      <c r="E31" s="196"/>
      <c r="F31" s="197"/>
      <c r="G31" s="198"/>
      <c r="H31" s="198"/>
      <c r="I31" s="209"/>
      <c r="J31" s="195"/>
      <c r="K31" s="195"/>
      <c r="L31" s="195"/>
      <c r="M31" s="195"/>
      <c r="N31" s="195"/>
      <c r="O31" s="192"/>
    </row>
    <row r="32" spans="1:15" x14ac:dyDescent="0.2">
      <c r="A32" s="210"/>
      <c r="B32" s="208"/>
      <c r="C32" s="196"/>
      <c r="D32" s="196"/>
      <c r="E32" s="196"/>
      <c r="F32" s="197"/>
      <c r="G32" s="198"/>
      <c r="H32" s="198"/>
      <c r="I32" s="209"/>
      <c r="J32" s="195"/>
      <c r="K32" s="195"/>
      <c r="L32" s="195"/>
      <c r="M32" s="195"/>
      <c r="N32" s="195"/>
      <c r="O32" s="192"/>
    </row>
    <row r="33" spans="1:15" x14ac:dyDescent="0.2">
      <c r="A33" s="210"/>
      <c r="B33" s="208"/>
      <c r="C33" s="196"/>
      <c r="D33" s="196"/>
      <c r="E33" s="196"/>
      <c r="F33" s="197"/>
      <c r="G33" s="198"/>
      <c r="H33" s="198"/>
      <c r="I33" s="209"/>
      <c r="J33" s="195"/>
      <c r="K33" s="195"/>
      <c r="L33" s="195"/>
      <c r="M33" s="195"/>
      <c r="N33" s="195"/>
      <c r="O33" s="192"/>
    </row>
    <row r="34" spans="1:15" x14ac:dyDescent="0.2">
      <c r="A34" s="210"/>
      <c r="B34" s="208"/>
      <c r="C34" s="196"/>
      <c r="D34" s="196"/>
      <c r="E34" s="196"/>
      <c r="F34" s="197"/>
      <c r="G34" s="198"/>
      <c r="H34" s="198"/>
      <c r="I34" s="209"/>
      <c r="J34" s="195"/>
      <c r="K34" s="195"/>
      <c r="L34" s="195"/>
      <c r="M34" s="195"/>
      <c r="N34" s="195"/>
      <c r="O34" s="192"/>
    </row>
    <row r="35" spans="1:15" x14ac:dyDescent="0.2">
      <c r="A35" s="210"/>
      <c r="B35" s="208"/>
      <c r="C35" s="196"/>
      <c r="D35" s="196"/>
      <c r="E35" s="196"/>
      <c r="F35" s="197"/>
      <c r="G35" s="198"/>
      <c r="H35" s="198"/>
      <c r="I35" s="209"/>
      <c r="J35" s="195"/>
      <c r="K35" s="195"/>
      <c r="L35" s="195"/>
      <c r="M35" s="195"/>
      <c r="N35" s="195"/>
      <c r="O35" s="192"/>
    </row>
    <row r="36" spans="1:15" x14ac:dyDescent="0.2">
      <c r="A36" s="210"/>
      <c r="B36" s="208"/>
      <c r="C36" s="196"/>
      <c r="D36" s="196"/>
      <c r="E36" s="196"/>
      <c r="F36" s="197"/>
      <c r="G36" s="198"/>
      <c r="H36" s="198"/>
      <c r="I36" s="209"/>
      <c r="J36" s="195"/>
      <c r="K36" s="195"/>
      <c r="L36" s="195"/>
      <c r="M36" s="195"/>
      <c r="N36" s="195"/>
      <c r="O36" s="192"/>
    </row>
    <row r="37" spans="1:15" x14ac:dyDescent="0.2">
      <c r="A37" s="210"/>
      <c r="B37" s="208"/>
      <c r="C37" s="196"/>
      <c r="D37" s="196"/>
      <c r="E37" s="196"/>
      <c r="F37" s="197"/>
      <c r="G37" s="198"/>
      <c r="H37" s="198"/>
      <c r="I37" s="209"/>
      <c r="J37" s="195"/>
      <c r="K37" s="195"/>
      <c r="L37" s="195"/>
      <c r="M37" s="195"/>
      <c r="N37" s="195"/>
      <c r="O37" s="192"/>
    </row>
    <row r="38" spans="1:15" x14ac:dyDescent="0.2">
      <c r="A38" s="210"/>
      <c r="B38" s="208"/>
      <c r="C38" s="196"/>
      <c r="D38" s="196"/>
      <c r="E38" s="196"/>
      <c r="F38" s="197"/>
      <c r="G38" s="198"/>
      <c r="H38" s="198"/>
      <c r="I38" s="209"/>
      <c r="J38" s="195"/>
      <c r="K38" s="195"/>
      <c r="L38" s="195"/>
      <c r="M38" s="195"/>
      <c r="N38" s="195"/>
      <c r="O38" s="192"/>
    </row>
    <row r="39" spans="1:15" x14ac:dyDescent="0.2">
      <c r="A39" s="210"/>
      <c r="B39" s="208"/>
      <c r="C39" s="196"/>
      <c r="D39" s="196"/>
      <c r="E39" s="196"/>
      <c r="F39" s="197"/>
      <c r="G39" s="198"/>
      <c r="H39" s="198"/>
      <c r="I39" s="209"/>
      <c r="J39" s="195"/>
      <c r="K39" s="195"/>
      <c r="L39" s="195"/>
      <c r="M39" s="195"/>
      <c r="N39" s="195"/>
      <c r="O39" s="192"/>
    </row>
    <row r="40" spans="1:15" x14ac:dyDescent="0.2">
      <c r="A40" s="210"/>
      <c r="B40" s="208"/>
      <c r="C40" s="196"/>
      <c r="D40" s="196"/>
      <c r="E40" s="196"/>
      <c r="F40" s="197"/>
      <c r="G40" s="198"/>
      <c r="H40" s="198"/>
      <c r="I40" s="209"/>
      <c r="J40" s="195"/>
      <c r="K40" s="195"/>
      <c r="L40" s="195"/>
      <c r="M40" s="195"/>
      <c r="N40" s="195"/>
      <c r="O40" s="192"/>
    </row>
    <row r="41" spans="1:15" x14ac:dyDescent="0.2">
      <c r="A41" s="210"/>
      <c r="B41" s="208"/>
      <c r="C41" s="196"/>
      <c r="D41" s="196"/>
      <c r="E41" s="196"/>
      <c r="F41" s="197"/>
      <c r="G41" s="198"/>
      <c r="H41" s="198"/>
      <c r="I41" s="209"/>
      <c r="J41" s="195"/>
      <c r="K41" s="195"/>
      <c r="L41" s="195"/>
      <c r="M41" s="195"/>
      <c r="N41" s="195"/>
      <c r="O41" s="192"/>
    </row>
    <row r="42" spans="1:15" x14ac:dyDescent="0.2">
      <c r="A42" s="210"/>
      <c r="B42" s="208"/>
      <c r="C42" s="196"/>
      <c r="D42" s="196"/>
      <c r="E42" s="196"/>
      <c r="F42" s="197"/>
      <c r="G42" s="198"/>
      <c r="H42" s="198"/>
      <c r="I42" s="209"/>
      <c r="J42" s="195"/>
      <c r="K42" s="195"/>
      <c r="L42" s="195"/>
      <c r="M42" s="195"/>
      <c r="N42" s="195"/>
      <c r="O42" s="192"/>
    </row>
    <row r="43" spans="1:15" x14ac:dyDescent="0.2">
      <c r="A43" s="210"/>
      <c r="B43" s="208"/>
      <c r="C43" s="196"/>
      <c r="D43" s="196"/>
      <c r="E43" s="196"/>
      <c r="F43" s="197"/>
      <c r="G43" s="198"/>
      <c r="H43" s="198"/>
      <c r="I43" s="209"/>
      <c r="J43" s="195"/>
      <c r="K43" s="195"/>
      <c r="L43" s="195"/>
      <c r="M43" s="195"/>
      <c r="N43" s="195"/>
      <c r="O43" s="192"/>
    </row>
    <row r="44" spans="1:15" x14ac:dyDescent="0.2">
      <c r="A44" s="210"/>
      <c r="B44" s="208"/>
      <c r="C44" s="196"/>
      <c r="D44" s="196"/>
      <c r="E44" s="196"/>
      <c r="F44" s="197"/>
      <c r="G44" s="198"/>
      <c r="H44" s="198"/>
      <c r="I44" s="209"/>
      <c r="J44" s="195"/>
      <c r="K44" s="195"/>
      <c r="L44" s="195"/>
      <c r="M44" s="195"/>
      <c r="N44" s="195"/>
      <c r="O44" s="192"/>
    </row>
    <row r="45" spans="1:15" x14ac:dyDescent="0.2">
      <c r="A45" s="210"/>
      <c r="B45" s="208"/>
      <c r="C45" s="196"/>
      <c r="D45" s="196"/>
      <c r="E45" s="196"/>
      <c r="F45" s="197"/>
      <c r="G45" s="198"/>
      <c r="H45" s="198"/>
      <c r="I45" s="209"/>
      <c r="J45" s="195"/>
      <c r="K45" s="195"/>
      <c r="L45" s="195"/>
      <c r="M45" s="195"/>
      <c r="N45" s="195"/>
      <c r="O45" s="192"/>
    </row>
    <row r="46" spans="1:15" x14ac:dyDescent="0.2">
      <c r="A46" s="210"/>
      <c r="B46" s="208"/>
      <c r="C46" s="196"/>
      <c r="D46" s="196"/>
      <c r="E46" s="196"/>
      <c r="F46" s="197"/>
      <c r="G46" s="198"/>
      <c r="H46" s="198"/>
      <c r="I46" s="209"/>
      <c r="J46" s="195"/>
      <c r="K46" s="195"/>
      <c r="L46" s="195"/>
      <c r="M46" s="195"/>
      <c r="N46" s="195"/>
      <c r="O46" s="192"/>
    </row>
    <row r="47" spans="1:15" x14ac:dyDescent="0.2">
      <c r="A47" s="210"/>
      <c r="B47" s="208"/>
      <c r="C47" s="196"/>
      <c r="D47" s="196"/>
      <c r="E47" s="196"/>
      <c r="F47" s="197"/>
      <c r="G47" s="198"/>
      <c r="H47" s="198"/>
      <c r="I47" s="209"/>
      <c r="J47" s="195"/>
      <c r="K47" s="195"/>
      <c r="L47" s="195"/>
      <c r="M47" s="195"/>
      <c r="N47" s="195"/>
      <c r="O47" s="192"/>
    </row>
    <row r="48" spans="1:15" x14ac:dyDescent="0.2">
      <c r="A48" s="210"/>
      <c r="B48" s="208"/>
      <c r="C48" s="196"/>
      <c r="D48" s="196"/>
      <c r="E48" s="196"/>
      <c r="F48" s="197"/>
      <c r="G48" s="198"/>
      <c r="H48" s="198"/>
      <c r="I48" s="209"/>
      <c r="J48" s="195"/>
      <c r="K48" s="195"/>
      <c r="L48" s="195"/>
      <c r="M48" s="195"/>
      <c r="N48" s="195"/>
      <c r="O48" s="192"/>
    </row>
    <row r="49" spans="1:15" x14ac:dyDescent="0.2">
      <c r="A49" s="210"/>
      <c r="B49" s="208"/>
      <c r="C49" s="196"/>
      <c r="D49" s="196"/>
      <c r="E49" s="196"/>
      <c r="F49" s="197"/>
      <c r="G49" s="198"/>
      <c r="H49" s="198"/>
      <c r="I49" s="209"/>
      <c r="J49" s="195"/>
      <c r="K49" s="195"/>
      <c r="L49" s="195"/>
      <c r="M49" s="195"/>
      <c r="N49" s="195"/>
      <c r="O49" s="192"/>
    </row>
    <row r="50" spans="1:15" x14ac:dyDescent="0.2">
      <c r="A50" s="210"/>
      <c r="B50" s="208"/>
      <c r="C50" s="196"/>
      <c r="D50" s="196"/>
      <c r="E50" s="196"/>
      <c r="F50" s="197"/>
      <c r="G50" s="198"/>
      <c r="H50" s="198"/>
      <c r="I50" s="209"/>
      <c r="J50" s="195"/>
      <c r="K50" s="195"/>
      <c r="L50" s="195"/>
      <c r="M50" s="195"/>
      <c r="N50" s="195"/>
      <c r="O50" s="192"/>
    </row>
    <row r="51" spans="1:15" x14ac:dyDescent="0.2">
      <c r="A51" s="210"/>
      <c r="B51" s="208"/>
      <c r="C51" s="196"/>
      <c r="D51" s="196"/>
      <c r="E51" s="196"/>
      <c r="F51" s="197"/>
      <c r="G51" s="198"/>
      <c r="H51" s="198"/>
      <c r="I51" s="209"/>
      <c r="J51" s="195"/>
      <c r="K51" s="195"/>
      <c r="L51" s="195"/>
      <c r="M51" s="195"/>
      <c r="N51" s="195"/>
      <c r="O51" s="192"/>
    </row>
    <row r="52" spans="1:15" x14ac:dyDescent="0.2">
      <c r="A52" s="210"/>
      <c r="B52" s="208"/>
      <c r="C52" s="196"/>
      <c r="D52" s="196"/>
      <c r="E52" s="196"/>
      <c r="F52" s="197"/>
      <c r="G52" s="198"/>
      <c r="H52" s="198"/>
      <c r="I52" s="209"/>
      <c r="J52" s="195"/>
      <c r="K52" s="195"/>
      <c r="L52" s="195"/>
      <c r="M52" s="195"/>
      <c r="N52" s="195"/>
      <c r="O52" s="192"/>
    </row>
    <row r="53" spans="1:15" x14ac:dyDescent="0.2">
      <c r="A53" s="210"/>
      <c r="B53" s="208"/>
      <c r="C53" s="196"/>
      <c r="D53" s="196"/>
      <c r="E53" s="196"/>
      <c r="F53" s="197"/>
      <c r="G53" s="198"/>
      <c r="H53" s="198"/>
      <c r="I53" s="209"/>
      <c r="J53" s="195"/>
      <c r="K53" s="195"/>
      <c r="L53" s="195"/>
      <c r="M53" s="195"/>
      <c r="N53" s="195"/>
      <c r="O53" s="192"/>
    </row>
    <row r="54" spans="1:15" x14ac:dyDescent="0.2">
      <c r="A54" s="210"/>
      <c r="B54" s="208"/>
      <c r="C54" s="196"/>
      <c r="D54" s="196"/>
      <c r="E54" s="196"/>
      <c r="F54" s="197"/>
      <c r="G54" s="198"/>
      <c r="H54" s="198"/>
      <c r="I54" s="209"/>
      <c r="J54" s="195"/>
      <c r="K54" s="195"/>
      <c r="L54" s="195"/>
      <c r="M54" s="195"/>
      <c r="N54" s="195"/>
      <c r="O54" s="192"/>
    </row>
    <row r="55" spans="1:15" x14ac:dyDescent="0.2">
      <c r="A55" s="210"/>
      <c r="B55" s="208"/>
      <c r="C55" s="196"/>
      <c r="D55" s="196"/>
      <c r="E55" s="196"/>
      <c r="F55" s="197"/>
      <c r="G55" s="198"/>
      <c r="H55" s="198"/>
      <c r="I55" s="209"/>
      <c r="J55" s="195"/>
      <c r="K55" s="195"/>
      <c r="L55" s="195"/>
      <c r="M55" s="195"/>
      <c r="N55" s="195"/>
      <c r="O55" s="192"/>
    </row>
    <row r="56" spans="1:15" x14ac:dyDescent="0.2">
      <c r="A56" s="210"/>
      <c r="B56" s="208"/>
      <c r="C56" s="196"/>
      <c r="D56" s="196"/>
      <c r="E56" s="196"/>
      <c r="F56" s="197"/>
      <c r="G56" s="198"/>
      <c r="H56" s="198"/>
      <c r="I56" s="209"/>
      <c r="J56" s="195"/>
      <c r="K56" s="195"/>
      <c r="L56" s="195"/>
      <c r="M56" s="195"/>
      <c r="N56" s="195"/>
      <c r="O56" s="192"/>
    </row>
    <row r="57" spans="1:15" x14ac:dyDescent="0.2">
      <c r="A57" s="210"/>
      <c r="B57" s="208"/>
      <c r="C57" s="196"/>
      <c r="D57" s="196"/>
      <c r="E57" s="196"/>
      <c r="F57" s="197"/>
      <c r="G57" s="198"/>
      <c r="H57" s="198"/>
      <c r="I57" s="209"/>
      <c r="J57" s="195"/>
      <c r="K57" s="195"/>
      <c r="L57" s="195"/>
      <c r="M57" s="195"/>
      <c r="N57" s="195"/>
      <c r="O57" s="192"/>
    </row>
    <row r="58" spans="1:15" x14ac:dyDescent="0.2">
      <c r="A58" s="210"/>
      <c r="B58" s="208"/>
      <c r="C58" s="196"/>
      <c r="D58" s="196"/>
      <c r="E58" s="196"/>
      <c r="F58" s="197"/>
      <c r="G58" s="198"/>
      <c r="H58" s="198"/>
      <c r="I58" s="209"/>
      <c r="J58" s="195"/>
      <c r="K58" s="195"/>
      <c r="L58" s="195"/>
      <c r="M58" s="195"/>
      <c r="N58" s="195"/>
      <c r="O58" s="192"/>
    </row>
    <row r="59" spans="1:15" x14ac:dyDescent="0.2">
      <c r="A59" s="210"/>
      <c r="B59" s="208"/>
      <c r="C59" s="196"/>
      <c r="D59" s="196"/>
      <c r="E59" s="196"/>
      <c r="F59" s="197"/>
      <c r="G59" s="198"/>
      <c r="H59" s="198"/>
      <c r="I59" s="209"/>
      <c r="J59" s="195"/>
      <c r="K59" s="195"/>
      <c r="L59" s="195"/>
      <c r="M59" s="195"/>
      <c r="N59" s="195"/>
      <c r="O59" s="192"/>
    </row>
    <row r="60" spans="1:15" x14ac:dyDescent="0.2">
      <c r="A60" s="210"/>
      <c r="B60" s="208"/>
      <c r="C60" s="196"/>
      <c r="D60" s="196"/>
      <c r="E60" s="196"/>
      <c r="F60" s="197"/>
      <c r="G60" s="198"/>
      <c r="H60" s="198"/>
      <c r="I60" s="209"/>
      <c r="J60" s="195"/>
      <c r="K60" s="195"/>
      <c r="L60" s="195"/>
      <c r="M60" s="195"/>
      <c r="N60" s="195"/>
      <c r="O60" s="192"/>
    </row>
    <row r="61" spans="1:15" x14ac:dyDescent="0.2">
      <c r="A61" s="210"/>
      <c r="B61" s="208"/>
      <c r="C61" s="196"/>
      <c r="D61" s="196"/>
      <c r="E61" s="196"/>
      <c r="F61" s="197"/>
      <c r="G61" s="198"/>
      <c r="H61" s="198"/>
      <c r="I61" s="209"/>
      <c r="J61" s="195"/>
      <c r="K61" s="195"/>
      <c r="L61" s="195"/>
      <c r="M61" s="195"/>
      <c r="N61" s="195"/>
      <c r="O61" s="192"/>
    </row>
    <row r="62" spans="1:15" x14ac:dyDescent="0.2">
      <c r="A62" s="210"/>
      <c r="B62" s="208"/>
      <c r="C62" s="196"/>
      <c r="D62" s="196"/>
      <c r="E62" s="196"/>
      <c r="F62" s="197"/>
      <c r="G62" s="198"/>
      <c r="H62" s="198"/>
      <c r="I62" s="209"/>
      <c r="J62" s="195"/>
      <c r="K62" s="195"/>
      <c r="L62" s="195"/>
      <c r="M62" s="195"/>
      <c r="N62" s="195"/>
      <c r="O62" s="192"/>
    </row>
    <row r="63" spans="1:15" x14ac:dyDescent="0.2">
      <c r="A63" s="210"/>
      <c r="B63" s="208"/>
      <c r="C63" s="196"/>
      <c r="D63" s="196"/>
      <c r="E63" s="196"/>
      <c r="F63" s="197"/>
      <c r="G63" s="198"/>
      <c r="H63" s="198"/>
      <c r="I63" s="209"/>
      <c r="J63" s="195"/>
      <c r="K63" s="195"/>
      <c r="L63" s="195"/>
      <c r="M63" s="195"/>
      <c r="N63" s="195"/>
      <c r="O63" s="192"/>
    </row>
    <row r="64" spans="1:15" x14ac:dyDescent="0.2">
      <c r="A64" s="210"/>
      <c r="B64" s="208"/>
      <c r="C64" s="196"/>
      <c r="D64" s="196"/>
      <c r="E64" s="196"/>
      <c r="F64" s="197"/>
      <c r="G64" s="198"/>
      <c r="H64" s="198"/>
      <c r="I64" s="209"/>
      <c r="J64" s="195"/>
      <c r="K64" s="195"/>
      <c r="L64" s="195"/>
      <c r="M64" s="195"/>
      <c r="N64" s="195"/>
      <c r="O64" s="192"/>
    </row>
    <row r="65" spans="1:15" x14ac:dyDescent="0.2">
      <c r="A65" s="210"/>
      <c r="B65" s="208"/>
      <c r="C65" s="196"/>
      <c r="D65" s="196"/>
      <c r="E65" s="196"/>
      <c r="F65" s="197"/>
      <c r="G65" s="198"/>
      <c r="H65" s="198"/>
      <c r="I65" s="209"/>
      <c r="J65" s="195"/>
      <c r="K65" s="195"/>
      <c r="L65" s="195"/>
      <c r="M65" s="195"/>
      <c r="N65" s="195"/>
      <c r="O65" s="192"/>
    </row>
    <row r="66" spans="1:15" x14ac:dyDescent="0.2">
      <c r="A66" s="210"/>
      <c r="B66" s="208"/>
      <c r="C66" s="196"/>
      <c r="D66" s="196"/>
      <c r="E66" s="196"/>
      <c r="F66" s="197"/>
      <c r="G66" s="198"/>
      <c r="H66" s="198"/>
      <c r="I66" s="209"/>
      <c r="J66" s="195"/>
      <c r="K66" s="195"/>
      <c r="L66" s="195"/>
      <c r="M66" s="195"/>
      <c r="N66" s="195"/>
      <c r="O66" s="192"/>
    </row>
    <row r="67" spans="1:15" x14ac:dyDescent="0.2">
      <c r="A67" s="210"/>
      <c r="B67" s="208"/>
      <c r="C67" s="196"/>
      <c r="D67" s="196"/>
      <c r="E67" s="196"/>
      <c r="F67" s="197"/>
      <c r="G67" s="198"/>
      <c r="H67" s="198"/>
      <c r="I67" s="209"/>
      <c r="J67" s="195"/>
      <c r="K67" s="195"/>
      <c r="L67" s="195"/>
      <c r="M67" s="195"/>
      <c r="N67" s="195"/>
      <c r="O67" s="192"/>
    </row>
    <row r="68" spans="1:15" x14ac:dyDescent="0.2">
      <c r="A68" s="210"/>
      <c r="B68" s="208"/>
      <c r="C68" s="196"/>
      <c r="D68" s="196"/>
      <c r="E68" s="196"/>
      <c r="F68" s="197"/>
      <c r="G68" s="198"/>
      <c r="H68" s="198"/>
      <c r="I68" s="209"/>
      <c r="J68" s="195"/>
      <c r="K68" s="195"/>
      <c r="L68" s="195"/>
      <c r="M68" s="195"/>
      <c r="N68" s="195"/>
      <c r="O68" s="192"/>
    </row>
    <row r="69" spans="1:15" x14ac:dyDescent="0.2">
      <c r="A69" s="210"/>
      <c r="B69" s="208"/>
      <c r="C69" s="196"/>
      <c r="D69" s="196"/>
      <c r="E69" s="196"/>
      <c r="F69" s="197"/>
      <c r="G69" s="198"/>
      <c r="H69" s="198"/>
      <c r="I69" s="209"/>
      <c r="J69" s="195"/>
      <c r="K69" s="195"/>
      <c r="L69" s="195"/>
      <c r="M69" s="195"/>
      <c r="N69" s="195"/>
      <c r="O69" s="192"/>
    </row>
    <row r="70" spans="1:15" x14ac:dyDescent="0.2">
      <c r="A70" s="210"/>
      <c r="B70" s="208"/>
      <c r="C70" s="196"/>
      <c r="D70" s="196"/>
      <c r="E70" s="196"/>
      <c r="F70" s="197"/>
      <c r="G70" s="198"/>
      <c r="H70" s="198"/>
      <c r="I70" s="209"/>
      <c r="J70" s="195"/>
      <c r="K70" s="195"/>
      <c r="L70" s="195"/>
      <c r="M70" s="195"/>
      <c r="N70" s="195"/>
      <c r="O70" s="192"/>
    </row>
    <row r="71" spans="1:15" x14ac:dyDescent="0.2">
      <c r="A71" s="210"/>
      <c r="B71" s="208"/>
      <c r="C71" s="196"/>
      <c r="D71" s="196"/>
      <c r="E71" s="196"/>
      <c r="F71" s="197"/>
      <c r="G71" s="198"/>
      <c r="H71" s="198"/>
      <c r="I71" s="209"/>
      <c r="J71" s="195"/>
      <c r="K71" s="195"/>
      <c r="L71" s="195"/>
      <c r="M71" s="195"/>
      <c r="N71" s="195"/>
      <c r="O71" s="192"/>
    </row>
    <row r="72" spans="1:15" x14ac:dyDescent="0.2">
      <c r="A72" s="210"/>
      <c r="B72" s="208"/>
      <c r="C72" s="196"/>
      <c r="D72" s="196"/>
      <c r="E72" s="196"/>
      <c r="F72" s="197"/>
      <c r="G72" s="198"/>
      <c r="H72" s="198"/>
      <c r="I72" s="209"/>
      <c r="J72" s="195"/>
      <c r="K72" s="195"/>
      <c r="L72" s="195"/>
      <c r="M72" s="195"/>
      <c r="N72" s="195"/>
      <c r="O72" s="192"/>
    </row>
    <row r="73" spans="1:15" x14ac:dyDescent="0.2">
      <c r="A73" s="210"/>
      <c r="B73" s="208"/>
      <c r="C73" s="196"/>
      <c r="D73" s="196"/>
      <c r="E73" s="196"/>
      <c r="F73" s="197"/>
      <c r="G73" s="198"/>
      <c r="H73" s="198"/>
      <c r="I73" s="209"/>
      <c r="J73" s="195"/>
      <c r="K73" s="195"/>
      <c r="L73" s="195"/>
      <c r="M73" s="195"/>
      <c r="N73" s="195"/>
      <c r="O73" s="192"/>
    </row>
    <row r="74" spans="1:15" x14ac:dyDescent="0.2">
      <c r="A74" s="210"/>
      <c r="B74" s="208"/>
      <c r="C74" s="196"/>
      <c r="D74" s="196"/>
      <c r="E74" s="196"/>
      <c r="F74" s="197"/>
      <c r="G74" s="198"/>
      <c r="H74" s="198"/>
      <c r="I74" s="209"/>
      <c r="J74" s="195"/>
      <c r="K74" s="195"/>
      <c r="L74" s="195"/>
      <c r="M74" s="195"/>
      <c r="N74" s="195"/>
      <c r="O74" s="192"/>
    </row>
    <row r="75" spans="1:15" x14ac:dyDescent="0.2">
      <c r="A75" s="210"/>
      <c r="B75" s="208"/>
      <c r="C75" s="196"/>
      <c r="D75" s="196"/>
      <c r="E75" s="196"/>
      <c r="F75" s="197"/>
      <c r="G75" s="198"/>
      <c r="H75" s="198"/>
      <c r="I75" s="209"/>
      <c r="J75" s="195"/>
      <c r="K75" s="195"/>
      <c r="L75" s="195"/>
      <c r="M75" s="195"/>
      <c r="N75" s="195"/>
      <c r="O75" s="192"/>
    </row>
    <row r="76" spans="1:15" x14ac:dyDescent="0.2">
      <c r="A76" s="210"/>
      <c r="B76" s="208"/>
      <c r="C76" s="196"/>
      <c r="D76" s="196"/>
      <c r="E76" s="196"/>
      <c r="F76" s="197"/>
      <c r="G76" s="198"/>
      <c r="H76" s="198"/>
      <c r="I76" s="209"/>
      <c r="J76" s="195"/>
      <c r="K76" s="195"/>
      <c r="L76" s="195"/>
      <c r="M76" s="195"/>
      <c r="N76" s="195"/>
      <c r="O76" s="192"/>
    </row>
    <row r="77" spans="1:15" x14ac:dyDescent="0.2">
      <c r="A77" s="210"/>
      <c r="B77" s="208"/>
      <c r="C77" s="196"/>
      <c r="D77" s="196"/>
      <c r="E77" s="196"/>
      <c r="F77" s="197"/>
      <c r="G77" s="198"/>
      <c r="H77" s="198"/>
      <c r="I77" s="209"/>
      <c r="J77" s="195"/>
      <c r="K77" s="195"/>
      <c r="L77" s="195"/>
      <c r="M77" s="195"/>
      <c r="N77" s="195"/>
      <c r="O77" s="192"/>
    </row>
    <row r="78" spans="1:15" x14ac:dyDescent="0.2">
      <c r="A78" s="210"/>
      <c r="B78" s="208"/>
      <c r="C78" s="196"/>
      <c r="D78" s="196"/>
      <c r="E78" s="196"/>
      <c r="F78" s="197"/>
      <c r="G78" s="198"/>
      <c r="H78" s="198"/>
      <c r="I78" s="209"/>
      <c r="J78" s="195"/>
      <c r="K78" s="195"/>
      <c r="L78" s="195"/>
      <c r="M78" s="195"/>
      <c r="N78" s="195"/>
      <c r="O78" s="192"/>
    </row>
    <row r="79" spans="1:15" x14ac:dyDescent="0.2">
      <c r="A79" s="210"/>
      <c r="B79" s="208"/>
      <c r="C79" s="196"/>
      <c r="D79" s="196"/>
      <c r="E79" s="196"/>
      <c r="F79" s="197"/>
      <c r="G79" s="198"/>
      <c r="H79" s="198"/>
      <c r="I79" s="209"/>
      <c r="J79" s="195"/>
      <c r="K79" s="195"/>
      <c r="L79" s="195"/>
      <c r="M79" s="195"/>
      <c r="N79" s="195"/>
      <c r="O79" s="192"/>
    </row>
    <row r="80" spans="1:15" x14ac:dyDescent="0.2">
      <c r="A80" s="210"/>
      <c r="B80" s="208"/>
      <c r="C80" s="196"/>
      <c r="D80" s="196"/>
      <c r="E80" s="196"/>
      <c r="F80" s="197"/>
      <c r="G80" s="198"/>
      <c r="H80" s="198"/>
      <c r="I80" s="209"/>
      <c r="J80" s="195"/>
      <c r="K80" s="195"/>
      <c r="L80" s="195"/>
      <c r="M80" s="195"/>
      <c r="N80" s="195"/>
      <c r="O80" s="192"/>
    </row>
    <row r="81" spans="1:15" x14ac:dyDescent="0.2">
      <c r="A81" s="210"/>
      <c r="B81" s="208"/>
      <c r="C81" s="196"/>
      <c r="D81" s="196"/>
      <c r="E81" s="196"/>
      <c r="F81" s="197"/>
      <c r="G81" s="198"/>
      <c r="H81" s="198"/>
      <c r="I81" s="209"/>
      <c r="J81" s="195"/>
      <c r="K81" s="195"/>
      <c r="L81" s="195"/>
      <c r="M81" s="195"/>
      <c r="N81" s="195"/>
      <c r="O81" s="192"/>
    </row>
    <row r="82" spans="1:15" x14ac:dyDescent="0.2">
      <c r="A82" s="210"/>
      <c r="B82" s="208"/>
      <c r="C82" s="196"/>
      <c r="D82" s="196"/>
      <c r="E82" s="196"/>
      <c r="F82" s="197"/>
      <c r="G82" s="198"/>
      <c r="H82" s="198"/>
      <c r="I82" s="209"/>
      <c r="J82" s="195"/>
      <c r="K82" s="195"/>
      <c r="L82" s="195"/>
      <c r="M82" s="195"/>
      <c r="N82" s="195"/>
      <c r="O82" s="192"/>
    </row>
    <row r="83" spans="1:15" x14ac:dyDescent="0.2">
      <c r="A83" s="210"/>
      <c r="B83" s="208"/>
      <c r="C83" s="196"/>
      <c r="D83" s="196"/>
      <c r="E83" s="196"/>
      <c r="F83" s="197"/>
      <c r="G83" s="198"/>
      <c r="H83" s="198"/>
      <c r="I83" s="209"/>
      <c r="J83" s="195"/>
      <c r="K83" s="195"/>
      <c r="L83" s="195"/>
      <c r="M83" s="195"/>
      <c r="N83" s="195"/>
      <c r="O83" s="192"/>
    </row>
    <row r="84" spans="1:15" x14ac:dyDescent="0.2">
      <c r="A84" s="210"/>
      <c r="B84" s="208"/>
      <c r="C84" s="196"/>
      <c r="D84" s="196"/>
      <c r="E84" s="196"/>
      <c r="F84" s="197"/>
      <c r="G84" s="198"/>
      <c r="H84" s="198"/>
      <c r="I84" s="209"/>
      <c r="J84" s="195"/>
      <c r="K84" s="195"/>
      <c r="L84" s="195"/>
      <c r="M84" s="195"/>
      <c r="N84" s="195"/>
      <c r="O84" s="192"/>
    </row>
    <row r="85" spans="1:15" x14ac:dyDescent="0.2">
      <c r="A85" s="210"/>
      <c r="B85" s="208"/>
      <c r="C85" s="196"/>
      <c r="D85" s="196"/>
      <c r="E85" s="196"/>
      <c r="F85" s="197"/>
      <c r="G85" s="198"/>
      <c r="H85" s="198"/>
      <c r="I85" s="209"/>
      <c r="J85" s="195"/>
      <c r="K85" s="195"/>
      <c r="L85" s="195"/>
      <c r="M85" s="195"/>
      <c r="N85" s="195"/>
      <c r="O85" s="192"/>
    </row>
    <row r="86" spans="1:15" x14ac:dyDescent="0.2">
      <c r="A86" s="210"/>
      <c r="B86" s="208"/>
      <c r="C86" s="196"/>
      <c r="D86" s="196"/>
      <c r="E86" s="196"/>
      <c r="F86" s="197"/>
      <c r="G86" s="198"/>
      <c r="H86" s="198"/>
      <c r="I86" s="209"/>
      <c r="J86" s="195"/>
      <c r="K86" s="195"/>
      <c r="L86" s="195"/>
      <c r="M86" s="195"/>
      <c r="N86" s="195"/>
      <c r="O86" s="192"/>
    </row>
    <row r="87" spans="1:15" x14ac:dyDescent="0.2">
      <c r="A87" s="210"/>
      <c r="B87" s="208"/>
      <c r="C87" s="196"/>
      <c r="D87" s="196"/>
      <c r="E87" s="196"/>
      <c r="F87" s="197"/>
      <c r="G87" s="198"/>
      <c r="H87" s="198"/>
      <c r="I87" s="209"/>
      <c r="J87" s="195"/>
      <c r="K87" s="195"/>
      <c r="L87" s="195"/>
      <c r="M87" s="195"/>
      <c r="N87" s="195"/>
      <c r="O87" s="192"/>
    </row>
    <row r="88" spans="1:15" x14ac:dyDescent="0.2">
      <c r="A88" s="210"/>
      <c r="B88" s="208"/>
      <c r="C88" s="196"/>
      <c r="D88" s="196"/>
      <c r="E88" s="196"/>
      <c r="F88" s="197"/>
      <c r="G88" s="198"/>
      <c r="H88" s="198"/>
      <c r="I88" s="209"/>
      <c r="J88" s="195"/>
      <c r="K88" s="195"/>
      <c r="L88" s="195"/>
      <c r="M88" s="195"/>
      <c r="N88" s="195"/>
      <c r="O88" s="192"/>
    </row>
    <row r="89" spans="1:15" x14ac:dyDescent="0.2">
      <c r="A89" s="210"/>
      <c r="B89" s="208"/>
      <c r="C89" s="196"/>
      <c r="D89" s="196"/>
      <c r="E89" s="196"/>
      <c r="F89" s="197"/>
      <c r="G89" s="198"/>
      <c r="H89" s="198"/>
      <c r="I89" s="209"/>
      <c r="J89" s="195"/>
      <c r="K89" s="195"/>
      <c r="L89" s="195"/>
      <c r="M89" s="195"/>
      <c r="N89" s="195"/>
      <c r="O89" s="192"/>
    </row>
    <row r="90" spans="1:15" x14ac:dyDescent="0.2">
      <c r="A90" s="210"/>
      <c r="B90" s="208"/>
      <c r="C90" s="196"/>
      <c r="D90" s="196"/>
      <c r="E90" s="196"/>
      <c r="F90" s="197"/>
      <c r="G90" s="198"/>
      <c r="H90" s="198"/>
      <c r="I90" s="209"/>
      <c r="J90" s="195"/>
      <c r="K90" s="195"/>
      <c r="L90" s="195"/>
      <c r="M90" s="195"/>
      <c r="N90" s="195"/>
      <c r="O90" s="192"/>
    </row>
    <row r="91" spans="1:15" x14ac:dyDescent="0.2">
      <c r="A91" s="210"/>
      <c r="B91" s="208"/>
      <c r="C91" s="196"/>
      <c r="D91" s="196"/>
      <c r="E91" s="196"/>
      <c r="F91" s="197"/>
      <c r="G91" s="198"/>
      <c r="H91" s="198"/>
      <c r="I91" s="209"/>
      <c r="J91" s="195"/>
      <c r="K91" s="195"/>
      <c r="L91" s="195"/>
      <c r="M91" s="195"/>
      <c r="N91" s="195"/>
      <c r="O91" s="192"/>
    </row>
    <row r="92" spans="1:15" x14ac:dyDescent="0.2">
      <c r="A92" s="210"/>
      <c r="B92" s="208"/>
      <c r="C92" s="196"/>
      <c r="D92" s="196"/>
      <c r="E92" s="196"/>
      <c r="F92" s="197"/>
      <c r="G92" s="198"/>
      <c r="H92" s="198"/>
      <c r="I92" s="209"/>
      <c r="J92" s="195"/>
      <c r="K92" s="195"/>
      <c r="L92" s="195"/>
      <c r="M92" s="195"/>
      <c r="N92" s="195"/>
      <c r="O92" s="192"/>
    </row>
    <row r="93" spans="1:15" x14ac:dyDescent="0.2">
      <c r="A93" s="210"/>
      <c r="B93" s="208"/>
      <c r="C93" s="196"/>
      <c r="D93" s="196"/>
      <c r="E93" s="196"/>
      <c r="F93" s="197"/>
      <c r="G93" s="198"/>
      <c r="H93" s="198"/>
      <c r="I93" s="209"/>
      <c r="J93" s="195"/>
      <c r="K93" s="195"/>
      <c r="L93" s="195"/>
      <c r="M93" s="195"/>
      <c r="N93" s="195"/>
      <c r="O93" s="192"/>
    </row>
    <row r="94" spans="1:15" x14ac:dyDescent="0.2">
      <c r="A94" s="210"/>
      <c r="B94" s="208"/>
      <c r="C94" s="196"/>
      <c r="D94" s="196"/>
      <c r="E94" s="196"/>
      <c r="F94" s="197"/>
      <c r="G94" s="198"/>
      <c r="H94" s="198"/>
      <c r="I94" s="209"/>
      <c r="J94" s="195"/>
      <c r="K94" s="195"/>
      <c r="L94" s="195"/>
      <c r="M94" s="195"/>
      <c r="N94" s="195"/>
      <c r="O94" s="192"/>
    </row>
    <row r="95" spans="1:15" x14ac:dyDescent="0.2">
      <c r="A95" s="210"/>
      <c r="B95" s="208"/>
      <c r="C95" s="196"/>
      <c r="D95" s="196"/>
      <c r="E95" s="196"/>
      <c r="F95" s="197"/>
      <c r="G95" s="198"/>
      <c r="H95" s="198"/>
      <c r="I95" s="209"/>
      <c r="J95" s="195"/>
      <c r="K95" s="195"/>
      <c r="L95" s="195"/>
      <c r="M95" s="195"/>
      <c r="N95" s="195"/>
      <c r="O95" s="192"/>
    </row>
    <row r="96" spans="1:15" x14ac:dyDescent="0.2">
      <c r="A96" s="210"/>
      <c r="B96" s="208"/>
      <c r="C96" s="196"/>
      <c r="D96" s="196"/>
      <c r="E96" s="196"/>
      <c r="F96" s="197"/>
      <c r="G96" s="198"/>
      <c r="H96" s="198"/>
      <c r="I96" s="209"/>
      <c r="J96" s="195"/>
      <c r="K96" s="195"/>
      <c r="L96" s="195"/>
      <c r="M96" s="195"/>
      <c r="N96" s="195"/>
      <c r="O96" s="192"/>
    </row>
    <row r="97" spans="1:15" x14ac:dyDescent="0.2">
      <c r="A97" s="210"/>
      <c r="B97" s="208"/>
      <c r="C97" s="196"/>
      <c r="D97" s="196"/>
      <c r="E97" s="196"/>
      <c r="F97" s="197"/>
      <c r="G97" s="198"/>
      <c r="H97" s="198"/>
      <c r="I97" s="209"/>
      <c r="J97" s="195"/>
      <c r="K97" s="195"/>
      <c r="L97" s="195"/>
      <c r="M97" s="195"/>
      <c r="N97" s="195"/>
      <c r="O97" s="192"/>
    </row>
    <row r="98" spans="1:15" x14ac:dyDescent="0.2">
      <c r="A98" s="210"/>
      <c r="B98" s="208"/>
      <c r="C98" s="196"/>
      <c r="D98" s="196"/>
      <c r="E98" s="196"/>
      <c r="F98" s="197"/>
      <c r="G98" s="198"/>
      <c r="H98" s="198"/>
      <c r="I98" s="209"/>
      <c r="J98" s="195"/>
      <c r="K98" s="195"/>
      <c r="L98" s="195"/>
      <c r="M98" s="195"/>
      <c r="N98" s="195"/>
      <c r="O98" s="192"/>
    </row>
    <row r="99" spans="1:15" x14ac:dyDescent="0.2">
      <c r="A99" s="210"/>
      <c r="B99" s="208"/>
      <c r="C99" s="196"/>
      <c r="D99" s="196"/>
      <c r="E99" s="196"/>
      <c r="F99" s="197"/>
      <c r="G99" s="198"/>
      <c r="H99" s="198"/>
      <c r="I99" s="209"/>
      <c r="J99" s="195"/>
      <c r="K99" s="195"/>
      <c r="L99" s="195"/>
      <c r="M99" s="195"/>
      <c r="N99" s="195"/>
      <c r="O99" s="192"/>
    </row>
    <row r="100" spans="1:15" x14ac:dyDescent="0.2">
      <c r="A100" s="210"/>
      <c r="B100" s="208"/>
      <c r="C100" s="196"/>
      <c r="D100" s="196"/>
      <c r="E100" s="196"/>
      <c r="F100" s="197"/>
      <c r="G100" s="198"/>
      <c r="H100" s="198"/>
      <c r="I100" s="209"/>
      <c r="J100" s="195"/>
      <c r="K100" s="195"/>
      <c r="L100" s="195"/>
      <c r="M100" s="195"/>
      <c r="N100" s="195"/>
      <c r="O100" s="192"/>
    </row>
    <row r="101" spans="1:15" x14ac:dyDescent="0.2">
      <c r="A101" s="210"/>
      <c r="B101" s="208"/>
      <c r="C101" s="196"/>
      <c r="D101" s="196"/>
      <c r="E101" s="196"/>
      <c r="F101" s="197"/>
      <c r="G101" s="198"/>
      <c r="H101" s="198"/>
      <c r="I101" s="209"/>
      <c r="J101" s="195"/>
      <c r="K101" s="195"/>
      <c r="L101" s="195"/>
      <c r="M101" s="195"/>
      <c r="N101" s="195"/>
      <c r="O101" s="192"/>
    </row>
    <row r="102" spans="1:15" x14ac:dyDescent="0.2">
      <c r="A102" s="210"/>
      <c r="B102" s="208"/>
      <c r="C102" s="196"/>
      <c r="D102" s="196"/>
      <c r="E102" s="196"/>
      <c r="F102" s="197"/>
      <c r="G102" s="198"/>
      <c r="H102" s="198"/>
      <c r="I102" s="209"/>
      <c r="J102" s="195"/>
      <c r="K102" s="195"/>
      <c r="L102" s="195"/>
      <c r="M102" s="195"/>
      <c r="N102" s="195"/>
      <c r="O102" s="192"/>
    </row>
    <row r="103" spans="1:15" x14ac:dyDescent="0.2">
      <c r="A103" s="210"/>
      <c r="B103" s="208"/>
      <c r="C103" s="196"/>
      <c r="D103" s="196"/>
      <c r="E103" s="196"/>
      <c r="F103" s="197"/>
      <c r="G103" s="198"/>
      <c r="H103" s="198"/>
      <c r="I103" s="209"/>
      <c r="J103" s="195"/>
      <c r="K103" s="195"/>
      <c r="L103" s="195"/>
      <c r="M103" s="195"/>
      <c r="N103" s="195"/>
      <c r="O103" s="192"/>
    </row>
    <row r="104" spans="1:15" x14ac:dyDescent="0.2">
      <c r="A104" s="210"/>
      <c r="B104" s="208"/>
      <c r="C104" s="196"/>
      <c r="D104" s="196"/>
      <c r="E104" s="196"/>
      <c r="F104" s="197"/>
      <c r="G104" s="198"/>
      <c r="H104" s="198"/>
      <c r="I104" s="209"/>
      <c r="J104" s="195"/>
      <c r="K104" s="195"/>
      <c r="L104" s="195"/>
      <c r="M104" s="195"/>
      <c r="N104" s="195"/>
      <c r="O104" s="192"/>
    </row>
    <row r="105" spans="1:15" x14ac:dyDescent="0.2">
      <c r="A105" s="210"/>
      <c r="B105" s="208"/>
      <c r="C105" s="196"/>
      <c r="D105" s="196"/>
      <c r="E105" s="196"/>
      <c r="F105" s="197"/>
      <c r="G105" s="198"/>
      <c r="H105" s="198"/>
      <c r="I105" s="209"/>
      <c r="J105" s="195"/>
      <c r="K105" s="195"/>
      <c r="L105" s="195"/>
      <c r="M105" s="195"/>
      <c r="N105" s="195"/>
      <c r="O105" s="192"/>
    </row>
    <row r="106" spans="1:15" x14ac:dyDescent="0.2">
      <c r="A106" s="210"/>
      <c r="B106" s="208"/>
      <c r="C106" s="196"/>
      <c r="D106" s="196"/>
      <c r="E106" s="196"/>
      <c r="F106" s="197"/>
      <c r="G106" s="198"/>
      <c r="H106" s="198"/>
      <c r="I106" s="209"/>
      <c r="J106" s="195"/>
      <c r="K106" s="195"/>
      <c r="L106" s="195"/>
      <c r="M106" s="195"/>
      <c r="N106" s="195"/>
      <c r="O106" s="192"/>
    </row>
    <row r="107" spans="1:15" x14ac:dyDescent="0.2">
      <c r="A107" s="210"/>
      <c r="B107" s="208"/>
      <c r="C107" s="196"/>
      <c r="D107" s="196"/>
      <c r="E107" s="196"/>
      <c r="F107" s="197"/>
      <c r="G107" s="198"/>
      <c r="H107" s="198"/>
      <c r="I107" s="209"/>
      <c r="J107" s="195"/>
      <c r="K107" s="195"/>
      <c r="L107" s="195"/>
      <c r="M107" s="195"/>
      <c r="N107" s="195"/>
      <c r="O107" s="192"/>
    </row>
    <row r="108" spans="1:15" x14ac:dyDescent="0.2">
      <c r="A108" s="210"/>
      <c r="B108" s="208"/>
      <c r="C108" s="196"/>
      <c r="D108" s="196"/>
      <c r="E108" s="196"/>
      <c r="F108" s="197"/>
      <c r="G108" s="198"/>
      <c r="H108" s="198"/>
      <c r="I108" s="209"/>
      <c r="J108" s="195"/>
      <c r="K108" s="195"/>
      <c r="L108" s="195"/>
      <c r="M108" s="195"/>
      <c r="N108" s="195"/>
      <c r="O108" s="192"/>
    </row>
    <row r="109" spans="1:15" x14ac:dyDescent="0.2">
      <c r="A109" s="210"/>
      <c r="B109" s="208"/>
      <c r="C109" s="196"/>
      <c r="D109" s="196"/>
      <c r="E109" s="196"/>
      <c r="F109" s="197"/>
      <c r="G109" s="198"/>
      <c r="H109" s="198"/>
      <c r="I109" s="209"/>
      <c r="J109" s="195"/>
      <c r="K109" s="195"/>
      <c r="L109" s="195"/>
      <c r="M109" s="195"/>
      <c r="N109" s="195"/>
      <c r="O109" s="192"/>
    </row>
    <row r="110" spans="1:15" x14ac:dyDescent="0.2">
      <c r="A110" s="210"/>
      <c r="B110" s="208"/>
      <c r="C110" s="196"/>
      <c r="D110" s="196"/>
      <c r="E110" s="196"/>
      <c r="F110" s="197"/>
      <c r="G110" s="198"/>
      <c r="H110" s="198"/>
      <c r="I110" s="209"/>
      <c r="J110" s="195"/>
      <c r="K110" s="195"/>
      <c r="L110" s="195"/>
      <c r="M110" s="195"/>
      <c r="N110" s="195"/>
      <c r="O110" s="192"/>
    </row>
    <row r="111" spans="1:15" x14ac:dyDescent="0.2">
      <c r="A111" s="210"/>
      <c r="B111" s="208"/>
      <c r="C111" s="196"/>
      <c r="D111" s="196"/>
      <c r="E111" s="196"/>
      <c r="F111" s="197"/>
      <c r="G111" s="198"/>
      <c r="H111" s="198"/>
      <c r="I111" s="209"/>
      <c r="J111" s="195"/>
      <c r="K111" s="195"/>
      <c r="L111" s="195"/>
      <c r="M111" s="195"/>
      <c r="N111" s="195"/>
      <c r="O111" s="192"/>
    </row>
    <row r="112" spans="1:15" x14ac:dyDescent="0.2">
      <c r="A112" s="210"/>
      <c r="B112" s="208"/>
      <c r="C112" s="196"/>
      <c r="D112" s="196"/>
      <c r="E112" s="196"/>
      <c r="F112" s="197"/>
      <c r="G112" s="198"/>
      <c r="H112" s="198"/>
      <c r="I112" s="209"/>
      <c r="J112" s="195"/>
      <c r="K112" s="195"/>
      <c r="L112" s="195"/>
      <c r="M112" s="195"/>
      <c r="N112" s="195"/>
      <c r="O112" s="192"/>
    </row>
    <row r="113" spans="1:15" x14ac:dyDescent="0.2">
      <c r="A113" s="210"/>
      <c r="B113" s="208"/>
      <c r="C113" s="196"/>
      <c r="D113" s="196"/>
      <c r="E113" s="196"/>
      <c r="F113" s="197"/>
      <c r="G113" s="198"/>
      <c r="H113" s="198"/>
      <c r="I113" s="209"/>
      <c r="J113" s="195"/>
      <c r="K113" s="195"/>
      <c r="L113" s="195"/>
      <c r="M113" s="195"/>
      <c r="N113" s="195"/>
      <c r="O113" s="192"/>
    </row>
    <row r="114" spans="1:15" x14ac:dyDescent="0.2">
      <c r="A114" s="210"/>
      <c r="B114" s="208"/>
      <c r="C114" s="196"/>
      <c r="D114" s="196"/>
      <c r="E114" s="196"/>
      <c r="F114" s="197"/>
      <c r="G114" s="198"/>
      <c r="H114" s="198"/>
      <c r="I114" s="209"/>
      <c r="J114" s="195"/>
      <c r="K114" s="195"/>
      <c r="L114" s="195"/>
      <c r="M114" s="195"/>
      <c r="N114" s="195"/>
      <c r="O114" s="192"/>
    </row>
    <row r="115" spans="1:15" x14ac:dyDescent="0.2">
      <c r="A115" s="210"/>
      <c r="B115" s="208"/>
      <c r="C115" s="196"/>
      <c r="D115" s="196"/>
      <c r="E115" s="196"/>
      <c r="F115" s="197"/>
      <c r="G115" s="198"/>
      <c r="H115" s="198"/>
      <c r="I115" s="209"/>
      <c r="J115" s="195"/>
      <c r="K115" s="195"/>
      <c r="L115" s="195"/>
      <c r="M115" s="195"/>
      <c r="N115" s="195"/>
      <c r="O115" s="192"/>
    </row>
    <row r="116" spans="1:15" x14ac:dyDescent="0.2">
      <c r="A116" s="210"/>
      <c r="B116" s="208"/>
      <c r="C116" s="196"/>
      <c r="D116" s="196"/>
      <c r="E116" s="196"/>
      <c r="F116" s="197"/>
      <c r="G116" s="198"/>
      <c r="H116" s="198"/>
      <c r="I116" s="209"/>
      <c r="J116" s="195"/>
      <c r="K116" s="195"/>
      <c r="L116" s="195"/>
      <c r="M116" s="195"/>
      <c r="N116" s="195"/>
      <c r="O116" s="192"/>
    </row>
    <row r="117" spans="1:15" x14ac:dyDescent="0.2">
      <c r="A117" s="210"/>
      <c r="B117" s="208"/>
      <c r="C117" s="196"/>
      <c r="D117" s="196"/>
      <c r="E117" s="196"/>
      <c r="F117" s="197"/>
      <c r="G117" s="198"/>
      <c r="H117" s="198"/>
      <c r="I117" s="209"/>
      <c r="J117" s="195"/>
      <c r="K117" s="195"/>
      <c r="L117" s="195"/>
      <c r="M117" s="195"/>
      <c r="N117" s="195"/>
      <c r="O117" s="192"/>
    </row>
    <row r="118" spans="1:15" x14ac:dyDescent="0.2">
      <c r="A118" s="210"/>
      <c r="B118" s="208"/>
      <c r="C118" s="196"/>
      <c r="D118" s="196"/>
      <c r="E118" s="196"/>
      <c r="F118" s="197"/>
      <c r="G118" s="198"/>
      <c r="H118" s="198"/>
      <c r="I118" s="209"/>
      <c r="J118" s="195"/>
      <c r="K118" s="195"/>
      <c r="L118" s="195"/>
      <c r="M118" s="195"/>
      <c r="N118" s="195"/>
      <c r="O118" s="192"/>
    </row>
    <row r="119" spans="1:15" x14ac:dyDescent="0.2">
      <c r="A119" s="210"/>
      <c r="B119" s="208"/>
      <c r="C119" s="196"/>
      <c r="D119" s="196"/>
      <c r="E119" s="196"/>
      <c r="F119" s="197"/>
      <c r="G119" s="198"/>
      <c r="H119" s="198"/>
      <c r="I119" s="209"/>
      <c r="J119" s="195"/>
      <c r="K119" s="195"/>
      <c r="L119" s="195"/>
      <c r="M119" s="195"/>
      <c r="N119" s="195"/>
      <c r="O119" s="192"/>
    </row>
    <row r="120" spans="1:15" x14ac:dyDescent="0.2">
      <c r="A120" s="210"/>
      <c r="B120" s="208"/>
      <c r="C120" s="196"/>
      <c r="D120" s="196"/>
      <c r="E120" s="196"/>
      <c r="F120" s="197"/>
      <c r="G120" s="198"/>
      <c r="H120" s="198"/>
      <c r="I120" s="209"/>
      <c r="J120" s="195"/>
      <c r="K120" s="195"/>
      <c r="L120" s="195"/>
      <c r="M120" s="195"/>
      <c r="N120" s="195"/>
      <c r="O120" s="192"/>
    </row>
    <row r="121" spans="1:15" x14ac:dyDescent="0.2">
      <c r="A121" s="210"/>
      <c r="B121" s="208"/>
      <c r="C121" s="196"/>
      <c r="D121" s="196"/>
      <c r="E121" s="196"/>
      <c r="F121" s="197"/>
      <c r="G121" s="198"/>
      <c r="H121" s="198"/>
      <c r="I121" s="209"/>
      <c r="J121" s="195"/>
      <c r="K121" s="195"/>
      <c r="L121" s="195"/>
      <c r="M121" s="195"/>
      <c r="N121" s="195"/>
      <c r="O121" s="192"/>
    </row>
    <row r="122" spans="1:15" x14ac:dyDescent="0.2">
      <c r="A122" s="210"/>
      <c r="B122" s="208"/>
      <c r="C122" s="196"/>
      <c r="D122" s="196"/>
      <c r="E122" s="196"/>
      <c r="F122" s="197"/>
      <c r="G122" s="198"/>
      <c r="H122" s="198"/>
      <c r="I122" s="209"/>
      <c r="J122" s="195"/>
      <c r="K122" s="195"/>
      <c r="L122" s="195"/>
      <c r="M122" s="195"/>
      <c r="N122" s="195"/>
      <c r="O122" s="192"/>
    </row>
    <row r="123" spans="1:15" x14ac:dyDescent="0.2">
      <c r="A123" s="210"/>
      <c r="B123" s="208"/>
      <c r="C123" s="196"/>
      <c r="D123" s="196"/>
      <c r="E123" s="196"/>
      <c r="F123" s="197"/>
      <c r="G123" s="198"/>
      <c r="H123" s="198"/>
      <c r="I123" s="209"/>
      <c r="J123" s="195"/>
      <c r="K123" s="195"/>
      <c r="L123" s="195"/>
      <c r="M123" s="195"/>
      <c r="N123" s="195"/>
      <c r="O123" s="192"/>
    </row>
    <row r="124" spans="1:15" x14ac:dyDescent="0.2">
      <c r="A124" s="210"/>
      <c r="B124" s="208"/>
      <c r="C124" s="196"/>
      <c r="D124" s="196"/>
      <c r="E124" s="196"/>
      <c r="F124" s="197"/>
      <c r="G124" s="198"/>
      <c r="H124" s="198"/>
      <c r="I124" s="209"/>
      <c r="J124" s="195"/>
      <c r="K124" s="195"/>
      <c r="L124" s="195"/>
      <c r="M124" s="195"/>
      <c r="N124" s="195"/>
      <c r="O124" s="192"/>
    </row>
    <row r="125" spans="1:15" x14ac:dyDescent="0.2">
      <c r="A125" s="210"/>
      <c r="B125" s="208"/>
      <c r="C125" s="196"/>
      <c r="D125" s="196"/>
      <c r="E125" s="196"/>
      <c r="F125" s="197"/>
      <c r="G125" s="198"/>
      <c r="H125" s="198"/>
      <c r="I125" s="209"/>
      <c r="J125" s="195"/>
      <c r="K125" s="195"/>
      <c r="L125" s="195"/>
      <c r="M125" s="195"/>
      <c r="N125" s="195"/>
      <c r="O125" s="192"/>
    </row>
    <row r="126" spans="1:15" x14ac:dyDescent="0.2">
      <c r="A126" s="210"/>
      <c r="B126" s="208"/>
      <c r="C126" s="196"/>
      <c r="D126" s="196"/>
      <c r="E126" s="196"/>
      <c r="F126" s="197"/>
      <c r="G126" s="198"/>
      <c r="H126" s="198"/>
      <c r="I126" s="209"/>
      <c r="J126" s="195"/>
      <c r="K126" s="195"/>
      <c r="L126" s="195"/>
      <c r="M126" s="195"/>
      <c r="N126" s="195"/>
      <c r="O126" s="192"/>
    </row>
    <row r="127" spans="1:15" x14ac:dyDescent="0.2">
      <c r="A127" s="210"/>
      <c r="B127" s="208"/>
      <c r="C127" s="196"/>
      <c r="D127" s="196"/>
      <c r="E127" s="196"/>
      <c r="F127" s="197"/>
      <c r="G127" s="198"/>
      <c r="H127" s="198"/>
      <c r="I127" s="209"/>
      <c r="J127" s="195"/>
      <c r="K127" s="195"/>
      <c r="L127" s="195"/>
      <c r="M127" s="195"/>
      <c r="N127" s="195"/>
      <c r="O127" s="192"/>
    </row>
    <row r="128" spans="1:15" x14ac:dyDescent="0.2">
      <c r="A128" s="210"/>
      <c r="B128" s="208"/>
      <c r="C128" s="196"/>
      <c r="D128" s="196"/>
      <c r="E128" s="196"/>
      <c r="F128" s="197"/>
      <c r="G128" s="198"/>
      <c r="H128" s="198"/>
      <c r="I128" s="209"/>
      <c r="J128" s="195"/>
      <c r="K128" s="195"/>
      <c r="L128" s="195"/>
      <c r="M128" s="195"/>
      <c r="N128" s="195"/>
      <c r="O128" s="192"/>
    </row>
    <row r="129" spans="1:15" x14ac:dyDescent="0.2">
      <c r="A129" s="210"/>
      <c r="B129" s="208"/>
      <c r="C129" s="196"/>
      <c r="D129" s="196"/>
      <c r="E129" s="196"/>
      <c r="F129" s="197"/>
      <c r="G129" s="198"/>
      <c r="H129" s="198"/>
      <c r="I129" s="209"/>
      <c r="J129" s="195"/>
      <c r="K129" s="195"/>
      <c r="L129" s="195"/>
      <c r="M129" s="195"/>
      <c r="N129" s="195"/>
      <c r="O129" s="192"/>
    </row>
    <row r="130" spans="1:15" x14ac:dyDescent="0.2">
      <c r="A130" s="210"/>
      <c r="B130" s="208"/>
      <c r="C130" s="196"/>
      <c r="D130" s="196"/>
      <c r="E130" s="196"/>
      <c r="F130" s="197"/>
      <c r="G130" s="198"/>
      <c r="H130" s="198"/>
      <c r="I130" s="209"/>
      <c r="J130" s="195"/>
      <c r="K130" s="195"/>
      <c r="L130" s="195"/>
      <c r="M130" s="195"/>
      <c r="N130" s="195"/>
      <c r="O130" s="192"/>
    </row>
    <row r="131" spans="1:15" x14ac:dyDescent="0.2">
      <c r="A131" s="210"/>
      <c r="B131" s="208"/>
      <c r="C131" s="196"/>
      <c r="D131" s="196"/>
      <c r="E131" s="196"/>
      <c r="F131" s="197"/>
      <c r="G131" s="198"/>
      <c r="H131" s="198"/>
      <c r="I131" s="209"/>
      <c r="J131" s="195"/>
      <c r="K131" s="195"/>
      <c r="L131" s="195"/>
      <c r="M131" s="195"/>
      <c r="N131" s="195"/>
      <c r="O131" s="192"/>
    </row>
    <row r="132" spans="1:15" x14ac:dyDescent="0.2">
      <c r="A132" s="210"/>
      <c r="B132" s="208"/>
      <c r="C132" s="196"/>
      <c r="D132" s="196"/>
      <c r="E132" s="196"/>
      <c r="F132" s="197"/>
      <c r="G132" s="198"/>
      <c r="H132" s="198"/>
      <c r="I132" s="209"/>
      <c r="J132" s="195"/>
      <c r="K132" s="195"/>
      <c r="L132" s="195"/>
      <c r="M132" s="195"/>
      <c r="N132" s="195"/>
      <c r="O132" s="192"/>
    </row>
    <row r="133" spans="1:15" x14ac:dyDescent="0.2">
      <c r="A133" s="210"/>
      <c r="B133" s="208"/>
      <c r="C133" s="196"/>
      <c r="D133" s="196"/>
      <c r="E133" s="196"/>
      <c r="F133" s="197"/>
      <c r="G133" s="198"/>
      <c r="H133" s="198"/>
      <c r="I133" s="209"/>
      <c r="J133" s="195"/>
      <c r="K133" s="195"/>
      <c r="L133" s="195"/>
      <c r="M133" s="195"/>
      <c r="N133" s="195"/>
      <c r="O133" s="192"/>
    </row>
    <row r="134" spans="1:15" x14ac:dyDescent="0.2">
      <c r="A134" s="210"/>
      <c r="B134" s="208"/>
      <c r="C134" s="196"/>
      <c r="D134" s="196"/>
      <c r="E134" s="196"/>
      <c r="F134" s="197"/>
      <c r="G134" s="198"/>
      <c r="H134" s="198"/>
      <c r="I134" s="209"/>
      <c r="J134" s="195"/>
      <c r="K134" s="195"/>
      <c r="L134" s="195"/>
      <c r="M134" s="195"/>
      <c r="N134" s="195"/>
      <c r="O134" s="192"/>
    </row>
    <row r="135" spans="1:15" x14ac:dyDescent="0.2">
      <c r="A135" s="210"/>
      <c r="B135" s="208"/>
      <c r="C135" s="196"/>
      <c r="D135" s="196"/>
      <c r="E135" s="196"/>
      <c r="F135" s="197"/>
      <c r="G135" s="198"/>
      <c r="H135" s="198"/>
      <c r="I135" s="209"/>
      <c r="J135" s="195"/>
      <c r="K135" s="195"/>
      <c r="L135" s="195"/>
      <c r="M135" s="195"/>
      <c r="N135" s="195"/>
      <c r="O135" s="192"/>
    </row>
    <row r="136" spans="1:15" x14ac:dyDescent="0.2">
      <c r="A136" s="210"/>
      <c r="B136" s="208"/>
      <c r="C136" s="196"/>
      <c r="D136" s="196"/>
      <c r="E136" s="196"/>
      <c r="F136" s="197"/>
      <c r="G136" s="198"/>
      <c r="H136" s="198"/>
      <c r="I136" s="209"/>
      <c r="J136" s="195"/>
      <c r="K136" s="195"/>
      <c r="L136" s="195"/>
      <c r="M136" s="195"/>
      <c r="N136" s="195"/>
      <c r="O136" s="192"/>
    </row>
    <row r="137" spans="1:15" x14ac:dyDescent="0.2">
      <c r="A137" s="210"/>
      <c r="B137" s="208"/>
      <c r="C137" s="196"/>
      <c r="D137" s="196"/>
      <c r="E137" s="196"/>
      <c r="F137" s="197"/>
      <c r="G137" s="198"/>
      <c r="H137" s="198"/>
      <c r="I137" s="209"/>
      <c r="J137" s="195"/>
      <c r="K137" s="195"/>
      <c r="L137" s="195"/>
      <c r="M137" s="195"/>
      <c r="N137" s="195"/>
      <c r="O137" s="192"/>
    </row>
    <row r="138" spans="1:15" x14ac:dyDescent="0.2">
      <c r="A138" s="210"/>
      <c r="B138" s="208"/>
      <c r="C138" s="196"/>
      <c r="D138" s="196"/>
      <c r="E138" s="196"/>
      <c r="F138" s="197"/>
      <c r="G138" s="198"/>
      <c r="H138" s="198"/>
      <c r="I138" s="209"/>
      <c r="J138" s="195"/>
      <c r="K138" s="195"/>
      <c r="L138" s="195"/>
      <c r="M138" s="195"/>
      <c r="N138" s="195"/>
      <c r="O138" s="192"/>
    </row>
    <row r="139" spans="1:15" x14ac:dyDescent="0.2">
      <c r="A139" s="210"/>
      <c r="B139" s="208"/>
      <c r="C139" s="196"/>
      <c r="D139" s="196"/>
      <c r="E139" s="196"/>
      <c r="F139" s="197"/>
      <c r="G139" s="198"/>
      <c r="H139" s="198"/>
      <c r="I139" s="209"/>
      <c r="J139" s="195"/>
      <c r="K139" s="195"/>
      <c r="L139" s="195"/>
      <c r="M139" s="195"/>
      <c r="N139" s="195"/>
      <c r="O139" s="192"/>
    </row>
    <row r="140" spans="1:15" x14ac:dyDescent="0.2">
      <c r="A140" s="210"/>
      <c r="B140" s="208"/>
      <c r="C140" s="196"/>
      <c r="D140" s="196"/>
      <c r="E140" s="196"/>
      <c r="F140" s="197"/>
      <c r="G140" s="198"/>
      <c r="H140" s="198"/>
      <c r="I140" s="209"/>
      <c r="J140" s="195"/>
      <c r="K140" s="195"/>
      <c r="L140" s="195"/>
      <c r="M140" s="195"/>
      <c r="N140" s="195"/>
      <c r="O140" s="192"/>
    </row>
    <row r="141" spans="1:15" x14ac:dyDescent="0.2">
      <c r="A141" s="210"/>
      <c r="B141" s="208"/>
      <c r="C141" s="196"/>
      <c r="D141" s="196"/>
      <c r="E141" s="196"/>
      <c r="F141" s="197"/>
      <c r="G141" s="198"/>
      <c r="H141" s="198"/>
      <c r="I141" s="209"/>
      <c r="J141" s="195"/>
      <c r="K141" s="195"/>
      <c r="L141" s="195"/>
      <c r="M141" s="195"/>
      <c r="N141" s="195"/>
      <c r="O141" s="192"/>
    </row>
    <row r="142" spans="1:15" x14ac:dyDescent="0.2">
      <c r="A142" s="210"/>
      <c r="B142" s="208"/>
      <c r="C142" s="196"/>
      <c r="D142" s="196"/>
      <c r="E142" s="196"/>
      <c r="F142" s="197"/>
      <c r="G142" s="198"/>
      <c r="H142" s="198"/>
      <c r="I142" s="209"/>
      <c r="J142" s="195"/>
      <c r="K142" s="195"/>
      <c r="L142" s="195"/>
      <c r="M142" s="195"/>
      <c r="N142" s="195"/>
      <c r="O142" s="192"/>
    </row>
    <row r="143" spans="1:15" x14ac:dyDescent="0.2">
      <c r="A143" s="210"/>
      <c r="B143" s="208"/>
      <c r="C143" s="196"/>
      <c r="D143" s="196"/>
      <c r="E143" s="196"/>
      <c r="F143" s="197"/>
      <c r="G143" s="198"/>
      <c r="H143" s="198"/>
      <c r="I143" s="209"/>
      <c r="J143" s="195"/>
      <c r="K143" s="195"/>
      <c r="L143" s="195"/>
      <c r="M143" s="195"/>
      <c r="N143" s="195"/>
      <c r="O143" s="192"/>
    </row>
    <row r="144" spans="1:15" x14ac:dyDescent="0.2">
      <c r="A144" s="210"/>
      <c r="B144" s="208"/>
      <c r="C144" s="196"/>
      <c r="D144" s="196"/>
      <c r="E144" s="196"/>
      <c r="F144" s="197"/>
      <c r="G144" s="198"/>
      <c r="H144" s="198"/>
      <c r="I144" s="209"/>
      <c r="J144" s="195"/>
      <c r="K144" s="195"/>
      <c r="L144" s="195"/>
      <c r="M144" s="195"/>
      <c r="N144" s="195"/>
      <c r="O144" s="192"/>
    </row>
    <row r="145" spans="1:15" x14ac:dyDescent="0.2">
      <c r="A145" s="210"/>
      <c r="B145" s="208"/>
      <c r="C145" s="196"/>
      <c r="D145" s="196"/>
      <c r="E145" s="196"/>
      <c r="F145" s="197"/>
      <c r="G145" s="198"/>
      <c r="H145" s="198"/>
      <c r="I145" s="209"/>
      <c r="J145" s="195"/>
      <c r="K145" s="195"/>
      <c r="L145" s="195"/>
      <c r="M145" s="195"/>
      <c r="N145" s="195"/>
      <c r="O145" s="192"/>
    </row>
    <row r="146" spans="1:15" x14ac:dyDescent="0.2">
      <c r="A146" s="210"/>
      <c r="B146" s="208"/>
      <c r="C146" s="196"/>
      <c r="D146" s="196"/>
      <c r="E146" s="196"/>
      <c r="F146" s="197"/>
      <c r="G146" s="198"/>
      <c r="H146" s="198"/>
      <c r="I146" s="209"/>
      <c r="J146" s="195"/>
      <c r="K146" s="195"/>
      <c r="L146" s="195"/>
      <c r="M146" s="195"/>
      <c r="N146" s="195"/>
      <c r="O146" s="192"/>
    </row>
    <row r="147" spans="1:15" x14ac:dyDescent="0.2">
      <c r="A147" s="210"/>
      <c r="B147" s="208"/>
      <c r="C147" s="196"/>
      <c r="D147" s="196"/>
      <c r="E147" s="196"/>
      <c r="F147" s="197"/>
      <c r="G147" s="198"/>
      <c r="H147" s="198"/>
      <c r="I147" s="209"/>
      <c r="J147" s="195"/>
      <c r="K147" s="195"/>
      <c r="L147" s="195"/>
      <c r="M147" s="195"/>
      <c r="N147" s="195"/>
      <c r="O147" s="192"/>
    </row>
    <row r="148" spans="1:15" x14ac:dyDescent="0.2">
      <c r="A148" s="210"/>
      <c r="B148" s="208"/>
      <c r="C148" s="196"/>
      <c r="D148" s="196"/>
      <c r="E148" s="196"/>
      <c r="F148" s="197"/>
      <c r="G148" s="198"/>
      <c r="H148" s="198"/>
      <c r="I148" s="209"/>
      <c r="J148" s="195"/>
      <c r="K148" s="195"/>
      <c r="L148" s="195"/>
      <c r="M148" s="195"/>
      <c r="N148" s="195"/>
      <c r="O148" s="192"/>
    </row>
    <row r="149" spans="1:15" x14ac:dyDescent="0.2">
      <c r="A149" s="210"/>
      <c r="B149" s="208"/>
      <c r="C149" s="196"/>
      <c r="D149" s="196"/>
      <c r="E149" s="196"/>
      <c r="F149" s="197"/>
      <c r="G149" s="198"/>
      <c r="H149" s="198"/>
      <c r="I149" s="209"/>
      <c r="J149" s="195"/>
      <c r="K149" s="195"/>
      <c r="L149" s="195"/>
      <c r="M149" s="195"/>
      <c r="N149" s="195"/>
      <c r="O149" s="192"/>
    </row>
    <row r="150" spans="1:15" x14ac:dyDescent="0.2">
      <c r="A150" s="210"/>
      <c r="B150" s="208"/>
      <c r="C150" s="196"/>
      <c r="D150" s="196"/>
      <c r="E150" s="196"/>
      <c r="F150" s="197"/>
      <c r="G150" s="198"/>
      <c r="H150" s="198"/>
      <c r="I150" s="209"/>
      <c r="J150" s="195"/>
      <c r="K150" s="195"/>
      <c r="L150" s="195"/>
      <c r="M150" s="195"/>
      <c r="N150" s="195"/>
      <c r="O150" s="192"/>
    </row>
    <row r="151" spans="1:15" x14ac:dyDescent="0.2">
      <c r="A151" s="210"/>
      <c r="B151" s="208"/>
      <c r="C151" s="196"/>
      <c r="D151" s="196"/>
      <c r="E151" s="196"/>
      <c r="F151" s="197"/>
      <c r="G151" s="198"/>
      <c r="H151" s="198"/>
      <c r="I151" s="209"/>
      <c r="J151" s="195"/>
      <c r="K151" s="195"/>
      <c r="L151" s="195"/>
      <c r="M151" s="195"/>
      <c r="N151" s="195"/>
      <c r="O151" s="192"/>
    </row>
    <row r="152" spans="1:15" x14ac:dyDescent="0.2">
      <c r="A152" s="210"/>
      <c r="B152" s="208"/>
      <c r="C152" s="196"/>
      <c r="D152" s="196"/>
      <c r="E152" s="196"/>
      <c r="F152" s="197"/>
      <c r="G152" s="198"/>
      <c r="H152" s="198"/>
      <c r="I152" s="209"/>
      <c r="J152" s="195"/>
      <c r="K152" s="195"/>
      <c r="L152" s="195"/>
      <c r="M152" s="195"/>
      <c r="N152" s="195"/>
      <c r="O152" s="192"/>
    </row>
    <row r="153" spans="1:15" x14ac:dyDescent="0.2">
      <c r="A153" s="210"/>
      <c r="B153" s="208"/>
      <c r="C153" s="196"/>
      <c r="D153" s="196"/>
      <c r="E153" s="196"/>
      <c r="F153" s="197"/>
      <c r="G153" s="198"/>
      <c r="H153" s="198"/>
      <c r="I153" s="209"/>
      <c r="J153" s="195"/>
      <c r="K153" s="195"/>
      <c r="L153" s="195"/>
      <c r="M153" s="195"/>
      <c r="N153" s="195"/>
      <c r="O153" s="192"/>
    </row>
    <row r="154" spans="1:15" x14ac:dyDescent="0.2">
      <c r="A154" s="210"/>
      <c r="B154" s="208"/>
      <c r="C154" s="196"/>
      <c r="D154" s="196"/>
      <c r="E154" s="196"/>
      <c r="F154" s="197"/>
      <c r="G154" s="198"/>
      <c r="H154" s="198"/>
      <c r="I154" s="209"/>
      <c r="J154" s="195"/>
      <c r="K154" s="195"/>
      <c r="L154" s="195"/>
      <c r="M154" s="195"/>
      <c r="N154" s="195"/>
      <c r="O154" s="192"/>
    </row>
    <row r="155" spans="1:15" x14ac:dyDescent="0.2">
      <c r="A155" s="210"/>
      <c r="B155" s="208"/>
      <c r="C155" s="196"/>
      <c r="D155" s="196"/>
      <c r="E155" s="196"/>
      <c r="F155" s="197"/>
      <c r="G155" s="198"/>
      <c r="H155" s="198"/>
      <c r="I155" s="209"/>
      <c r="J155" s="195"/>
      <c r="K155" s="195"/>
      <c r="L155" s="195"/>
      <c r="M155" s="195"/>
      <c r="N155" s="195"/>
      <c r="O155" s="192"/>
    </row>
    <row r="156" spans="1:15" x14ac:dyDescent="0.2">
      <c r="A156" s="210"/>
      <c r="B156" s="208"/>
      <c r="C156" s="196"/>
      <c r="D156" s="196"/>
      <c r="E156" s="196"/>
      <c r="F156" s="197"/>
      <c r="G156" s="198"/>
      <c r="H156" s="198"/>
      <c r="I156" s="209"/>
      <c r="J156" s="195"/>
      <c r="K156" s="195"/>
      <c r="L156" s="195"/>
      <c r="M156" s="195"/>
      <c r="N156" s="195"/>
      <c r="O156" s="192"/>
    </row>
    <row r="157" spans="1:15" x14ac:dyDescent="0.2">
      <c r="A157" s="210"/>
      <c r="B157" s="208"/>
      <c r="C157" s="196"/>
      <c r="D157" s="196"/>
      <c r="E157" s="196"/>
      <c r="F157" s="197"/>
      <c r="G157" s="198"/>
      <c r="H157" s="198"/>
      <c r="I157" s="209"/>
      <c r="J157" s="195"/>
      <c r="K157" s="195"/>
      <c r="L157" s="195"/>
      <c r="M157" s="195"/>
      <c r="N157" s="195"/>
      <c r="O157" s="192"/>
    </row>
    <row r="158" spans="1:15" x14ac:dyDescent="0.2">
      <c r="A158" s="210"/>
      <c r="B158" s="208"/>
      <c r="C158" s="196"/>
      <c r="D158" s="196"/>
      <c r="E158" s="196"/>
      <c r="F158" s="197"/>
      <c r="G158" s="198"/>
      <c r="H158" s="198"/>
      <c r="I158" s="209"/>
      <c r="J158" s="195"/>
      <c r="K158" s="195"/>
      <c r="L158" s="195"/>
      <c r="M158" s="195"/>
      <c r="N158" s="195"/>
      <c r="O158" s="192"/>
    </row>
    <row r="159" spans="1:15" x14ac:dyDescent="0.2">
      <c r="A159" s="210"/>
      <c r="B159" s="208"/>
      <c r="C159" s="196"/>
      <c r="D159" s="196"/>
      <c r="E159" s="196"/>
      <c r="F159" s="197"/>
      <c r="G159" s="198"/>
      <c r="H159" s="198"/>
      <c r="I159" s="209"/>
      <c r="J159" s="195"/>
      <c r="K159" s="195"/>
      <c r="L159" s="195"/>
      <c r="M159" s="195"/>
      <c r="N159" s="195"/>
      <c r="O159" s="192"/>
    </row>
    <row r="160" spans="1:15" x14ac:dyDescent="0.2">
      <c r="A160" s="210"/>
      <c r="B160" s="208"/>
      <c r="C160" s="196"/>
      <c r="D160" s="196"/>
      <c r="E160" s="196"/>
      <c r="F160" s="197"/>
      <c r="G160" s="198"/>
      <c r="H160" s="198"/>
      <c r="I160" s="209"/>
      <c r="J160" s="195"/>
      <c r="K160" s="195"/>
      <c r="L160" s="195"/>
      <c r="M160" s="195"/>
      <c r="N160" s="195"/>
      <c r="O160" s="192"/>
    </row>
    <row r="161" spans="1:15" x14ac:dyDescent="0.2">
      <c r="A161" s="210"/>
      <c r="B161" s="208"/>
      <c r="C161" s="196"/>
      <c r="D161" s="196"/>
      <c r="E161" s="196"/>
      <c r="F161" s="197"/>
      <c r="G161" s="198"/>
      <c r="H161" s="198"/>
      <c r="I161" s="209"/>
      <c r="J161" s="195"/>
      <c r="K161" s="195"/>
      <c r="L161" s="195"/>
      <c r="M161" s="195"/>
      <c r="N161" s="195"/>
      <c r="O161" s="192"/>
    </row>
    <row r="162" spans="1:15" x14ac:dyDescent="0.2">
      <c r="A162" s="210"/>
      <c r="B162" s="208"/>
      <c r="C162" s="196"/>
      <c r="D162" s="196"/>
      <c r="E162" s="196"/>
      <c r="F162" s="197"/>
      <c r="G162" s="198"/>
      <c r="H162" s="198"/>
      <c r="I162" s="209"/>
      <c r="J162" s="195"/>
      <c r="K162" s="195"/>
      <c r="L162" s="195"/>
      <c r="M162" s="195"/>
      <c r="N162" s="195"/>
      <c r="O162" s="192"/>
    </row>
    <row r="163" spans="1:15" x14ac:dyDescent="0.2">
      <c r="A163" s="210"/>
      <c r="B163" s="208"/>
      <c r="C163" s="196"/>
      <c r="D163" s="196"/>
      <c r="E163" s="196"/>
      <c r="F163" s="197"/>
      <c r="G163" s="198"/>
      <c r="H163" s="198"/>
      <c r="I163" s="209"/>
      <c r="J163" s="195"/>
      <c r="K163" s="195"/>
      <c r="L163" s="195"/>
      <c r="M163" s="195"/>
      <c r="N163" s="195"/>
      <c r="O163" s="192"/>
    </row>
    <row r="164" spans="1:15" x14ac:dyDescent="0.2">
      <c r="A164" s="210"/>
      <c r="B164" s="208"/>
      <c r="C164" s="196"/>
      <c r="D164" s="196"/>
      <c r="E164" s="196"/>
      <c r="F164" s="197"/>
      <c r="G164" s="198"/>
      <c r="H164" s="198"/>
      <c r="I164" s="209"/>
      <c r="J164" s="195"/>
      <c r="K164" s="195"/>
      <c r="L164" s="195"/>
      <c r="M164" s="195"/>
      <c r="N164" s="195"/>
      <c r="O164" s="192"/>
    </row>
    <row r="165" spans="1:15" x14ac:dyDescent="0.2">
      <c r="A165" s="210"/>
      <c r="B165" s="208"/>
      <c r="C165" s="196"/>
      <c r="D165" s="196"/>
      <c r="E165" s="196"/>
      <c r="F165" s="197"/>
      <c r="G165" s="198"/>
      <c r="H165" s="198"/>
      <c r="I165" s="209"/>
      <c r="J165" s="195"/>
      <c r="K165" s="195"/>
      <c r="L165" s="195"/>
      <c r="M165" s="195"/>
      <c r="N165" s="195"/>
      <c r="O165" s="192"/>
    </row>
    <row r="166" spans="1:15" x14ac:dyDescent="0.2">
      <c r="A166" s="210"/>
      <c r="B166" s="208"/>
      <c r="C166" s="196"/>
      <c r="D166" s="196"/>
      <c r="E166" s="196"/>
      <c r="F166" s="197"/>
      <c r="G166" s="198"/>
      <c r="H166" s="198"/>
      <c r="I166" s="209"/>
      <c r="J166" s="195"/>
      <c r="K166" s="195"/>
      <c r="L166" s="195"/>
      <c r="M166" s="195"/>
      <c r="N166" s="195"/>
      <c r="O166" s="192"/>
    </row>
    <row r="167" spans="1:15" x14ac:dyDescent="0.2">
      <c r="A167" s="210"/>
      <c r="B167" s="208"/>
      <c r="C167" s="196"/>
      <c r="D167" s="196"/>
      <c r="E167" s="196"/>
      <c r="F167" s="197"/>
      <c r="G167" s="198"/>
      <c r="H167" s="198"/>
      <c r="I167" s="209"/>
      <c r="J167" s="195"/>
      <c r="K167" s="195"/>
      <c r="L167" s="195"/>
      <c r="M167" s="195"/>
      <c r="N167" s="195"/>
      <c r="O167" s="192"/>
    </row>
    <row r="168" spans="1:15" x14ac:dyDescent="0.2">
      <c r="A168" s="210"/>
      <c r="B168" s="208"/>
      <c r="C168" s="196"/>
      <c r="D168" s="196"/>
      <c r="E168" s="196"/>
      <c r="F168" s="197"/>
      <c r="G168" s="198"/>
      <c r="H168" s="198"/>
      <c r="I168" s="209"/>
      <c r="J168" s="195"/>
      <c r="K168" s="195"/>
      <c r="L168" s="195"/>
      <c r="M168" s="195"/>
      <c r="N168" s="195"/>
      <c r="O168" s="192"/>
    </row>
    <row r="169" spans="1:15" x14ac:dyDescent="0.2">
      <c r="A169" s="210"/>
      <c r="B169" s="208"/>
      <c r="C169" s="196"/>
      <c r="D169" s="196"/>
      <c r="E169" s="196"/>
      <c r="F169" s="197"/>
      <c r="G169" s="198"/>
      <c r="H169" s="198"/>
      <c r="I169" s="209"/>
      <c r="J169" s="195"/>
      <c r="K169" s="195"/>
      <c r="L169" s="195"/>
      <c r="M169" s="195"/>
      <c r="N169" s="195"/>
      <c r="O169" s="192"/>
    </row>
    <row r="170" spans="1:15" x14ac:dyDescent="0.2">
      <c r="A170" s="210"/>
      <c r="B170" s="208"/>
      <c r="C170" s="196"/>
      <c r="D170" s="196"/>
      <c r="E170" s="196"/>
      <c r="F170" s="197"/>
      <c r="G170" s="198"/>
      <c r="H170" s="198"/>
      <c r="I170" s="209"/>
      <c r="J170" s="195"/>
      <c r="K170" s="195"/>
      <c r="L170" s="195"/>
      <c r="M170" s="195"/>
      <c r="N170" s="195"/>
      <c r="O170" s="192"/>
    </row>
    <row r="171" spans="1:15" x14ac:dyDescent="0.2">
      <c r="A171" s="210"/>
      <c r="B171" s="208"/>
      <c r="C171" s="196"/>
      <c r="D171" s="196"/>
      <c r="E171" s="196"/>
      <c r="F171" s="197"/>
      <c r="G171" s="198"/>
      <c r="H171" s="198"/>
      <c r="I171" s="209"/>
      <c r="J171" s="195"/>
      <c r="K171" s="195"/>
      <c r="L171" s="195"/>
      <c r="M171" s="195"/>
      <c r="N171" s="195"/>
      <c r="O171" s="192"/>
    </row>
    <row r="172" spans="1:15" x14ac:dyDescent="0.2">
      <c r="A172" s="210"/>
      <c r="B172" s="208"/>
      <c r="C172" s="196"/>
      <c r="D172" s="196"/>
      <c r="E172" s="196"/>
      <c r="F172" s="197"/>
      <c r="G172" s="198"/>
      <c r="H172" s="198"/>
      <c r="I172" s="209"/>
      <c r="J172" s="195"/>
      <c r="K172" s="195"/>
      <c r="L172" s="195"/>
      <c r="M172" s="195"/>
      <c r="N172" s="195"/>
      <c r="O172" s="192"/>
    </row>
    <row r="173" spans="1:15" x14ac:dyDescent="0.2">
      <c r="A173" s="210"/>
      <c r="B173" s="208"/>
      <c r="C173" s="196"/>
      <c r="D173" s="196"/>
      <c r="E173" s="196"/>
      <c r="F173" s="197"/>
      <c r="G173" s="198"/>
      <c r="H173" s="198"/>
      <c r="I173" s="209"/>
      <c r="J173" s="195"/>
      <c r="K173" s="195"/>
      <c r="L173" s="195"/>
      <c r="M173" s="195"/>
      <c r="N173" s="195"/>
      <c r="O173" s="192"/>
    </row>
    <row r="174" spans="1:15" x14ac:dyDescent="0.2">
      <c r="A174" s="210"/>
      <c r="B174" s="208"/>
      <c r="C174" s="196"/>
      <c r="D174" s="196"/>
      <c r="E174" s="196"/>
      <c r="F174" s="197"/>
      <c r="G174" s="198"/>
      <c r="H174" s="198"/>
      <c r="I174" s="209"/>
      <c r="J174" s="195"/>
      <c r="K174" s="195"/>
      <c r="L174" s="195"/>
      <c r="M174" s="195"/>
      <c r="N174" s="195"/>
      <c r="O174" s="192"/>
    </row>
    <row r="175" spans="1:15" x14ac:dyDescent="0.2">
      <c r="A175" s="210"/>
      <c r="B175" s="208"/>
      <c r="C175" s="196"/>
      <c r="D175" s="196"/>
      <c r="E175" s="196"/>
      <c r="F175" s="197"/>
      <c r="G175" s="198"/>
      <c r="H175" s="198"/>
      <c r="I175" s="209"/>
      <c r="J175" s="195"/>
      <c r="K175" s="195"/>
      <c r="L175" s="195"/>
      <c r="M175" s="195"/>
      <c r="N175" s="195"/>
      <c r="O175" s="192"/>
    </row>
    <row r="176" spans="1:15" x14ac:dyDescent="0.2">
      <c r="A176" s="210"/>
      <c r="B176" s="208"/>
      <c r="C176" s="196"/>
      <c r="D176" s="196"/>
      <c r="E176" s="196"/>
      <c r="F176" s="197"/>
      <c r="G176" s="198"/>
      <c r="H176" s="198"/>
      <c r="I176" s="209"/>
      <c r="J176" s="195"/>
      <c r="K176" s="195"/>
      <c r="L176" s="195"/>
      <c r="M176" s="195"/>
      <c r="N176" s="195"/>
      <c r="O176" s="192"/>
    </row>
    <row r="177" spans="1:15" x14ac:dyDescent="0.2">
      <c r="A177" s="210"/>
      <c r="B177" s="208"/>
      <c r="C177" s="196"/>
      <c r="D177" s="196"/>
      <c r="E177" s="196"/>
      <c r="F177" s="197"/>
      <c r="G177" s="198"/>
      <c r="H177" s="198"/>
      <c r="I177" s="209"/>
      <c r="J177" s="195"/>
      <c r="K177" s="195"/>
      <c r="L177" s="195"/>
      <c r="M177" s="195"/>
      <c r="N177" s="195"/>
      <c r="O177" s="192"/>
    </row>
    <row r="178" spans="1:15" x14ac:dyDescent="0.2">
      <c r="A178" s="210"/>
      <c r="B178" s="208"/>
      <c r="C178" s="196"/>
      <c r="D178" s="196"/>
      <c r="E178" s="196"/>
      <c r="F178" s="197"/>
      <c r="G178" s="198"/>
      <c r="H178" s="198"/>
      <c r="I178" s="209"/>
      <c r="J178" s="195"/>
      <c r="K178" s="195"/>
      <c r="L178" s="195"/>
      <c r="M178" s="195"/>
      <c r="N178" s="195"/>
      <c r="O178" s="192"/>
    </row>
    <row r="179" spans="1:15" x14ac:dyDescent="0.2">
      <c r="A179" s="210"/>
      <c r="B179" s="208"/>
      <c r="C179" s="196"/>
      <c r="D179" s="196"/>
      <c r="E179" s="196"/>
      <c r="F179" s="197"/>
      <c r="G179" s="198"/>
      <c r="H179" s="198"/>
      <c r="I179" s="209"/>
      <c r="J179" s="195"/>
      <c r="K179" s="195"/>
      <c r="L179" s="195"/>
      <c r="M179" s="195"/>
      <c r="N179" s="195"/>
      <c r="O179" s="192"/>
    </row>
    <row r="180" spans="1:15" x14ac:dyDescent="0.2">
      <c r="A180" s="210"/>
      <c r="B180" s="208"/>
      <c r="C180" s="196"/>
      <c r="D180" s="196"/>
      <c r="E180" s="196"/>
      <c r="F180" s="197"/>
      <c r="G180" s="198"/>
      <c r="H180" s="198"/>
      <c r="I180" s="209"/>
      <c r="J180" s="195"/>
      <c r="K180" s="195"/>
      <c r="L180" s="195"/>
      <c r="M180" s="195"/>
      <c r="N180" s="195"/>
      <c r="O180" s="192"/>
    </row>
    <row r="181" spans="1:15" x14ac:dyDescent="0.2">
      <c r="A181" s="210"/>
      <c r="B181" s="208"/>
      <c r="C181" s="196"/>
      <c r="D181" s="196"/>
      <c r="E181" s="196"/>
      <c r="F181" s="197"/>
      <c r="G181" s="198"/>
      <c r="H181" s="198"/>
      <c r="I181" s="209"/>
      <c r="J181" s="195"/>
      <c r="K181" s="195"/>
      <c r="L181" s="195"/>
      <c r="M181" s="195"/>
      <c r="N181" s="195"/>
      <c r="O181" s="192"/>
    </row>
  </sheetData>
  <sheetProtection insertColumns="0" insertRows="0" insertHyperlinks="0" deleteColumns="0" deleteRows="0" sort="0" autoFilter="0" pivotTables="0"/>
  <customSheetViews>
    <customSheetView guid="{CDE91C1B-E8DA-4970-958C-BB86FE77ABD6}" scale="85" showPageBreaks="1" printArea="1" hiddenColumns="1">
      <pane ySplit="4" topLeftCell="A5" activePane="bottomLeft" state="frozen"/>
      <selection pane="bottomLeft" activeCell="A7" sqref="A7"/>
      <pageMargins left="0.25" right="0.25" top="0.75" bottom="0.75" header="0.5" footer="0.5"/>
      <printOptions horizontalCentered="1"/>
      <pageSetup scale="75" fitToHeight="8" orientation="landscape" r:id="rId1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</customSheetView>
    <customSheetView guid="{4133ED5E-99F2-4B74-85B8-24C66B4DC868}" scale="85" showPageBreaks="1" printArea="1" hiddenColumns="1">
      <pane ySplit="4" topLeftCell="A5" activePane="bottomLeft" state="frozen"/>
      <selection pane="bottomLeft" activeCell="H30" sqref="H30"/>
      <pageMargins left="0.25" right="0.25" top="0.75" bottom="0.75" header="0.5" footer="0.5"/>
      <printOptions horizontalCentered="1"/>
      <pageSetup scale="75" fitToHeight="8" orientation="landscape" r:id="rId2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</customSheetView>
    <customSheetView guid="{C44768EB-A6B9-4D4C-A778-B11850F195E2}" scale="85" showPageBreaks="1" printArea="1" hiddenColumns="1">
      <pane ySplit="4" topLeftCell="A5" activePane="bottomLeft" state="frozen"/>
      <selection pane="bottomLeft" activeCell="B15" sqref="B15"/>
      <pageMargins left="0.25" right="0.25" top="0.75" bottom="0.75" header="0.5" footer="0.5"/>
      <printOptions horizontalCentered="1"/>
      <pageSetup scale="75" fitToHeight="8" orientation="landscape" r:id="rId3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</customSheetView>
  </customSheetViews>
  <mergeCells count="4">
    <mergeCell ref="A1:O1"/>
    <mergeCell ref="A2:F2"/>
    <mergeCell ref="I2:N2"/>
    <mergeCell ref="J3:K3"/>
  </mergeCells>
  <conditionalFormatting sqref="F7:G7 B7:D7 I7:O7">
    <cfRule type="expression" dxfId="64" priority="69" stopIfTrue="1">
      <formula>IF($A7&lt;&gt;"",IF(B7="",TRUE,FALSE),FALSE)</formula>
    </cfRule>
  </conditionalFormatting>
  <conditionalFormatting sqref="F8:G181 I8:O181 C8:D181 B13:B181">
    <cfRule type="expression" dxfId="63" priority="68" stopIfTrue="1">
      <formula>IF($A8&lt;&gt;"",IF(B8="",TRUE,FALSE),FALSE)</formula>
    </cfRule>
  </conditionalFormatting>
  <conditionalFormatting sqref="H3:H4">
    <cfRule type="cellIs" dxfId="62" priority="66" stopIfTrue="1" operator="equal">
      <formula>"y"</formula>
    </cfRule>
    <cfRule type="cellIs" dxfId="61" priority="67" stopIfTrue="1" operator="equal">
      <formula>"Y"</formula>
    </cfRule>
  </conditionalFormatting>
  <conditionalFormatting sqref="F6:G6 B6:D6 I6:O6">
    <cfRule type="expression" dxfId="60" priority="61" stopIfTrue="1">
      <formula>IF($A6&lt;&gt;"",IF(B6="",TRUE,FALSE),FALSE)</formula>
    </cfRule>
  </conditionalFormatting>
  <conditionalFormatting sqref="F6:G6 B6:D6 I6:O6">
    <cfRule type="expression" dxfId="59" priority="60" stopIfTrue="1">
      <formula>IF($A6&lt;&gt;"",IF(B6="",TRUE,FALSE),FALSE)</formula>
    </cfRule>
  </conditionalFormatting>
  <conditionalFormatting sqref="L7:M7">
    <cfRule type="expression" dxfId="58" priority="59" stopIfTrue="1">
      <formula>IF($A7&lt;&gt;"",IF(L7="",TRUE,FALSE),FALSE)</formula>
    </cfRule>
  </conditionalFormatting>
  <conditionalFormatting sqref="D6">
    <cfRule type="expression" dxfId="57" priority="58" stopIfTrue="1">
      <formula>IF($A6&lt;&gt;"",IF(D6="",TRUE,FALSE),FALSE)</formula>
    </cfRule>
  </conditionalFormatting>
  <conditionalFormatting sqref="D6">
    <cfRule type="expression" dxfId="56" priority="57" stopIfTrue="1">
      <formula>IF($A6&lt;&gt;"",IF(D6="",TRUE,FALSE),FALSE)</formula>
    </cfRule>
  </conditionalFormatting>
  <conditionalFormatting sqref="L7:M7">
    <cfRule type="expression" dxfId="55" priority="54" stopIfTrue="1">
      <formula>IF($A7&lt;&gt;"",IF(L7="",TRUE,FALSE),FALSE)</formula>
    </cfRule>
  </conditionalFormatting>
  <conditionalFormatting sqref="L7:M7">
    <cfRule type="expression" dxfId="54" priority="53" stopIfTrue="1">
      <formula>IF($A7&lt;&gt;"",IF(L7="",TRUE,FALSE),FALSE)</formula>
    </cfRule>
  </conditionalFormatting>
  <conditionalFormatting sqref="F8:O8 C8:D8">
    <cfRule type="expression" dxfId="53" priority="52" stopIfTrue="1">
      <formula>IF($A8&lt;&gt;"",IF(C8="",TRUE,FALSE),FALSE)</formula>
    </cfRule>
  </conditionalFormatting>
  <conditionalFormatting sqref="D8">
    <cfRule type="expression" dxfId="52" priority="51" stopIfTrue="1">
      <formula>IF($A8&lt;&gt;"",IF(D8="",TRUE,FALSE),FALSE)</formula>
    </cfRule>
  </conditionalFormatting>
  <conditionalFormatting sqref="D8">
    <cfRule type="expression" dxfId="51" priority="50" stopIfTrue="1">
      <formula>IF($A8&lt;&gt;"",IF(D8="",TRUE,FALSE),FALSE)</formula>
    </cfRule>
  </conditionalFormatting>
  <conditionalFormatting sqref="D8">
    <cfRule type="expression" dxfId="50" priority="49" stopIfTrue="1">
      <formula>IF($A8&lt;&gt;"",IF(D8="",TRUE,FALSE),FALSE)</formula>
    </cfRule>
  </conditionalFormatting>
  <conditionalFormatting sqref="D8">
    <cfRule type="expression" dxfId="49" priority="48" stopIfTrue="1">
      <formula>IF($A8&lt;&gt;"",IF(D8="",TRUE,FALSE),FALSE)</formula>
    </cfRule>
  </conditionalFormatting>
  <conditionalFormatting sqref="O9:O10">
    <cfRule type="expression" dxfId="48" priority="47" stopIfTrue="1">
      <formula>IF($A9&lt;&gt;"",IF(O9="",TRUE,FALSE),FALSE)</formula>
    </cfRule>
  </conditionalFormatting>
  <conditionalFormatting sqref="O9:O10">
    <cfRule type="expression" dxfId="47" priority="46" stopIfTrue="1">
      <formula>IF($A9&lt;&gt;"",IF(O9="",TRUE,FALSE),FALSE)</formula>
    </cfRule>
  </conditionalFormatting>
  <conditionalFormatting sqref="O9:O10">
    <cfRule type="expression" dxfId="46" priority="45" stopIfTrue="1">
      <formula>IF($A9&lt;&gt;"",IF(O9="",TRUE,FALSE),FALSE)</formula>
    </cfRule>
  </conditionalFormatting>
  <conditionalFormatting sqref="O9:O10">
    <cfRule type="expression" dxfId="45" priority="44" stopIfTrue="1">
      <formula>IF($A9&lt;&gt;"",IF(O9="",TRUE,FALSE),FALSE)</formula>
    </cfRule>
  </conditionalFormatting>
  <conditionalFormatting sqref="F9:O10 C9:D10">
    <cfRule type="expression" dxfId="44" priority="43" stopIfTrue="1">
      <formula>IF($A9&lt;&gt;"",IF(C9="",TRUE,FALSE),FALSE)</formula>
    </cfRule>
  </conditionalFormatting>
  <conditionalFormatting sqref="F9:F10 O9:O10">
    <cfRule type="expression" dxfId="43" priority="42" stopIfTrue="1">
      <formula>IF($A9&lt;&gt;"",IF(F9="",TRUE,FALSE),FALSE)</formula>
    </cfRule>
  </conditionalFormatting>
  <conditionalFormatting sqref="F9:O10 C9:D10">
    <cfRule type="expression" dxfId="42" priority="41" stopIfTrue="1">
      <formula>IF($A9&lt;&gt;"",IF(C9="",TRUE,FALSE),FALSE)</formula>
    </cfRule>
  </conditionalFormatting>
  <conditionalFormatting sqref="F9:O10 C9:D10">
    <cfRule type="expression" dxfId="41" priority="40" stopIfTrue="1">
      <formula>IF($A9&lt;&gt;"",IF(C9="",TRUE,FALSE),FALSE)</formula>
    </cfRule>
  </conditionalFormatting>
  <conditionalFormatting sqref="D9:D10">
    <cfRule type="expression" dxfId="40" priority="39" stopIfTrue="1">
      <formula>IF($A9&lt;&gt;"",IF(D9="",TRUE,FALSE),FALSE)</formula>
    </cfRule>
  </conditionalFormatting>
  <conditionalFormatting sqref="D9">
    <cfRule type="expression" dxfId="39" priority="38" stopIfTrue="1">
      <formula>IF($A9&lt;&gt;"",IF(D9="",TRUE,FALSE),FALSE)</formula>
    </cfRule>
  </conditionalFormatting>
  <conditionalFormatting sqref="D9">
    <cfRule type="expression" dxfId="38" priority="37" stopIfTrue="1">
      <formula>IF($A9&lt;&gt;"",IF(D9="",TRUE,FALSE),FALSE)</formula>
    </cfRule>
  </conditionalFormatting>
  <conditionalFormatting sqref="D9">
    <cfRule type="expression" dxfId="37" priority="36" stopIfTrue="1">
      <formula>IF($A9&lt;&gt;"",IF(D9="",TRUE,FALSE),FALSE)</formula>
    </cfRule>
  </conditionalFormatting>
  <conditionalFormatting sqref="D9">
    <cfRule type="expression" dxfId="36" priority="35" stopIfTrue="1">
      <formula>IF($A9&lt;&gt;"",IF(D9="",TRUE,FALSE),FALSE)</formula>
    </cfRule>
  </conditionalFormatting>
  <conditionalFormatting sqref="D9">
    <cfRule type="expression" dxfId="35" priority="34" stopIfTrue="1">
      <formula>IF($A9&lt;&gt;"",IF(D9="",TRUE,FALSE),FALSE)</formula>
    </cfRule>
  </conditionalFormatting>
  <conditionalFormatting sqref="D10">
    <cfRule type="expression" dxfId="34" priority="33" stopIfTrue="1">
      <formula>IF($A10&lt;&gt;"",IF(D10="",TRUE,FALSE),FALSE)</formula>
    </cfRule>
  </conditionalFormatting>
  <conditionalFormatting sqref="D10">
    <cfRule type="expression" dxfId="33" priority="32" stopIfTrue="1">
      <formula>IF($A10&lt;&gt;"",IF(D10="",TRUE,FALSE),FALSE)</formula>
    </cfRule>
  </conditionalFormatting>
  <conditionalFormatting sqref="D10">
    <cfRule type="expression" dxfId="32" priority="31" stopIfTrue="1">
      <formula>IF($A10&lt;&gt;"",IF(D10="",TRUE,FALSE),FALSE)</formula>
    </cfRule>
  </conditionalFormatting>
  <conditionalFormatting sqref="D10">
    <cfRule type="expression" dxfId="31" priority="30" stopIfTrue="1">
      <formula>IF($A10&lt;&gt;"",IF(D10="",TRUE,FALSE),FALSE)</formula>
    </cfRule>
  </conditionalFormatting>
  <conditionalFormatting sqref="D10">
    <cfRule type="expression" dxfId="30" priority="29" stopIfTrue="1">
      <formula>IF($A10&lt;&gt;"",IF(D10="",TRUE,FALSE),FALSE)</formula>
    </cfRule>
  </conditionalFormatting>
  <conditionalFormatting sqref="O11:O12">
    <cfRule type="expression" dxfId="29" priority="28" stopIfTrue="1">
      <formula>IF($A11&lt;&gt;"",IF(O11="",TRUE,FALSE),FALSE)</formula>
    </cfRule>
  </conditionalFormatting>
  <conditionalFormatting sqref="O11:O12">
    <cfRule type="expression" dxfId="28" priority="27" stopIfTrue="1">
      <formula>IF($A11&lt;&gt;"",IF(O11="",TRUE,FALSE),FALSE)</formula>
    </cfRule>
  </conditionalFormatting>
  <conditionalFormatting sqref="O11:O12">
    <cfRule type="expression" dxfId="27" priority="26" stopIfTrue="1">
      <formula>IF($A11&lt;&gt;"",IF(O11="",TRUE,FALSE),FALSE)</formula>
    </cfRule>
  </conditionalFormatting>
  <conditionalFormatting sqref="O11:O12">
    <cfRule type="expression" dxfId="26" priority="25" stopIfTrue="1">
      <formula>IF($A11&lt;&gt;"",IF(O11="",TRUE,FALSE),FALSE)</formula>
    </cfRule>
  </conditionalFormatting>
  <conditionalFormatting sqref="F11:O12 C11:D12">
    <cfRule type="expression" dxfId="25" priority="24" stopIfTrue="1">
      <formula>IF($A11&lt;&gt;"",IF(C11="",TRUE,FALSE),FALSE)</formula>
    </cfRule>
  </conditionalFormatting>
  <conditionalFormatting sqref="F11:F12 O11:O12">
    <cfRule type="expression" dxfId="24" priority="23" stopIfTrue="1">
      <formula>IF($A11&lt;&gt;"",IF(F11="",TRUE,FALSE),FALSE)</formula>
    </cfRule>
  </conditionalFormatting>
  <conditionalFormatting sqref="F11:O12 C11:D12">
    <cfRule type="expression" dxfId="23" priority="22" stopIfTrue="1">
      <formula>IF($A11&lt;&gt;"",IF(C11="",TRUE,FALSE),FALSE)</formula>
    </cfRule>
  </conditionalFormatting>
  <conditionalFormatting sqref="F11:O12 C11:D12">
    <cfRule type="expression" dxfId="22" priority="21" stopIfTrue="1">
      <formula>IF($A11&lt;&gt;"",IF(C11="",TRUE,FALSE),FALSE)</formula>
    </cfRule>
  </conditionalFormatting>
  <conditionalFormatting sqref="D11:D12">
    <cfRule type="expression" dxfId="21" priority="20" stopIfTrue="1">
      <formula>IF($A11&lt;&gt;"",IF(D11="",TRUE,FALSE),FALSE)</formula>
    </cfRule>
  </conditionalFormatting>
  <conditionalFormatting sqref="D11:D12">
    <cfRule type="expression" dxfId="20" priority="19" stopIfTrue="1">
      <formula>IF($A11&lt;&gt;"",IF(D11="",TRUE,FALSE),FALSE)</formula>
    </cfRule>
  </conditionalFormatting>
  <conditionalFormatting sqref="D11:D12">
    <cfRule type="expression" dxfId="19" priority="18" stopIfTrue="1">
      <formula>IF($A11&lt;&gt;"",IF(D11="",TRUE,FALSE),FALSE)</formula>
    </cfRule>
  </conditionalFormatting>
  <conditionalFormatting sqref="D11:D12">
    <cfRule type="expression" dxfId="18" priority="17" stopIfTrue="1">
      <formula>IF($A11&lt;&gt;"",IF(D11="",TRUE,FALSE),FALSE)</formula>
    </cfRule>
  </conditionalFormatting>
  <conditionalFormatting sqref="D11:D12">
    <cfRule type="expression" dxfId="17" priority="16" stopIfTrue="1">
      <formula>IF($A11&lt;&gt;"",IF(D11="",TRUE,FALSE),FALSE)</formula>
    </cfRule>
  </conditionalFormatting>
  <conditionalFormatting sqref="D11">
    <cfRule type="expression" dxfId="16" priority="15" stopIfTrue="1">
      <formula>IF($A11&lt;&gt;"",IF(D11="",TRUE,FALSE),FALSE)</formula>
    </cfRule>
  </conditionalFormatting>
  <conditionalFormatting sqref="D11">
    <cfRule type="expression" dxfId="15" priority="14" stopIfTrue="1">
      <formula>IF($A11&lt;&gt;"",IF(D11="",TRUE,FALSE),FALSE)</formula>
    </cfRule>
  </conditionalFormatting>
  <conditionalFormatting sqref="D11">
    <cfRule type="expression" dxfId="14" priority="13" stopIfTrue="1">
      <formula>IF($A11&lt;&gt;"",IF(D11="",TRUE,FALSE),FALSE)</formula>
    </cfRule>
  </conditionalFormatting>
  <conditionalFormatting sqref="D11">
    <cfRule type="expression" dxfId="13" priority="12" stopIfTrue="1">
      <formula>IF($A11&lt;&gt;"",IF(D11="",TRUE,FALSE),FALSE)</formula>
    </cfRule>
  </conditionalFormatting>
  <conditionalFormatting sqref="D11">
    <cfRule type="expression" dxfId="12" priority="11" stopIfTrue="1">
      <formula>IF($A11&lt;&gt;"",IF(D11="",TRUE,FALSE),FALSE)</formula>
    </cfRule>
  </conditionalFormatting>
  <conditionalFormatting sqref="D12">
    <cfRule type="expression" dxfId="11" priority="10" stopIfTrue="1">
      <formula>IF($A12&lt;&gt;"",IF(D12="",TRUE,FALSE),FALSE)</formula>
    </cfRule>
  </conditionalFormatting>
  <conditionalFormatting sqref="D12">
    <cfRule type="expression" dxfId="10" priority="9" stopIfTrue="1">
      <formula>IF($A12&lt;&gt;"",IF(D12="",TRUE,FALSE),FALSE)</formula>
    </cfRule>
  </conditionalFormatting>
  <conditionalFormatting sqref="D12">
    <cfRule type="expression" dxfId="9" priority="8" stopIfTrue="1">
      <formula>IF($A12&lt;&gt;"",IF(D12="",TRUE,FALSE),FALSE)</formula>
    </cfRule>
  </conditionalFormatting>
  <conditionalFormatting sqref="D12">
    <cfRule type="expression" dxfId="8" priority="7" stopIfTrue="1">
      <formula>IF($A12&lt;&gt;"",IF(D12="",TRUE,FALSE),FALSE)</formula>
    </cfRule>
  </conditionalFormatting>
  <conditionalFormatting sqref="D12">
    <cfRule type="expression" dxfId="7" priority="6" stopIfTrue="1">
      <formula>IF($A12&lt;&gt;"",IF(D12="",TRUE,FALSE),FALSE)</formula>
    </cfRule>
  </conditionalFormatting>
  <conditionalFormatting sqref="D7">
    <cfRule type="expression" dxfId="6" priority="5" stopIfTrue="1">
      <formula>IF($A7&lt;&gt;"",IF(D7="",TRUE,FALSE),FALSE)</formula>
    </cfRule>
  </conditionalFormatting>
  <conditionalFormatting sqref="D7">
    <cfRule type="expression" dxfId="5" priority="4" stopIfTrue="1">
      <formula>IF($A7&lt;&gt;"",IF(D7="",TRUE,FALSE),FALSE)</formula>
    </cfRule>
  </conditionalFormatting>
  <conditionalFormatting sqref="D7">
    <cfRule type="expression" dxfId="4" priority="3" stopIfTrue="1">
      <formula>IF($A7&lt;&gt;"",IF(D7="",TRUE,FALSE),FALSE)</formula>
    </cfRule>
  </conditionalFormatting>
  <conditionalFormatting sqref="D7">
    <cfRule type="expression" dxfId="3" priority="2" stopIfTrue="1">
      <formula>IF($A7&lt;&gt;"",IF(D7="",TRUE,FALSE),FALSE)</formula>
    </cfRule>
  </conditionalFormatting>
  <conditionalFormatting sqref="N9:N12">
    <cfRule type="expression" dxfId="2" priority="1" stopIfTrue="1">
      <formula>IF($A9&lt;&gt;"",IF(N9="",TRUE,FALSE),FALSE)</formula>
    </cfRule>
  </conditionalFormatting>
  <dataValidations count="3">
    <dataValidation type="list" allowBlank="1" showInputMessage="1" showErrorMessage="1" sqref="F6:F65534">
      <formula1>$S$1:$S$3</formula1>
    </dataValidation>
    <dataValidation type="list" allowBlank="1" showInputMessage="1" showErrorMessage="1" sqref="G5:H65534">
      <formula1>$S$1:$S$2</formula1>
    </dataValidation>
    <dataValidation type="list" allowBlank="1" showInputMessage="1" showErrorMessage="1" sqref="D6:D181">
      <formula1>FDDValList</formula1>
    </dataValidation>
  </dataValidations>
  <printOptions horizontalCentered="1"/>
  <pageMargins left="0.25" right="0.25" top="0.75" bottom="0.75" header="0.5" footer="0.5"/>
  <pageSetup scale="75" fitToHeight="8" orientation="landscape" r:id="rId4"/>
  <headerFooter alignWithMargins="0">
    <oddHeader>&amp;CVariable Data Dictionary
(GenII + CEPS Software)</oddHeader>
    <oddFooter>&amp;LESG Group
&amp;F&amp;C&amp;P of &amp;N&amp;Rlast modified: 19AP07
SW rev 3.00.00 (PS3)</oddFooter>
  </headerFooter>
  <legacy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A193"/>
  <sheetViews>
    <sheetView workbookViewId="0">
      <pane xSplit="4" ySplit="4" topLeftCell="F5" activePane="bottomRight" state="frozen"/>
      <selection pane="topRight" activeCell="E1" sqref="E1"/>
      <selection pane="bottomLeft" activeCell="A5" sqref="A5"/>
      <selection pane="bottomRight" activeCell="B92" sqref="B92"/>
    </sheetView>
  </sheetViews>
  <sheetFormatPr defaultRowHeight="12.75" x14ac:dyDescent="0.2"/>
  <cols>
    <col min="1" max="1" width="36" style="2" customWidth="1"/>
    <col min="2" max="2" width="26.140625" style="1" customWidth="1"/>
    <col min="3" max="3" width="6.42578125" style="41" bestFit="1" customWidth="1"/>
    <col min="4" max="4" width="7" style="41" bestFit="1" customWidth="1"/>
    <col min="5" max="5" width="21.7109375" style="42" customWidth="1"/>
    <col min="6" max="6" width="3.28515625" style="1" customWidth="1"/>
    <col min="7" max="24" width="3.28515625" style="1" bestFit="1" customWidth="1"/>
    <col min="25" max="25" width="3.28515625" style="1" customWidth="1"/>
    <col min="26" max="37" width="3.28515625" style="1" bestFit="1" customWidth="1"/>
    <col min="38" max="38" width="3.28515625" style="1" customWidth="1"/>
    <col min="39" max="50" width="3.28515625" style="1" bestFit="1" customWidth="1"/>
    <col min="51" max="51" width="3.28515625" style="1" customWidth="1"/>
    <col min="52" max="52" width="3.28515625" style="1" bestFit="1" customWidth="1"/>
    <col min="53" max="53" width="3.28515625" style="1" customWidth="1"/>
    <col min="54" max="78" width="3.28515625" style="1" bestFit="1" customWidth="1"/>
    <col min="79" max="16384" width="9.140625" style="1"/>
  </cols>
  <sheetData>
    <row r="1" spans="1:79" s="32" customFormat="1" ht="29.25" customHeight="1" thickBot="1" x14ac:dyDescent="0.25">
      <c r="A1" s="274" t="str">
        <f>'Change Log'!A1:D1</f>
        <v>SVDrvr_CM Rev  6</v>
      </c>
      <c r="B1" s="275"/>
      <c r="C1" s="275"/>
      <c r="D1" s="275"/>
      <c r="E1" s="275"/>
    </row>
    <row r="2" spans="1:79" ht="13.5" customHeight="1" thickBot="1" x14ac:dyDescent="0.25">
      <c r="A2" s="276" t="s">
        <v>14</v>
      </c>
      <c r="B2" s="277"/>
      <c r="C2" s="79"/>
      <c r="D2" s="79"/>
      <c r="E2" s="59" t="s">
        <v>84</v>
      </c>
      <c r="F2" s="278" t="s">
        <v>12</v>
      </c>
      <c r="G2" s="279"/>
      <c r="H2" s="279"/>
      <c r="I2" s="279"/>
      <c r="J2" s="279"/>
      <c r="K2" s="279"/>
      <c r="L2" s="279"/>
      <c r="M2" s="279"/>
      <c r="N2" s="279"/>
      <c r="O2" s="279"/>
      <c r="P2" s="279"/>
      <c r="Q2" s="279"/>
      <c r="R2" s="279"/>
      <c r="S2" s="279"/>
      <c r="T2" s="279"/>
      <c r="U2" s="279"/>
      <c r="V2" s="279"/>
      <c r="W2" s="279"/>
      <c r="X2" s="279"/>
      <c r="Y2" s="279"/>
      <c r="Z2" s="279"/>
      <c r="AA2" s="279"/>
      <c r="AB2" s="279"/>
      <c r="AC2" s="279"/>
      <c r="AD2" s="279"/>
      <c r="AE2" s="279"/>
      <c r="AF2" s="279"/>
      <c r="AG2" s="279"/>
      <c r="AH2" s="279"/>
      <c r="AI2" s="279"/>
      <c r="AJ2" s="279"/>
      <c r="AK2" s="279"/>
      <c r="AL2" s="279"/>
      <c r="AM2" s="279"/>
      <c r="AN2" s="279"/>
      <c r="AO2" s="279"/>
      <c r="AP2" s="279"/>
      <c r="AQ2" s="279"/>
      <c r="AR2" s="279"/>
      <c r="AS2" s="279"/>
      <c r="AT2" s="279"/>
      <c r="AU2" s="279"/>
      <c r="AV2" s="279"/>
      <c r="AW2" s="279"/>
      <c r="AX2" s="279"/>
      <c r="AY2" s="279"/>
      <c r="AZ2" s="279"/>
      <c r="BA2" s="279"/>
      <c r="BB2" s="279"/>
      <c r="BC2" s="279"/>
      <c r="BD2" s="279"/>
      <c r="BE2" s="279"/>
      <c r="BF2" s="279"/>
      <c r="BG2" s="279"/>
      <c r="BH2" s="279"/>
      <c r="BI2" s="279"/>
      <c r="BJ2" s="279"/>
      <c r="BK2" s="279"/>
      <c r="BL2" s="279"/>
      <c r="BM2" s="279"/>
      <c r="BN2" s="279"/>
      <c r="BO2" s="279"/>
      <c r="BP2" s="279"/>
      <c r="BQ2" s="279"/>
      <c r="BR2" s="279"/>
      <c r="BS2" s="279"/>
      <c r="BT2" s="279"/>
      <c r="BU2" s="279"/>
      <c r="BV2" s="279"/>
      <c r="BW2" s="279"/>
      <c r="BX2" s="279"/>
      <c r="BY2" s="279"/>
      <c r="BZ2" s="280"/>
      <c r="CA2" s="112"/>
    </row>
    <row r="3" spans="1:79" s="36" customFormat="1" ht="13.5" customHeight="1" thickBot="1" x14ac:dyDescent="0.25">
      <c r="A3" s="33"/>
      <c r="B3" s="34"/>
      <c r="C3" s="81"/>
      <c r="D3" s="81"/>
      <c r="E3" s="35"/>
      <c r="F3" s="281" t="s">
        <v>55</v>
      </c>
      <c r="G3" s="282"/>
      <c r="H3" s="282"/>
      <c r="I3" s="282"/>
      <c r="J3" s="282"/>
      <c r="K3" s="282"/>
      <c r="L3" s="282"/>
      <c r="M3" s="282"/>
      <c r="N3" s="282"/>
      <c r="O3" s="282"/>
      <c r="P3" s="282"/>
      <c r="Q3" s="282"/>
      <c r="R3" s="282"/>
      <c r="S3" s="282"/>
      <c r="T3" s="282"/>
      <c r="U3" s="282"/>
      <c r="V3" s="282"/>
      <c r="W3" s="282"/>
      <c r="X3" s="282"/>
      <c r="Y3" s="282"/>
      <c r="Z3" s="282"/>
      <c r="AA3" s="282"/>
      <c r="AB3" s="282"/>
      <c r="AC3" s="282"/>
      <c r="AD3" s="282"/>
      <c r="AE3" s="282"/>
      <c r="AF3" s="282"/>
      <c r="AG3" s="282"/>
      <c r="AH3" s="282"/>
      <c r="AI3" s="282"/>
      <c r="AJ3" s="282"/>
      <c r="AK3" s="282"/>
      <c r="AL3" s="283"/>
      <c r="AM3" s="284" t="s">
        <v>79</v>
      </c>
      <c r="AN3" s="285"/>
      <c r="AO3" s="285"/>
      <c r="AP3" s="285"/>
      <c r="AQ3" s="285"/>
      <c r="AR3" s="285"/>
      <c r="AS3" s="285"/>
      <c r="AT3" s="285"/>
      <c r="AU3" s="285"/>
      <c r="AV3" s="285"/>
      <c r="AW3" s="285"/>
      <c r="AX3" s="285"/>
      <c r="AY3" s="285"/>
      <c r="AZ3" s="285"/>
      <c r="BA3" s="285"/>
      <c r="BB3" s="285"/>
      <c r="BC3" s="285"/>
      <c r="BD3" s="285"/>
      <c r="BE3" s="285"/>
      <c r="BF3" s="285"/>
      <c r="BG3" s="286"/>
      <c r="BH3" s="287" t="s">
        <v>58</v>
      </c>
      <c r="BI3" s="288"/>
      <c r="BJ3" s="288"/>
      <c r="BK3" s="288"/>
      <c r="BL3" s="288"/>
      <c r="BM3" s="288"/>
      <c r="BN3" s="288"/>
      <c r="BO3" s="288"/>
      <c r="BP3" s="289"/>
      <c r="BQ3" s="290" t="s">
        <v>80</v>
      </c>
      <c r="BR3" s="291"/>
      <c r="BS3" s="291"/>
      <c r="BT3" s="291"/>
      <c r="BU3" s="291"/>
      <c r="BV3" s="291"/>
      <c r="BW3" s="291"/>
      <c r="BX3" s="291"/>
      <c r="BY3" s="291"/>
      <c r="BZ3" s="292"/>
      <c r="CA3" s="113"/>
    </row>
    <row r="4" spans="1:79" s="36" customFormat="1" ht="201.75" customHeight="1" thickBot="1" x14ac:dyDescent="0.25">
      <c r="A4" s="37" t="s">
        <v>86</v>
      </c>
      <c r="B4" s="38" t="s">
        <v>57</v>
      </c>
      <c r="C4" s="80" t="s">
        <v>104</v>
      </c>
      <c r="D4" s="80" t="s">
        <v>90</v>
      </c>
      <c r="E4" s="39" t="s">
        <v>129</v>
      </c>
      <c r="F4" s="114" t="s">
        <v>20</v>
      </c>
      <c r="G4" s="115" t="s">
        <v>21</v>
      </c>
      <c r="H4" s="115" t="s">
        <v>22</v>
      </c>
      <c r="I4" s="115" t="s">
        <v>95</v>
      </c>
      <c r="J4" s="251" t="s">
        <v>110</v>
      </c>
      <c r="K4" s="115" t="s">
        <v>111</v>
      </c>
      <c r="L4" s="115" t="s">
        <v>112</v>
      </c>
      <c r="M4" s="115" t="s">
        <v>113</v>
      </c>
      <c r="N4" s="115" t="s">
        <v>114</v>
      </c>
      <c r="O4" s="115" t="s">
        <v>115</v>
      </c>
      <c r="P4" s="115" t="s">
        <v>116</v>
      </c>
      <c r="Q4" s="115" t="s">
        <v>117</v>
      </c>
      <c r="R4" s="115" t="s">
        <v>23</v>
      </c>
      <c r="S4" s="115" t="s">
        <v>24</v>
      </c>
      <c r="T4" s="115" t="s">
        <v>25</v>
      </c>
      <c r="U4" s="115" t="s">
        <v>26</v>
      </c>
      <c r="V4" s="115" t="s">
        <v>27</v>
      </c>
      <c r="W4" s="115" t="s">
        <v>28</v>
      </c>
      <c r="X4" s="115" t="s">
        <v>29</v>
      </c>
      <c r="Y4" s="115" t="s">
        <v>10</v>
      </c>
      <c r="Z4" s="115" t="s">
        <v>30</v>
      </c>
      <c r="AA4" s="115" t="s">
        <v>31</v>
      </c>
      <c r="AB4" s="115" t="s">
        <v>32</v>
      </c>
      <c r="AC4" s="115" t="s">
        <v>33</v>
      </c>
      <c r="AD4" s="115" t="s">
        <v>34</v>
      </c>
      <c r="AE4" s="115" t="s">
        <v>35</v>
      </c>
      <c r="AF4" s="115" t="s">
        <v>36</v>
      </c>
      <c r="AG4" s="115" t="s">
        <v>37</v>
      </c>
      <c r="AH4" s="115" t="s">
        <v>38</v>
      </c>
      <c r="AI4" s="115" t="s">
        <v>39</v>
      </c>
      <c r="AJ4" s="115" t="s">
        <v>40</v>
      </c>
      <c r="AK4" s="115" t="s">
        <v>41</v>
      </c>
      <c r="AL4" s="115" t="s">
        <v>13</v>
      </c>
      <c r="AM4" s="115" t="s">
        <v>42</v>
      </c>
      <c r="AN4" s="115" t="s">
        <v>43</v>
      </c>
      <c r="AO4" s="115" t="s">
        <v>44</v>
      </c>
      <c r="AP4" s="115" t="s">
        <v>45</v>
      </c>
      <c r="AQ4" s="115" t="s">
        <v>46</v>
      </c>
      <c r="AR4" s="115" t="s">
        <v>72</v>
      </c>
      <c r="AS4" s="115" t="s">
        <v>73</v>
      </c>
      <c r="AT4" s="115" t="s">
        <v>74</v>
      </c>
      <c r="AU4" s="115" t="s">
        <v>75</v>
      </c>
      <c r="AV4" s="115" t="s">
        <v>76</v>
      </c>
      <c r="AW4" s="115" t="s">
        <v>77</v>
      </c>
      <c r="AX4" s="115" t="s">
        <v>87</v>
      </c>
      <c r="AY4" s="115" t="s">
        <v>11</v>
      </c>
      <c r="AZ4" s="115" t="s">
        <v>88</v>
      </c>
      <c r="BA4" s="115" t="s">
        <v>128</v>
      </c>
      <c r="BB4" s="115" t="s">
        <v>89</v>
      </c>
      <c r="BC4" s="115" t="s">
        <v>59</v>
      </c>
      <c r="BD4" s="115" t="s">
        <v>60</v>
      </c>
      <c r="BE4" s="115" t="s">
        <v>61</v>
      </c>
      <c r="BF4" s="115" t="s">
        <v>62</v>
      </c>
      <c r="BG4" s="115" t="s">
        <v>63</v>
      </c>
      <c r="BH4" s="115" t="s">
        <v>64</v>
      </c>
      <c r="BI4" s="115" t="s">
        <v>65</v>
      </c>
      <c r="BJ4" s="115" t="s">
        <v>66</v>
      </c>
      <c r="BK4" s="115" t="s">
        <v>67</v>
      </c>
      <c r="BL4" s="115" t="s">
        <v>68</v>
      </c>
      <c r="BM4" s="115" t="s">
        <v>69</v>
      </c>
      <c r="BN4" s="115" t="s">
        <v>70</v>
      </c>
      <c r="BO4" s="115" t="s">
        <v>71</v>
      </c>
      <c r="BP4" s="115" t="s">
        <v>96</v>
      </c>
      <c r="BQ4" s="115" t="s">
        <v>97</v>
      </c>
      <c r="BR4" s="115" t="s">
        <v>98</v>
      </c>
      <c r="BS4" s="115" t="s">
        <v>99</v>
      </c>
      <c r="BT4" s="115" t="s">
        <v>100</v>
      </c>
      <c r="BU4" s="115" t="s">
        <v>101</v>
      </c>
      <c r="BV4" s="115" t="s">
        <v>102</v>
      </c>
      <c r="BW4" s="115" t="s">
        <v>106</v>
      </c>
      <c r="BX4" s="115" t="s">
        <v>107</v>
      </c>
      <c r="BY4" s="115" t="s">
        <v>108</v>
      </c>
      <c r="BZ4" s="126" t="s">
        <v>109</v>
      </c>
    </row>
    <row r="5" spans="1:79" s="36" customFormat="1" x14ac:dyDescent="0.2">
      <c r="A5" s="57"/>
      <c r="B5" s="44"/>
      <c r="C5" s="82"/>
      <c r="D5" s="82"/>
      <c r="E5" s="61"/>
      <c r="F5" s="67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9"/>
    </row>
    <row r="6" spans="1:79" s="36" customFormat="1" x14ac:dyDescent="0.2">
      <c r="A6" s="43"/>
      <c r="B6" s="44"/>
      <c r="C6" s="82"/>
      <c r="D6" s="82"/>
      <c r="E6" s="61"/>
      <c r="F6" s="49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  <c r="AB6" s="50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/>
      <c r="AX6" s="50"/>
      <c r="AY6" s="50"/>
      <c r="AZ6" s="50"/>
      <c r="BA6" s="50"/>
      <c r="BB6" s="50"/>
      <c r="BC6" s="50"/>
      <c r="BD6" s="50"/>
      <c r="BE6" s="50"/>
      <c r="BF6" s="50"/>
      <c r="BG6" s="50"/>
      <c r="BH6" s="50"/>
      <c r="BI6" s="50"/>
      <c r="BJ6" s="50"/>
      <c r="BK6" s="50"/>
      <c r="BL6" s="50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1"/>
    </row>
    <row r="7" spans="1:79" x14ac:dyDescent="0.2">
      <c r="A7" s="48"/>
      <c r="B7" s="44"/>
      <c r="C7" s="82"/>
      <c r="D7" s="82"/>
      <c r="E7" s="61"/>
      <c r="F7" s="49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  <c r="AO7" s="50"/>
      <c r="AP7" s="50"/>
      <c r="AQ7" s="50"/>
      <c r="AR7" s="50"/>
      <c r="AS7" s="50"/>
      <c r="AT7" s="50"/>
      <c r="AU7" s="50"/>
      <c r="AV7" s="50"/>
      <c r="AW7" s="50"/>
      <c r="AX7" s="50"/>
      <c r="AY7" s="50"/>
      <c r="AZ7" s="50"/>
      <c r="BA7" s="50"/>
      <c r="BB7" s="50"/>
      <c r="BC7" s="50"/>
      <c r="BD7" s="50"/>
      <c r="BE7" s="50"/>
      <c r="BF7" s="50"/>
      <c r="BG7" s="50"/>
      <c r="BH7" s="50"/>
      <c r="BI7" s="50"/>
      <c r="BJ7" s="50"/>
      <c r="BK7" s="50"/>
      <c r="BL7" s="50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1"/>
    </row>
    <row r="8" spans="1:79" x14ac:dyDescent="0.2">
      <c r="A8" s="52"/>
      <c r="B8" s="44"/>
      <c r="C8" s="82"/>
      <c r="D8" s="82"/>
      <c r="E8" s="61"/>
      <c r="F8" s="49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  <c r="AB8" s="50"/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  <c r="AO8" s="50"/>
      <c r="AP8" s="50"/>
      <c r="AQ8" s="50"/>
      <c r="AR8" s="50"/>
      <c r="AS8" s="50"/>
      <c r="AT8" s="50"/>
      <c r="AU8" s="50"/>
      <c r="AV8" s="50"/>
      <c r="AW8" s="50"/>
      <c r="AX8" s="50"/>
      <c r="AY8" s="50"/>
      <c r="AZ8" s="50"/>
      <c r="BA8" s="50"/>
      <c r="BB8" s="50"/>
      <c r="BC8" s="50"/>
      <c r="BD8" s="50"/>
      <c r="BE8" s="50"/>
      <c r="BF8" s="50"/>
      <c r="BG8" s="50"/>
      <c r="BH8" s="50"/>
      <c r="BI8" s="50"/>
      <c r="BJ8" s="50"/>
      <c r="BK8" s="50"/>
      <c r="BL8" s="50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1"/>
    </row>
    <row r="9" spans="1:79" x14ac:dyDescent="0.2">
      <c r="A9" s="48"/>
      <c r="B9" s="44"/>
      <c r="C9" s="82"/>
      <c r="D9" s="82"/>
      <c r="E9" s="61"/>
      <c r="F9" s="45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7"/>
    </row>
    <row r="10" spans="1:79" x14ac:dyDescent="0.2">
      <c r="A10" s="52"/>
      <c r="B10" s="44"/>
      <c r="C10" s="82"/>
      <c r="D10" s="82"/>
      <c r="E10" s="61"/>
      <c r="F10" s="49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1"/>
    </row>
    <row r="11" spans="1:79" x14ac:dyDescent="0.2">
      <c r="A11" s="48"/>
      <c r="B11" s="44"/>
      <c r="C11" s="82"/>
      <c r="D11" s="82"/>
      <c r="E11" s="61"/>
      <c r="F11" s="49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  <c r="AB11" s="50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1"/>
    </row>
    <row r="12" spans="1:79" x14ac:dyDescent="0.2">
      <c r="A12" s="125"/>
      <c r="B12" s="44"/>
      <c r="C12" s="82"/>
      <c r="D12" s="82"/>
      <c r="E12" s="61"/>
      <c r="F12" s="49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  <c r="AB12" s="50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1"/>
    </row>
    <row r="13" spans="1:79" x14ac:dyDescent="0.2">
      <c r="A13" s="52"/>
      <c r="B13" s="44"/>
      <c r="C13" s="82"/>
      <c r="D13" s="82"/>
      <c r="E13" s="61"/>
      <c r="F13" s="49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1"/>
    </row>
    <row r="14" spans="1:79" x14ac:dyDescent="0.2">
      <c r="A14" s="48"/>
      <c r="B14" s="44"/>
      <c r="C14" s="82"/>
      <c r="D14" s="82"/>
      <c r="E14" s="61"/>
      <c r="F14" s="49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  <c r="AB14" s="50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1"/>
    </row>
    <row r="15" spans="1:79" x14ac:dyDescent="0.2">
      <c r="A15" s="52"/>
      <c r="B15" s="44"/>
      <c r="C15" s="82"/>
      <c r="D15" s="82"/>
      <c r="E15" s="61"/>
      <c r="F15" s="49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  <c r="AO15" s="50"/>
      <c r="AP15" s="50"/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50"/>
      <c r="BG15" s="50"/>
      <c r="BH15" s="50"/>
      <c r="BI15" s="50"/>
      <c r="BJ15" s="50"/>
      <c r="BK15" s="50"/>
      <c r="BL15" s="50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1"/>
    </row>
    <row r="16" spans="1:79" x14ac:dyDescent="0.2">
      <c r="A16" s="52"/>
      <c r="B16" s="44"/>
      <c r="C16" s="82"/>
      <c r="D16" s="82"/>
      <c r="E16" s="61"/>
      <c r="F16" s="49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  <c r="AO16" s="50"/>
      <c r="AP16" s="50"/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50"/>
      <c r="BG16" s="50"/>
      <c r="BH16" s="50"/>
      <c r="BI16" s="50"/>
      <c r="BJ16" s="50"/>
      <c r="BK16" s="50"/>
      <c r="BL16" s="50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1"/>
    </row>
    <row r="17" spans="1:78" s="40" customFormat="1" x14ac:dyDescent="0.2">
      <c r="A17" s="58"/>
      <c r="B17" s="44"/>
      <c r="C17" s="82"/>
      <c r="D17" s="82"/>
      <c r="E17" s="61"/>
      <c r="F17" s="49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50"/>
      <c r="BG17" s="50"/>
      <c r="BH17" s="50"/>
      <c r="BI17" s="50"/>
      <c r="BJ17" s="50"/>
      <c r="BK17" s="50"/>
      <c r="BL17" s="50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1"/>
    </row>
    <row r="18" spans="1:78" x14ac:dyDescent="0.2">
      <c r="A18" s="58"/>
      <c r="B18" s="44"/>
      <c r="C18" s="82"/>
      <c r="D18" s="82"/>
      <c r="E18" s="65"/>
      <c r="F18" s="49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  <c r="AO18" s="50"/>
      <c r="AP18" s="50"/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50"/>
      <c r="BG18" s="50"/>
      <c r="BH18" s="50"/>
      <c r="BI18" s="50"/>
      <c r="BJ18" s="50"/>
      <c r="BK18" s="50"/>
      <c r="BL18" s="50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1"/>
    </row>
    <row r="19" spans="1:78" x14ac:dyDescent="0.2">
      <c r="A19" s="58"/>
      <c r="B19" s="44"/>
      <c r="C19" s="82"/>
      <c r="D19" s="82"/>
      <c r="E19" s="61"/>
      <c r="F19" s="49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1"/>
    </row>
    <row r="20" spans="1:78" x14ac:dyDescent="0.2">
      <c r="A20" s="52"/>
      <c r="B20" s="44"/>
      <c r="C20" s="82"/>
      <c r="D20" s="82"/>
      <c r="E20" s="61"/>
      <c r="F20" s="49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  <c r="AO20" s="50"/>
      <c r="AP20" s="50"/>
      <c r="AQ20" s="50"/>
      <c r="AR20" s="50"/>
      <c r="AS20" s="50"/>
      <c r="AT20" s="50"/>
      <c r="AU20" s="50"/>
      <c r="AV20" s="50"/>
      <c r="AW20" s="50"/>
      <c r="AX20" s="50"/>
      <c r="AY20" s="50"/>
      <c r="AZ20" s="50"/>
      <c r="BA20" s="50"/>
      <c r="BB20" s="50"/>
      <c r="BC20" s="50"/>
      <c r="BD20" s="50"/>
      <c r="BE20" s="50"/>
      <c r="BF20" s="50"/>
      <c r="BG20" s="50"/>
      <c r="BH20" s="50"/>
      <c r="BI20" s="50"/>
      <c r="BJ20" s="50"/>
      <c r="BK20" s="50"/>
      <c r="BL20" s="50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1"/>
    </row>
    <row r="21" spans="1:78" x14ac:dyDescent="0.2">
      <c r="A21" s="52"/>
      <c r="B21" s="44"/>
      <c r="C21" s="82"/>
      <c r="D21" s="82"/>
      <c r="E21" s="61"/>
      <c r="F21" s="49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1"/>
    </row>
    <row r="22" spans="1:78" x14ac:dyDescent="0.2">
      <c r="A22" s="52"/>
      <c r="B22" s="44"/>
      <c r="C22" s="82"/>
      <c r="D22" s="82"/>
      <c r="E22" s="61"/>
      <c r="F22" s="49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1"/>
    </row>
    <row r="23" spans="1:78" x14ac:dyDescent="0.2">
      <c r="A23" s="48"/>
      <c r="B23" s="44"/>
      <c r="C23" s="82"/>
      <c r="D23" s="82"/>
      <c r="E23" s="61"/>
      <c r="F23" s="49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1"/>
    </row>
    <row r="24" spans="1:78" x14ac:dyDescent="0.2">
      <c r="A24" s="48"/>
      <c r="B24" s="44"/>
      <c r="C24" s="82"/>
      <c r="D24" s="82"/>
      <c r="E24" s="61"/>
      <c r="F24" s="49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1"/>
    </row>
    <row r="25" spans="1:78" x14ac:dyDescent="0.2">
      <c r="A25" s="48"/>
      <c r="B25" s="44"/>
      <c r="C25" s="82"/>
      <c r="D25" s="82"/>
      <c r="E25" s="61"/>
      <c r="F25" s="49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1"/>
    </row>
    <row r="26" spans="1:78" x14ac:dyDescent="0.2">
      <c r="A26" s="48"/>
      <c r="B26" s="44"/>
      <c r="C26" s="82"/>
      <c r="D26" s="82"/>
      <c r="E26" s="61"/>
      <c r="F26" s="73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5"/>
    </row>
    <row r="27" spans="1:78" x14ac:dyDescent="0.2">
      <c r="A27" s="52"/>
      <c r="B27" s="44"/>
      <c r="C27" s="82"/>
      <c r="D27" s="82"/>
      <c r="E27" s="61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1"/>
    </row>
    <row r="28" spans="1:78" s="40" customFormat="1" x14ac:dyDescent="0.2">
      <c r="A28" s="52"/>
      <c r="B28" s="44"/>
      <c r="C28" s="82"/>
      <c r="D28" s="82"/>
      <c r="E28" s="61"/>
      <c r="F28" s="49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1"/>
    </row>
    <row r="29" spans="1:78" s="40" customFormat="1" x14ac:dyDescent="0.2">
      <c r="A29" s="48"/>
      <c r="B29" s="44"/>
      <c r="C29" s="82"/>
      <c r="D29" s="82"/>
      <c r="E29" s="61"/>
      <c r="F29" s="73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5"/>
    </row>
    <row r="30" spans="1:78" s="40" customFormat="1" x14ac:dyDescent="0.2">
      <c r="A30" s="52"/>
      <c r="B30" s="44"/>
      <c r="C30" s="82"/>
      <c r="D30" s="82"/>
      <c r="E30" s="61"/>
      <c r="F30" s="49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1"/>
    </row>
    <row r="31" spans="1:78" x14ac:dyDescent="0.2">
      <c r="A31" s="48"/>
      <c r="B31" s="53"/>
      <c r="C31" s="82"/>
      <c r="D31" s="82"/>
      <c r="E31" s="61"/>
      <c r="F31" s="49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1"/>
    </row>
    <row r="32" spans="1:78" x14ac:dyDescent="0.2">
      <c r="A32" s="48"/>
      <c r="B32" s="53"/>
      <c r="C32" s="82"/>
      <c r="D32" s="82"/>
      <c r="E32" s="61"/>
      <c r="F32" s="49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1"/>
    </row>
    <row r="33" spans="1:78" s="40" customFormat="1" x14ac:dyDescent="0.2">
      <c r="A33" s="48"/>
      <c r="B33" s="44"/>
      <c r="C33" s="82"/>
      <c r="D33" s="82"/>
      <c r="E33" s="61"/>
      <c r="F33" s="73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50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5"/>
    </row>
    <row r="34" spans="1:78" x14ac:dyDescent="0.2">
      <c r="A34" s="48"/>
      <c r="B34" s="44"/>
      <c r="C34" s="82"/>
      <c r="D34" s="82"/>
      <c r="E34" s="61"/>
      <c r="F34" s="73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5"/>
    </row>
    <row r="35" spans="1:78" x14ac:dyDescent="0.2">
      <c r="A35" s="48"/>
      <c r="B35" s="44"/>
      <c r="C35" s="82"/>
      <c r="D35" s="82"/>
      <c r="E35" s="61"/>
      <c r="F35" s="73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5"/>
    </row>
    <row r="36" spans="1:78" x14ac:dyDescent="0.2">
      <c r="A36" s="48"/>
      <c r="B36" s="44"/>
      <c r="C36" s="82"/>
      <c r="D36" s="82"/>
      <c r="E36" s="61"/>
      <c r="F36" s="73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5"/>
    </row>
    <row r="37" spans="1:78" x14ac:dyDescent="0.2">
      <c r="A37" s="48"/>
      <c r="B37" s="44"/>
      <c r="C37" s="82"/>
      <c r="D37" s="82"/>
      <c r="E37" s="61"/>
      <c r="F37" s="49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  <c r="AW37" s="50"/>
      <c r="AX37" s="50"/>
      <c r="AY37" s="50"/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1"/>
    </row>
    <row r="38" spans="1:78" x14ac:dyDescent="0.2">
      <c r="A38" s="62"/>
      <c r="B38" s="44"/>
      <c r="C38" s="82"/>
      <c r="D38" s="82"/>
      <c r="E38" s="61"/>
      <c r="F38" s="73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5"/>
    </row>
    <row r="39" spans="1:78" x14ac:dyDescent="0.2">
      <c r="A39" s="48"/>
      <c r="B39" s="44"/>
      <c r="C39" s="82"/>
      <c r="D39" s="82"/>
      <c r="E39" s="61"/>
      <c r="F39" s="49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1"/>
    </row>
    <row r="40" spans="1:78" x14ac:dyDescent="0.2">
      <c r="A40" s="48"/>
      <c r="B40" s="44"/>
      <c r="C40" s="82"/>
      <c r="D40" s="82"/>
      <c r="E40" s="61"/>
      <c r="F40" s="49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1"/>
    </row>
    <row r="41" spans="1:78" x14ac:dyDescent="0.2">
      <c r="A41" s="52"/>
      <c r="B41" s="44"/>
      <c r="C41" s="82"/>
      <c r="D41" s="82"/>
      <c r="E41" s="61"/>
      <c r="F41" s="49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1"/>
    </row>
    <row r="42" spans="1:78" x14ac:dyDescent="0.2">
      <c r="A42" s="52"/>
      <c r="B42" s="44"/>
      <c r="C42" s="82"/>
      <c r="D42" s="82"/>
      <c r="E42" s="61"/>
      <c r="F42" s="49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1"/>
    </row>
    <row r="43" spans="1:78" x14ac:dyDescent="0.2">
      <c r="A43" s="48"/>
      <c r="B43" s="44"/>
      <c r="C43" s="82"/>
      <c r="D43" s="82"/>
      <c r="E43" s="61"/>
      <c r="F43" s="49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1"/>
    </row>
    <row r="44" spans="1:78" x14ac:dyDescent="0.2">
      <c r="A44" s="48"/>
      <c r="B44" s="44"/>
      <c r="C44" s="82"/>
      <c r="D44" s="82"/>
      <c r="E44" s="61"/>
      <c r="F44" s="54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55"/>
      <c r="AE44" s="55"/>
      <c r="AF44" s="55"/>
      <c r="AG44" s="55"/>
      <c r="AH44" s="55"/>
      <c r="AI44" s="55"/>
      <c r="AJ44" s="55"/>
      <c r="AK44" s="55"/>
      <c r="AL44" s="55"/>
      <c r="AM44" s="55"/>
      <c r="AN44" s="55"/>
      <c r="AO44" s="55"/>
      <c r="AP44" s="55"/>
      <c r="AQ44" s="55"/>
      <c r="AR44" s="55"/>
      <c r="AS44" s="55"/>
      <c r="AT44" s="64"/>
      <c r="AU44" s="55"/>
      <c r="AV44" s="55"/>
      <c r="AW44" s="50"/>
      <c r="AX44" s="55"/>
      <c r="AY44" s="55"/>
      <c r="AZ44" s="55"/>
      <c r="BA44" s="55"/>
      <c r="BB44" s="50"/>
      <c r="BC44" s="55"/>
      <c r="BD44" s="55"/>
      <c r="BE44" s="55"/>
      <c r="BF44" s="55"/>
      <c r="BG44" s="55"/>
      <c r="BH44" s="55"/>
      <c r="BI44" s="55"/>
      <c r="BJ44" s="55"/>
      <c r="BK44" s="55"/>
      <c r="BL44" s="55"/>
      <c r="BM44" s="55"/>
      <c r="BN44" s="55"/>
      <c r="BO44" s="55"/>
      <c r="BP44" s="55"/>
      <c r="BQ44" s="55"/>
      <c r="BR44" s="55"/>
      <c r="BS44" s="55"/>
      <c r="BT44" s="55"/>
      <c r="BU44" s="55"/>
      <c r="BV44" s="55"/>
      <c r="BW44" s="55"/>
      <c r="BX44" s="55"/>
      <c r="BY44" s="55"/>
      <c r="BZ44" s="56"/>
    </row>
    <row r="45" spans="1:78" x14ac:dyDescent="0.2">
      <c r="A45" s="52"/>
      <c r="B45" s="44"/>
      <c r="C45" s="82"/>
      <c r="D45" s="82"/>
      <c r="E45" s="61"/>
      <c r="F45" s="49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1"/>
    </row>
    <row r="46" spans="1:78" x14ac:dyDescent="0.2">
      <c r="A46" s="48"/>
      <c r="B46" s="44"/>
      <c r="C46" s="82"/>
      <c r="D46" s="82"/>
      <c r="E46" s="65"/>
      <c r="F46" s="49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1"/>
    </row>
    <row r="47" spans="1:78" x14ac:dyDescent="0.2">
      <c r="A47" s="48"/>
      <c r="B47" s="44"/>
      <c r="C47" s="82"/>
      <c r="D47" s="82"/>
      <c r="E47" s="61"/>
      <c r="F47" s="49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1"/>
    </row>
    <row r="48" spans="1:78" x14ac:dyDescent="0.2">
      <c r="A48" s="48"/>
      <c r="B48" s="44"/>
      <c r="C48" s="82"/>
      <c r="D48" s="82"/>
      <c r="E48" s="61"/>
      <c r="F48" s="49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1"/>
    </row>
    <row r="49" spans="1:78" x14ac:dyDescent="0.2">
      <c r="A49" s="52"/>
      <c r="B49" s="44"/>
      <c r="C49" s="82"/>
      <c r="D49" s="82"/>
      <c r="E49" s="61"/>
      <c r="F49" s="49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1"/>
    </row>
    <row r="50" spans="1:78" x14ac:dyDescent="0.2">
      <c r="A50" s="48"/>
      <c r="B50" s="44"/>
      <c r="C50" s="82"/>
      <c r="D50" s="82"/>
      <c r="E50" s="61"/>
      <c r="F50" s="49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1"/>
    </row>
    <row r="51" spans="1:78" x14ac:dyDescent="0.2">
      <c r="A51" s="48"/>
      <c r="B51" s="44"/>
      <c r="C51" s="82"/>
      <c r="D51" s="82"/>
      <c r="E51" s="61"/>
      <c r="F51" s="49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1"/>
    </row>
    <row r="52" spans="1:78" x14ac:dyDescent="0.2">
      <c r="A52" s="48"/>
      <c r="B52" s="44"/>
      <c r="C52" s="82"/>
      <c r="D52" s="82"/>
      <c r="E52" s="61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1"/>
    </row>
    <row r="53" spans="1:78" x14ac:dyDescent="0.2">
      <c r="A53" s="52"/>
      <c r="B53" s="44"/>
      <c r="C53" s="82"/>
      <c r="D53" s="82"/>
      <c r="E53" s="61"/>
      <c r="F53" s="49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1"/>
    </row>
    <row r="54" spans="1:78" x14ac:dyDescent="0.2">
      <c r="A54" s="48"/>
      <c r="B54" s="44"/>
      <c r="C54" s="82"/>
      <c r="D54" s="82"/>
      <c r="E54" s="61"/>
      <c r="F54" s="49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1"/>
    </row>
    <row r="55" spans="1:78" x14ac:dyDescent="0.2">
      <c r="A55" s="52"/>
      <c r="B55" s="44"/>
      <c r="C55" s="82"/>
      <c r="D55" s="82"/>
      <c r="E55" s="61"/>
      <c r="F55" s="49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  <c r="AA55" s="50"/>
      <c r="AB55" s="50"/>
      <c r="AC55" s="50"/>
      <c r="AD55" s="50"/>
      <c r="AE55" s="50"/>
      <c r="AF55" s="50"/>
      <c r="AG55" s="50"/>
      <c r="AH55" s="50"/>
      <c r="AI55" s="50"/>
      <c r="AJ55" s="50"/>
      <c r="AK55" s="50"/>
      <c r="AL55" s="50"/>
      <c r="AM55" s="50"/>
      <c r="AN55" s="50"/>
      <c r="AO55" s="50"/>
      <c r="AP55" s="50"/>
      <c r="AQ55" s="50"/>
      <c r="AR55" s="50"/>
      <c r="AS55" s="50"/>
      <c r="AT55" s="50"/>
      <c r="AU55" s="50"/>
      <c r="AV55" s="50"/>
      <c r="AW55" s="50"/>
      <c r="AX55" s="50"/>
      <c r="AY55" s="50"/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1"/>
    </row>
    <row r="56" spans="1:78" x14ac:dyDescent="0.2">
      <c r="A56" s="48"/>
      <c r="B56" s="44"/>
      <c r="C56" s="82"/>
      <c r="D56" s="82"/>
      <c r="E56" s="61"/>
      <c r="F56" s="49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  <c r="AA56" s="50"/>
      <c r="AB56" s="50"/>
      <c r="AC56" s="50"/>
      <c r="AD56" s="50"/>
      <c r="AE56" s="50"/>
      <c r="AF56" s="50"/>
      <c r="AG56" s="50"/>
      <c r="AH56" s="50"/>
      <c r="AI56" s="50"/>
      <c r="AJ56" s="50"/>
      <c r="AK56" s="50"/>
      <c r="AL56" s="50"/>
      <c r="AM56" s="50"/>
      <c r="AN56" s="50"/>
      <c r="AO56" s="50"/>
      <c r="AP56" s="50"/>
      <c r="AQ56" s="50"/>
      <c r="AR56" s="50"/>
      <c r="AS56" s="50"/>
      <c r="AT56" s="50"/>
      <c r="AU56" s="50"/>
      <c r="AV56" s="50"/>
      <c r="AW56" s="50"/>
      <c r="AX56" s="50"/>
      <c r="AY56" s="50"/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1"/>
    </row>
    <row r="57" spans="1:78" x14ac:dyDescent="0.2">
      <c r="A57" s="48"/>
      <c r="B57" s="44"/>
      <c r="C57" s="82"/>
      <c r="D57" s="82"/>
      <c r="E57" s="61"/>
      <c r="F57" s="49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  <c r="AA57" s="50"/>
      <c r="AB57" s="50"/>
      <c r="AC57" s="50"/>
      <c r="AD57" s="50"/>
      <c r="AE57" s="50"/>
      <c r="AF57" s="50"/>
      <c r="AG57" s="50"/>
      <c r="AH57" s="50"/>
      <c r="AI57" s="50"/>
      <c r="AJ57" s="50"/>
      <c r="AK57" s="50"/>
      <c r="AL57" s="50"/>
      <c r="AM57" s="50"/>
      <c r="AN57" s="50"/>
      <c r="AO57" s="50"/>
      <c r="AP57" s="50"/>
      <c r="AQ57" s="50"/>
      <c r="AR57" s="50"/>
      <c r="AS57" s="50"/>
      <c r="AT57" s="50"/>
      <c r="AU57" s="50"/>
      <c r="AV57" s="50"/>
      <c r="AW57" s="50"/>
      <c r="AX57" s="50"/>
      <c r="AY57" s="50"/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1"/>
    </row>
    <row r="58" spans="1:78" x14ac:dyDescent="0.2">
      <c r="A58" s="48"/>
      <c r="B58" s="44"/>
      <c r="C58" s="82"/>
      <c r="D58" s="82"/>
      <c r="E58" s="61"/>
      <c r="F58" s="49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  <c r="AA58" s="50"/>
      <c r="AB58" s="50"/>
      <c r="AC58" s="50"/>
      <c r="AD58" s="50"/>
      <c r="AE58" s="50"/>
      <c r="AF58" s="50"/>
      <c r="AG58" s="50"/>
      <c r="AH58" s="50"/>
      <c r="AI58" s="50"/>
      <c r="AJ58" s="50"/>
      <c r="AK58" s="50"/>
      <c r="AL58" s="50"/>
      <c r="AM58" s="50"/>
      <c r="AN58" s="50"/>
      <c r="AO58" s="50"/>
      <c r="AP58" s="50"/>
      <c r="AQ58" s="50"/>
      <c r="AR58" s="50"/>
      <c r="AS58" s="50"/>
      <c r="AT58" s="50"/>
      <c r="AU58" s="50"/>
      <c r="AV58" s="50"/>
      <c r="AW58" s="50"/>
      <c r="AX58" s="50"/>
      <c r="AY58" s="50"/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1"/>
    </row>
    <row r="59" spans="1:78" x14ac:dyDescent="0.2">
      <c r="A59" s="52"/>
      <c r="B59" s="44"/>
      <c r="C59" s="82"/>
      <c r="D59" s="82"/>
      <c r="E59" s="61"/>
      <c r="F59" s="49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0"/>
      <c r="AR59" s="50"/>
      <c r="AS59" s="50"/>
      <c r="AT59" s="50"/>
      <c r="AU59" s="50"/>
      <c r="AV59" s="50"/>
      <c r="AW59" s="50"/>
      <c r="AX59" s="50"/>
      <c r="AY59" s="50"/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1"/>
    </row>
    <row r="60" spans="1:78" x14ac:dyDescent="0.2">
      <c r="A60" s="48"/>
      <c r="B60" s="44"/>
      <c r="C60" s="82"/>
      <c r="D60" s="82"/>
      <c r="E60" s="61"/>
      <c r="F60" s="49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0"/>
      <c r="AR60" s="50"/>
      <c r="AS60" s="50"/>
      <c r="AT60" s="50"/>
      <c r="AU60" s="50"/>
      <c r="AV60" s="50"/>
      <c r="AW60" s="50"/>
      <c r="AX60" s="50"/>
      <c r="AY60" s="50"/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1"/>
    </row>
    <row r="61" spans="1:78" x14ac:dyDescent="0.2">
      <c r="A61" s="43"/>
      <c r="B61" s="44"/>
      <c r="C61" s="82"/>
      <c r="D61" s="82"/>
      <c r="E61" s="86"/>
      <c r="F61" s="49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0"/>
      <c r="AR61" s="50"/>
      <c r="AS61" s="50"/>
      <c r="AT61" s="50"/>
      <c r="AU61" s="50"/>
      <c r="AV61" s="50"/>
      <c r="AW61" s="50"/>
      <c r="AX61" s="50"/>
      <c r="AY61" s="50"/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1"/>
    </row>
    <row r="62" spans="1:78" x14ac:dyDescent="0.2">
      <c r="A62" s="43"/>
      <c r="B62" s="44"/>
      <c r="C62" s="82"/>
      <c r="D62" s="82"/>
      <c r="E62" s="61"/>
      <c r="F62" s="49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0"/>
      <c r="AR62" s="50"/>
      <c r="AS62" s="50"/>
      <c r="AT62" s="50"/>
      <c r="AU62" s="50"/>
      <c r="AV62" s="50"/>
      <c r="AW62" s="50"/>
      <c r="AX62" s="50"/>
      <c r="AY62" s="50"/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1"/>
    </row>
    <row r="63" spans="1:78" x14ac:dyDescent="0.2">
      <c r="A63" s="87"/>
      <c r="B63" s="44"/>
      <c r="C63" s="82"/>
      <c r="D63" s="82"/>
      <c r="E63" s="88"/>
      <c r="F63" s="73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5"/>
    </row>
    <row r="64" spans="1:78" x14ac:dyDescent="0.2">
      <c r="A64" s="43"/>
      <c r="B64" s="44"/>
      <c r="C64" s="82"/>
      <c r="D64" s="82"/>
      <c r="E64" s="61"/>
      <c r="F64" s="49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0"/>
      <c r="AR64" s="50"/>
      <c r="AS64" s="50"/>
      <c r="AT64" s="50"/>
      <c r="AU64" s="50"/>
      <c r="AV64" s="50"/>
      <c r="AW64" s="50"/>
      <c r="AX64" s="50"/>
      <c r="AY64" s="50"/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1"/>
    </row>
    <row r="65" spans="1:78" x14ac:dyDescent="0.2">
      <c r="A65" s="43"/>
      <c r="B65" s="44"/>
      <c r="C65" s="82"/>
      <c r="D65" s="82"/>
      <c r="E65" s="61"/>
      <c r="F65" s="49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0"/>
      <c r="AR65" s="50"/>
      <c r="AS65" s="50"/>
      <c r="AT65" s="50"/>
      <c r="AU65" s="50"/>
      <c r="AV65" s="50"/>
      <c r="AW65" s="50"/>
      <c r="AX65" s="50"/>
      <c r="AY65" s="50"/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1"/>
    </row>
    <row r="66" spans="1:78" x14ac:dyDescent="0.2">
      <c r="A66" s="57"/>
      <c r="B66" s="44"/>
      <c r="C66" s="82"/>
      <c r="D66" s="82"/>
      <c r="E66" s="61"/>
      <c r="F66" s="49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0"/>
      <c r="AR66" s="50"/>
      <c r="AS66" s="50"/>
      <c r="AT66" s="50"/>
      <c r="AU66" s="50"/>
      <c r="AV66" s="50"/>
      <c r="AW66" s="50"/>
      <c r="AX66" s="50"/>
      <c r="AY66" s="50"/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1"/>
    </row>
    <row r="67" spans="1:78" x14ac:dyDescent="0.2">
      <c r="A67" s="57"/>
      <c r="B67" s="44"/>
      <c r="C67" s="82"/>
      <c r="D67" s="82"/>
      <c r="E67" s="61"/>
      <c r="F67" s="49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0"/>
      <c r="AR67" s="50"/>
      <c r="AS67" s="50"/>
      <c r="AT67" s="50"/>
      <c r="AU67" s="50"/>
      <c r="AV67" s="50"/>
      <c r="AW67" s="50"/>
      <c r="AX67" s="50"/>
      <c r="AY67" s="50"/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1"/>
    </row>
    <row r="68" spans="1:78" x14ac:dyDescent="0.2">
      <c r="A68" s="57"/>
      <c r="B68" s="44"/>
      <c r="C68" s="82"/>
      <c r="D68" s="82"/>
      <c r="E68" s="61"/>
      <c r="F68" s="49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  <c r="AA68" s="50"/>
      <c r="AB68" s="50"/>
      <c r="AC68" s="50"/>
      <c r="AD68" s="50"/>
      <c r="AE68" s="50"/>
      <c r="AF68" s="50"/>
      <c r="AG68" s="50"/>
      <c r="AH68" s="50"/>
      <c r="AI68" s="50"/>
      <c r="AJ68" s="50"/>
      <c r="AK68" s="50"/>
      <c r="AL68" s="50"/>
      <c r="AM68" s="50"/>
      <c r="AN68" s="50"/>
      <c r="AO68" s="50"/>
      <c r="AP68" s="50"/>
      <c r="AQ68" s="50"/>
      <c r="AR68" s="50"/>
      <c r="AS68" s="50"/>
      <c r="AT68" s="50"/>
      <c r="AU68" s="50"/>
      <c r="AV68" s="50"/>
      <c r="AW68" s="50"/>
      <c r="AX68" s="50"/>
      <c r="AY68" s="50"/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1"/>
    </row>
    <row r="69" spans="1:78" x14ac:dyDescent="0.2">
      <c r="A69" s="43"/>
      <c r="B69" s="44"/>
      <c r="C69" s="82"/>
      <c r="D69" s="82"/>
      <c r="E69" s="61"/>
      <c r="F69" s="49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  <c r="AA69" s="50"/>
      <c r="AB69" s="50"/>
      <c r="AC69" s="50"/>
      <c r="AD69" s="50"/>
      <c r="AE69" s="50"/>
      <c r="AF69" s="50"/>
      <c r="AG69" s="50"/>
      <c r="AH69" s="50"/>
      <c r="AI69" s="50"/>
      <c r="AJ69" s="50"/>
      <c r="AK69" s="50"/>
      <c r="AL69" s="50"/>
      <c r="AM69" s="50"/>
      <c r="AN69" s="50"/>
      <c r="AO69" s="50"/>
      <c r="AP69" s="50"/>
      <c r="AQ69" s="50"/>
      <c r="AR69" s="50"/>
      <c r="AS69" s="50"/>
      <c r="AT69" s="50"/>
      <c r="AU69" s="50"/>
      <c r="AV69" s="50"/>
      <c r="AW69" s="50"/>
      <c r="AX69" s="50"/>
      <c r="AY69" s="50"/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1"/>
    </row>
    <row r="70" spans="1:78" s="40" customFormat="1" x14ac:dyDescent="0.2">
      <c r="A70" s="60"/>
      <c r="B70" s="44"/>
      <c r="C70" s="82"/>
      <c r="D70" s="82"/>
      <c r="E70" s="61"/>
      <c r="F70" s="49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  <c r="AA70" s="50"/>
      <c r="AB70" s="50"/>
      <c r="AC70" s="50"/>
      <c r="AD70" s="50"/>
      <c r="AE70" s="50"/>
      <c r="AF70" s="50"/>
      <c r="AG70" s="50"/>
      <c r="AH70" s="50"/>
      <c r="AI70" s="50"/>
      <c r="AJ70" s="50"/>
      <c r="AK70" s="50"/>
      <c r="AL70" s="50"/>
      <c r="AM70" s="50"/>
      <c r="AN70" s="50"/>
      <c r="AO70" s="50"/>
      <c r="AP70" s="50"/>
      <c r="AQ70" s="50"/>
      <c r="AR70" s="50"/>
      <c r="AS70" s="50"/>
      <c r="AT70" s="50"/>
      <c r="AU70" s="50"/>
      <c r="AV70" s="50"/>
      <c r="AW70" s="50"/>
      <c r="AX70" s="50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1"/>
    </row>
    <row r="71" spans="1:78" s="40" customFormat="1" x14ac:dyDescent="0.2">
      <c r="A71" s="43"/>
      <c r="B71" s="44"/>
      <c r="C71" s="82"/>
      <c r="D71" s="82"/>
      <c r="E71" s="61"/>
      <c r="F71" s="49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50"/>
      <c r="AB71" s="50"/>
      <c r="AC71" s="50"/>
      <c r="AD71" s="50"/>
      <c r="AE71" s="50"/>
      <c r="AF71" s="50"/>
      <c r="AG71" s="50"/>
      <c r="AH71" s="50"/>
      <c r="AI71" s="50"/>
      <c r="AJ71" s="50"/>
      <c r="AK71" s="50"/>
      <c r="AL71" s="50"/>
      <c r="AM71" s="50"/>
      <c r="AN71" s="50"/>
      <c r="AO71" s="50"/>
      <c r="AP71" s="50"/>
      <c r="AQ71" s="50"/>
      <c r="AR71" s="50"/>
      <c r="AS71" s="50"/>
      <c r="AT71" s="50"/>
      <c r="AU71" s="50"/>
      <c r="AV71" s="50"/>
      <c r="AW71" s="50"/>
      <c r="AX71" s="50"/>
      <c r="AY71" s="50"/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1"/>
    </row>
    <row r="72" spans="1:78" s="40" customFormat="1" x14ac:dyDescent="0.2">
      <c r="A72" s="85"/>
      <c r="B72" s="44"/>
      <c r="C72" s="82"/>
      <c r="D72" s="82"/>
      <c r="E72" s="61"/>
      <c r="F72" s="49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  <c r="AA72" s="50"/>
      <c r="AB72" s="50"/>
      <c r="AC72" s="50"/>
      <c r="AD72" s="50"/>
      <c r="AE72" s="50"/>
      <c r="AF72" s="50"/>
      <c r="AG72" s="50"/>
      <c r="AH72" s="50"/>
      <c r="AI72" s="50"/>
      <c r="AJ72" s="50"/>
      <c r="AK72" s="50"/>
      <c r="AL72" s="50"/>
      <c r="AM72" s="50"/>
      <c r="AN72" s="50"/>
      <c r="AO72" s="50"/>
      <c r="AP72" s="50"/>
      <c r="AQ72" s="50"/>
      <c r="AR72" s="50"/>
      <c r="AS72" s="50"/>
      <c r="AT72" s="50"/>
      <c r="AU72" s="50"/>
      <c r="AV72" s="50"/>
      <c r="AW72" s="50"/>
      <c r="AX72" s="50"/>
      <c r="AY72" s="50"/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1"/>
    </row>
    <row r="73" spans="1:78" x14ac:dyDescent="0.2">
      <c r="A73" s="52"/>
      <c r="B73" s="44"/>
      <c r="C73" s="82"/>
      <c r="D73" s="82"/>
      <c r="E73" s="61"/>
      <c r="F73" s="49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  <c r="AA73" s="50"/>
      <c r="AB73" s="50"/>
      <c r="AC73" s="50"/>
      <c r="AD73" s="50"/>
      <c r="AE73" s="50"/>
      <c r="AF73" s="50"/>
      <c r="AG73" s="50"/>
      <c r="AH73" s="50"/>
      <c r="AI73" s="50"/>
      <c r="AJ73" s="50"/>
      <c r="AK73" s="50"/>
      <c r="AL73" s="50"/>
      <c r="AM73" s="50"/>
      <c r="AN73" s="50"/>
      <c r="AO73" s="50"/>
      <c r="AP73" s="50"/>
      <c r="AQ73" s="50"/>
      <c r="AR73" s="50"/>
      <c r="AS73" s="50"/>
      <c r="AT73" s="50"/>
      <c r="AU73" s="50"/>
      <c r="AV73" s="50"/>
      <c r="AW73" s="50"/>
      <c r="AX73" s="50"/>
      <c r="AY73" s="50"/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1"/>
    </row>
    <row r="74" spans="1:78" s="40" customFormat="1" x14ac:dyDescent="0.2">
      <c r="A74" s="57"/>
      <c r="B74" s="44"/>
      <c r="C74" s="82"/>
      <c r="D74" s="82"/>
      <c r="E74" s="61"/>
      <c r="F74" s="49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  <c r="AA74" s="50"/>
      <c r="AB74" s="50"/>
      <c r="AC74" s="50"/>
      <c r="AD74" s="50"/>
      <c r="AE74" s="50"/>
      <c r="AF74" s="50"/>
      <c r="AG74" s="50"/>
      <c r="AH74" s="50"/>
      <c r="AI74" s="50"/>
      <c r="AJ74" s="50"/>
      <c r="AK74" s="50"/>
      <c r="AL74" s="50"/>
      <c r="AM74" s="50"/>
      <c r="AN74" s="50"/>
      <c r="AO74" s="50"/>
      <c r="AP74" s="50"/>
      <c r="AQ74" s="50"/>
      <c r="AR74" s="50"/>
      <c r="AS74" s="50"/>
      <c r="AT74" s="50"/>
      <c r="AU74" s="50"/>
      <c r="AV74" s="50"/>
      <c r="AW74" s="50"/>
      <c r="AX74" s="50"/>
      <c r="AY74" s="50"/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1"/>
    </row>
    <row r="75" spans="1:78" x14ac:dyDescent="0.2">
      <c r="A75" s="48"/>
      <c r="B75" s="44"/>
      <c r="C75" s="82"/>
      <c r="D75" s="82"/>
      <c r="E75" s="61"/>
      <c r="F75" s="73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5"/>
    </row>
    <row r="76" spans="1:78" x14ac:dyDescent="0.2">
      <c r="A76" s="48"/>
      <c r="B76" s="44"/>
      <c r="C76" s="82"/>
      <c r="D76" s="82"/>
      <c r="E76" s="61"/>
      <c r="F76" s="49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  <c r="AA76" s="50"/>
      <c r="AB76" s="50"/>
      <c r="AC76" s="50"/>
      <c r="AD76" s="50"/>
      <c r="AE76" s="50"/>
      <c r="AF76" s="50"/>
      <c r="AG76" s="50"/>
      <c r="AH76" s="50"/>
      <c r="AI76" s="50"/>
      <c r="AJ76" s="50"/>
      <c r="AK76" s="50"/>
      <c r="AL76" s="50"/>
      <c r="AM76" s="50"/>
      <c r="AN76" s="50"/>
      <c r="AO76" s="50"/>
      <c r="AP76" s="50"/>
      <c r="AQ76" s="50"/>
      <c r="AR76" s="50"/>
      <c r="AS76" s="50"/>
      <c r="AT76" s="50"/>
      <c r="AU76" s="50"/>
      <c r="AV76" s="50"/>
      <c r="AW76" s="50"/>
      <c r="AX76" s="50"/>
      <c r="AY76" s="50"/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1"/>
    </row>
    <row r="77" spans="1:78" x14ac:dyDescent="0.2">
      <c r="A77" s="48"/>
      <c r="B77" s="44"/>
      <c r="C77" s="82"/>
      <c r="D77" s="82"/>
      <c r="E77" s="61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  <c r="AA77" s="50"/>
      <c r="AB77" s="50"/>
      <c r="AC77" s="50"/>
      <c r="AD77" s="50"/>
      <c r="AE77" s="50"/>
      <c r="AF77" s="50"/>
      <c r="AG77" s="50"/>
      <c r="AH77" s="50"/>
      <c r="AI77" s="50"/>
      <c r="AJ77" s="50"/>
      <c r="AK77" s="50"/>
      <c r="AL77" s="50"/>
      <c r="AM77" s="50"/>
      <c r="AN77" s="50"/>
      <c r="AO77" s="50"/>
      <c r="AP77" s="50"/>
      <c r="AQ77" s="50"/>
      <c r="AR77" s="50"/>
      <c r="AS77" s="50"/>
      <c r="AT77" s="50"/>
      <c r="AU77" s="50"/>
      <c r="AV77" s="50"/>
      <c r="AW77" s="50"/>
      <c r="AX77" s="50"/>
      <c r="AY77" s="50"/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1"/>
    </row>
    <row r="78" spans="1:78" x14ac:dyDescent="0.2">
      <c r="A78" s="48"/>
      <c r="B78" s="44"/>
      <c r="C78" s="82"/>
      <c r="D78" s="82"/>
      <c r="E78" s="66"/>
      <c r="F78" s="45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50"/>
      <c r="AI78" s="50"/>
      <c r="AJ78" s="50"/>
      <c r="AK78" s="50"/>
      <c r="AL78" s="50"/>
      <c r="AM78" s="50"/>
      <c r="AN78" s="50"/>
      <c r="AO78" s="50"/>
      <c r="AP78" s="50"/>
      <c r="AQ78" s="50"/>
      <c r="AR78" s="50"/>
      <c r="AS78" s="50"/>
      <c r="AT78" s="50"/>
      <c r="AU78" s="50"/>
      <c r="AV78" s="50"/>
      <c r="AW78" s="50"/>
      <c r="AX78" s="50"/>
      <c r="AY78" s="50"/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46"/>
      <c r="BR78" s="46"/>
      <c r="BS78" s="46"/>
      <c r="BT78" s="46"/>
      <c r="BU78" s="46"/>
      <c r="BV78" s="46"/>
      <c r="BW78" s="46"/>
      <c r="BX78" s="46"/>
      <c r="BY78" s="46"/>
      <c r="BZ78" s="47"/>
    </row>
    <row r="79" spans="1:78" x14ac:dyDescent="0.2">
      <c r="A79" s="90"/>
      <c r="B79" s="44"/>
      <c r="C79" s="82"/>
      <c r="D79" s="82"/>
      <c r="E79" s="61"/>
      <c r="F79" s="49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  <c r="AA79" s="50"/>
      <c r="AB79" s="50"/>
      <c r="AC79" s="50"/>
      <c r="AD79" s="50"/>
      <c r="AE79" s="50"/>
      <c r="AF79" s="50"/>
      <c r="AG79" s="50"/>
      <c r="AH79" s="50"/>
      <c r="AI79" s="50"/>
      <c r="AJ79" s="50"/>
      <c r="AK79" s="50"/>
      <c r="AL79" s="50"/>
      <c r="AM79" s="50"/>
      <c r="AN79" s="50"/>
      <c r="AO79" s="50"/>
      <c r="AP79" s="50"/>
      <c r="AQ79" s="50"/>
      <c r="AR79" s="50"/>
      <c r="AS79" s="50"/>
      <c r="AT79" s="50"/>
      <c r="AU79" s="50"/>
      <c r="AV79" s="50"/>
      <c r="AW79" s="50"/>
      <c r="AX79" s="50"/>
      <c r="AY79" s="50"/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1"/>
    </row>
    <row r="80" spans="1:78" x14ac:dyDescent="0.2">
      <c r="A80" s="48"/>
      <c r="B80" s="44"/>
      <c r="C80" s="82"/>
      <c r="D80" s="82"/>
      <c r="E80" s="61"/>
      <c r="F80" s="45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  <c r="BC80" s="46"/>
      <c r="BD80" s="46"/>
      <c r="BE80" s="46"/>
      <c r="BF80" s="46"/>
      <c r="BG80" s="46"/>
      <c r="BH80" s="46"/>
      <c r="BI80" s="46"/>
      <c r="BJ80" s="46"/>
      <c r="BK80" s="46"/>
      <c r="BL80" s="46"/>
      <c r="BM80" s="46"/>
      <c r="BN80" s="46"/>
      <c r="BO80" s="46"/>
      <c r="BP80" s="46"/>
      <c r="BQ80" s="46"/>
      <c r="BR80" s="46"/>
      <c r="BS80" s="46"/>
      <c r="BT80" s="46"/>
      <c r="BU80" s="46"/>
      <c r="BV80" s="46"/>
      <c r="BW80" s="46"/>
      <c r="BX80" s="46"/>
      <c r="BY80" s="46"/>
      <c r="BZ80" s="47"/>
    </row>
    <row r="81" spans="1:78" x14ac:dyDescent="0.2">
      <c r="A81" s="52"/>
      <c r="B81" s="44"/>
      <c r="C81" s="82"/>
      <c r="D81" s="82"/>
      <c r="E81" s="61"/>
      <c r="F81" s="49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  <c r="AA81" s="50"/>
      <c r="AB81" s="50"/>
      <c r="AC81" s="50"/>
      <c r="AD81" s="50"/>
      <c r="AE81" s="50"/>
      <c r="AF81" s="50"/>
      <c r="AG81" s="50"/>
      <c r="AH81" s="50"/>
      <c r="AI81" s="50"/>
      <c r="AJ81" s="50"/>
      <c r="AK81" s="50"/>
      <c r="AL81" s="50"/>
      <c r="AM81" s="50"/>
      <c r="AN81" s="50"/>
      <c r="AO81" s="50"/>
      <c r="AP81" s="50"/>
      <c r="AQ81" s="50"/>
      <c r="AR81" s="50"/>
      <c r="AS81" s="50"/>
      <c r="AT81" s="50"/>
      <c r="AU81" s="50"/>
      <c r="AV81" s="50"/>
      <c r="AW81" s="50"/>
      <c r="AX81" s="50"/>
      <c r="AY81" s="50"/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1"/>
    </row>
    <row r="82" spans="1:78" x14ac:dyDescent="0.2">
      <c r="A82" s="52"/>
      <c r="B82" s="44"/>
      <c r="C82" s="82"/>
      <c r="D82" s="82"/>
      <c r="E82" s="61"/>
      <c r="F82" s="49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  <c r="AA82" s="50"/>
      <c r="AB82" s="50"/>
      <c r="AC82" s="50"/>
      <c r="AD82" s="50"/>
      <c r="AE82" s="50"/>
      <c r="AF82" s="50"/>
      <c r="AG82" s="50"/>
      <c r="AH82" s="50"/>
      <c r="AI82" s="50"/>
      <c r="AJ82" s="50"/>
      <c r="AK82" s="50"/>
      <c r="AL82" s="50"/>
      <c r="AM82" s="50"/>
      <c r="AN82" s="50"/>
      <c r="AO82" s="50"/>
      <c r="AP82" s="50"/>
      <c r="AQ82" s="50"/>
      <c r="AR82" s="50"/>
      <c r="AS82" s="50"/>
      <c r="AT82" s="50"/>
      <c r="AU82" s="50"/>
      <c r="AV82" s="50"/>
      <c r="AW82" s="50"/>
      <c r="AX82" s="50"/>
      <c r="AY82" s="50"/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1"/>
    </row>
    <row r="83" spans="1:78" x14ac:dyDescent="0.2">
      <c r="A83" s="52"/>
      <c r="B83" s="44"/>
      <c r="C83" s="82"/>
      <c r="D83" s="82"/>
      <c r="E83" s="61"/>
      <c r="F83" s="49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  <c r="AA83" s="50"/>
      <c r="AB83" s="50"/>
      <c r="AC83" s="50"/>
      <c r="AD83" s="50"/>
      <c r="AE83" s="50"/>
      <c r="AF83" s="50"/>
      <c r="AG83" s="50"/>
      <c r="AH83" s="50"/>
      <c r="AI83" s="50"/>
      <c r="AJ83" s="50"/>
      <c r="AK83" s="50"/>
      <c r="AL83" s="50"/>
      <c r="AM83" s="50"/>
      <c r="AN83" s="50"/>
      <c r="AO83" s="50"/>
      <c r="AP83" s="50"/>
      <c r="AQ83" s="50"/>
      <c r="AR83" s="50"/>
      <c r="AS83" s="50"/>
      <c r="AT83" s="50"/>
      <c r="AU83" s="50"/>
      <c r="AV83" s="50"/>
      <c r="AW83" s="50"/>
      <c r="AX83" s="50"/>
      <c r="AY83" s="50"/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1"/>
    </row>
    <row r="84" spans="1:78" x14ac:dyDescent="0.2">
      <c r="A84" s="48"/>
      <c r="B84" s="44"/>
      <c r="C84" s="82"/>
      <c r="D84" s="82"/>
      <c r="E84" s="61"/>
      <c r="F84" s="49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  <c r="AA84" s="50"/>
      <c r="AB84" s="50"/>
      <c r="AC84" s="50"/>
      <c r="AD84" s="50"/>
      <c r="AE84" s="50"/>
      <c r="AF84" s="50"/>
      <c r="AG84" s="50"/>
      <c r="AH84" s="50"/>
      <c r="AI84" s="50"/>
      <c r="AJ84" s="50"/>
      <c r="AK84" s="50"/>
      <c r="AL84" s="50"/>
      <c r="AM84" s="50"/>
      <c r="AN84" s="50"/>
      <c r="AO84" s="50"/>
      <c r="AP84" s="50"/>
      <c r="AQ84" s="50"/>
      <c r="AR84" s="50"/>
      <c r="AS84" s="50"/>
      <c r="AT84" s="50"/>
      <c r="AU84" s="50"/>
      <c r="AV84" s="50"/>
      <c r="AW84" s="50"/>
      <c r="AX84" s="50"/>
      <c r="AY84" s="50"/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1"/>
    </row>
    <row r="85" spans="1:78" x14ac:dyDescent="0.2">
      <c r="A85" s="52"/>
      <c r="B85" s="44"/>
      <c r="C85" s="82"/>
      <c r="D85" s="82"/>
      <c r="E85" s="61"/>
      <c r="F85" s="49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  <c r="AA85" s="50"/>
      <c r="AB85" s="50"/>
      <c r="AC85" s="50"/>
      <c r="AD85" s="50"/>
      <c r="AE85" s="50"/>
      <c r="AF85" s="50"/>
      <c r="AG85" s="50"/>
      <c r="AH85" s="50"/>
      <c r="AI85" s="50"/>
      <c r="AJ85" s="50"/>
      <c r="AK85" s="50"/>
      <c r="AL85" s="50"/>
      <c r="AM85" s="50"/>
      <c r="AN85" s="50"/>
      <c r="AO85" s="50"/>
      <c r="AP85" s="50"/>
      <c r="AQ85" s="50"/>
      <c r="AR85" s="50"/>
      <c r="AS85" s="50"/>
      <c r="AT85" s="50"/>
      <c r="AU85" s="50"/>
      <c r="AV85" s="50"/>
      <c r="AW85" s="50"/>
      <c r="AX85" s="50"/>
      <c r="AY85" s="50"/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1"/>
    </row>
    <row r="86" spans="1:78" x14ac:dyDescent="0.2">
      <c r="A86" s="52"/>
      <c r="B86" s="44"/>
      <c r="C86" s="82"/>
      <c r="D86" s="82"/>
      <c r="E86" s="61"/>
      <c r="F86" s="49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1"/>
    </row>
    <row r="87" spans="1:78" x14ac:dyDescent="0.2">
      <c r="A87" s="52"/>
      <c r="B87" s="44"/>
      <c r="C87" s="82"/>
      <c r="D87" s="82"/>
      <c r="E87" s="61"/>
      <c r="F87" s="49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1"/>
    </row>
    <row r="88" spans="1:78" x14ac:dyDescent="0.2">
      <c r="A88" s="48"/>
      <c r="B88" s="44"/>
      <c r="C88" s="82"/>
      <c r="D88" s="82"/>
      <c r="E88" s="61"/>
      <c r="F88" s="49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1"/>
    </row>
    <row r="89" spans="1:78" x14ac:dyDescent="0.2">
      <c r="A89" s="48"/>
      <c r="B89" s="44"/>
      <c r="C89" s="82"/>
      <c r="D89" s="82"/>
      <c r="E89" s="61"/>
      <c r="F89" s="49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1"/>
    </row>
    <row r="90" spans="1:78" x14ac:dyDescent="0.2">
      <c r="A90" s="48"/>
      <c r="B90" s="44"/>
      <c r="C90" s="82"/>
      <c r="D90" s="82"/>
      <c r="E90" s="65"/>
      <c r="F90" s="49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  <c r="AA90" s="50"/>
      <c r="AB90" s="50"/>
      <c r="AC90" s="50"/>
      <c r="AD90" s="50"/>
      <c r="AE90" s="50"/>
      <c r="AF90" s="50"/>
      <c r="AG90" s="50"/>
      <c r="AH90" s="50"/>
      <c r="AI90" s="50"/>
      <c r="AJ90" s="50"/>
      <c r="AK90" s="50"/>
      <c r="AL90" s="50"/>
      <c r="AM90" s="50"/>
      <c r="AN90" s="50"/>
      <c r="AO90" s="50"/>
      <c r="AP90" s="50"/>
      <c r="AQ90" s="50"/>
      <c r="AR90" s="50"/>
      <c r="AS90" s="50"/>
      <c r="AT90" s="50"/>
      <c r="AU90" s="50"/>
      <c r="AV90" s="50"/>
      <c r="AW90" s="50"/>
      <c r="AX90" s="50"/>
      <c r="AY90" s="50"/>
      <c r="AZ90" s="50"/>
      <c r="BA90" s="50"/>
      <c r="BB90" s="50"/>
      <c r="BC90" s="50"/>
      <c r="BD90" s="50"/>
      <c r="BE90" s="50"/>
      <c r="BF90" s="50"/>
      <c r="BG90" s="50"/>
      <c r="BH90" s="50"/>
      <c r="BI90" s="50"/>
      <c r="BJ90" s="50"/>
      <c r="BK90" s="50"/>
      <c r="BL90" s="50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1"/>
    </row>
    <row r="91" spans="1:78" x14ac:dyDescent="0.2">
      <c r="A91" s="48"/>
      <c r="B91" s="44"/>
      <c r="C91" s="82"/>
      <c r="D91" s="82"/>
      <c r="E91" s="61"/>
      <c r="F91" s="73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  <c r="BE91" s="74"/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/>
      <c r="BQ91" s="74"/>
      <c r="BR91" s="74"/>
      <c r="BS91" s="74"/>
      <c r="BT91" s="74"/>
      <c r="BU91" s="74"/>
      <c r="BV91" s="74"/>
      <c r="BW91" s="74"/>
      <c r="BX91" s="74"/>
      <c r="BY91" s="74"/>
      <c r="BZ91" s="75"/>
    </row>
    <row r="92" spans="1:78" x14ac:dyDescent="0.2">
      <c r="A92" s="48"/>
      <c r="B92" s="44"/>
      <c r="C92" s="82"/>
      <c r="D92" s="82"/>
      <c r="E92" s="61"/>
      <c r="F92" s="49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  <c r="AA92" s="50"/>
      <c r="AB92" s="50"/>
      <c r="AC92" s="50"/>
      <c r="AD92" s="50"/>
      <c r="AE92" s="50"/>
      <c r="AF92" s="50"/>
      <c r="AG92" s="50"/>
      <c r="AH92" s="50"/>
      <c r="AI92" s="50"/>
      <c r="AJ92" s="50"/>
      <c r="AK92" s="50"/>
      <c r="AL92" s="50"/>
      <c r="AM92" s="50"/>
      <c r="AN92" s="50"/>
      <c r="AO92" s="50"/>
      <c r="AP92" s="50"/>
      <c r="AQ92" s="50"/>
      <c r="AR92" s="50"/>
      <c r="AS92" s="50"/>
      <c r="AT92" s="50"/>
      <c r="AU92" s="50"/>
      <c r="AV92" s="50"/>
      <c r="AW92" s="50"/>
      <c r="AX92" s="50"/>
      <c r="AY92" s="50"/>
      <c r="AZ92" s="50"/>
      <c r="BA92" s="50"/>
      <c r="BB92" s="50"/>
      <c r="BC92" s="50"/>
      <c r="BD92" s="50"/>
      <c r="BE92" s="50"/>
      <c r="BF92" s="50"/>
      <c r="BG92" s="50"/>
      <c r="BH92" s="50"/>
      <c r="BI92" s="50"/>
      <c r="BJ92" s="50"/>
      <c r="BK92" s="50"/>
      <c r="BL92" s="50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1"/>
    </row>
    <row r="93" spans="1:78" x14ac:dyDescent="0.2">
      <c r="A93" s="52"/>
      <c r="B93" s="44"/>
      <c r="C93" s="82"/>
      <c r="D93" s="82"/>
      <c r="E93" s="65"/>
      <c r="F93" s="49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  <c r="AA93" s="50"/>
      <c r="AB93" s="50"/>
      <c r="AC93" s="50"/>
      <c r="AD93" s="50"/>
      <c r="AE93" s="50"/>
      <c r="AF93" s="50"/>
      <c r="AG93" s="50"/>
      <c r="AH93" s="50"/>
      <c r="AI93" s="50"/>
      <c r="AJ93" s="50"/>
      <c r="AK93" s="50"/>
      <c r="AL93" s="50"/>
      <c r="AM93" s="50"/>
      <c r="AN93" s="50"/>
      <c r="AO93" s="50"/>
      <c r="AP93" s="50"/>
      <c r="AQ93" s="50"/>
      <c r="AR93" s="50"/>
      <c r="AS93" s="50"/>
      <c r="AT93" s="50"/>
      <c r="AU93" s="50"/>
      <c r="AV93" s="50"/>
      <c r="AW93" s="50"/>
      <c r="AX93" s="50"/>
      <c r="AY93" s="50"/>
      <c r="AZ93" s="50"/>
      <c r="BA93" s="50"/>
      <c r="BB93" s="50"/>
      <c r="BC93" s="50"/>
      <c r="BD93" s="50"/>
      <c r="BE93" s="50"/>
      <c r="BF93" s="50"/>
      <c r="BG93" s="50"/>
      <c r="BH93" s="50"/>
      <c r="BI93" s="50"/>
      <c r="BJ93" s="50"/>
      <c r="BK93" s="50"/>
      <c r="BL93" s="50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1"/>
    </row>
    <row r="94" spans="1:78" x14ac:dyDescent="0.2">
      <c r="A94" s="48"/>
      <c r="B94" s="44"/>
      <c r="C94" s="82"/>
      <c r="D94" s="82"/>
      <c r="E94" s="61"/>
      <c r="F94" s="49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  <c r="AA94" s="50"/>
      <c r="AB94" s="50"/>
      <c r="AC94" s="50"/>
      <c r="AD94" s="50"/>
      <c r="AE94" s="50"/>
      <c r="AF94" s="50"/>
      <c r="AG94" s="50"/>
      <c r="AH94" s="50"/>
      <c r="AI94" s="50"/>
      <c r="AJ94" s="50"/>
      <c r="AK94" s="50"/>
      <c r="AL94" s="50"/>
      <c r="AM94" s="50"/>
      <c r="AN94" s="50"/>
      <c r="AO94" s="50"/>
      <c r="AP94" s="50"/>
      <c r="AQ94" s="50"/>
      <c r="AR94" s="50"/>
      <c r="AS94" s="50"/>
      <c r="AT94" s="50"/>
      <c r="AU94" s="50"/>
      <c r="AV94" s="50"/>
      <c r="AW94" s="50"/>
      <c r="AX94" s="50"/>
      <c r="AY94" s="50"/>
      <c r="AZ94" s="50"/>
      <c r="BA94" s="50"/>
      <c r="BB94" s="50"/>
      <c r="BC94" s="50"/>
      <c r="BD94" s="50"/>
      <c r="BE94" s="50"/>
      <c r="BF94" s="50"/>
      <c r="BG94" s="50"/>
      <c r="BH94" s="50"/>
      <c r="BI94" s="50"/>
      <c r="BJ94" s="50"/>
      <c r="BK94" s="50"/>
      <c r="BL94" s="50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1"/>
    </row>
    <row r="95" spans="1:78" x14ac:dyDescent="0.2">
      <c r="A95" s="52"/>
      <c r="B95" s="44"/>
      <c r="C95" s="82"/>
      <c r="D95" s="82"/>
      <c r="E95" s="61"/>
      <c r="F95" s="49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  <c r="AA95" s="50"/>
      <c r="AB95" s="50"/>
      <c r="AC95" s="50"/>
      <c r="AD95" s="50"/>
      <c r="AE95" s="50"/>
      <c r="AF95" s="50"/>
      <c r="AG95" s="50"/>
      <c r="AH95" s="50"/>
      <c r="AI95" s="50"/>
      <c r="AJ95" s="50"/>
      <c r="AK95" s="50"/>
      <c r="AL95" s="50"/>
      <c r="AM95" s="50"/>
      <c r="AN95" s="50"/>
      <c r="AO95" s="50"/>
      <c r="AP95" s="50"/>
      <c r="AQ95" s="50"/>
      <c r="AR95" s="50"/>
      <c r="AS95" s="50"/>
      <c r="AT95" s="50"/>
      <c r="AU95" s="50"/>
      <c r="AV95" s="50"/>
      <c r="AW95" s="50"/>
      <c r="AX95" s="50"/>
      <c r="AY95" s="50"/>
      <c r="AZ95" s="50"/>
      <c r="BA95" s="50"/>
      <c r="BB95" s="50"/>
      <c r="BC95" s="50"/>
      <c r="BD95" s="50"/>
      <c r="BE95" s="50"/>
      <c r="BF95" s="50"/>
      <c r="BG95" s="50"/>
      <c r="BH95" s="50"/>
      <c r="BI95" s="50"/>
      <c r="BJ95" s="50"/>
      <c r="BK95" s="50"/>
      <c r="BL95" s="50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1"/>
    </row>
    <row r="96" spans="1:78" x14ac:dyDescent="0.2">
      <c r="A96" s="57"/>
      <c r="B96" s="44"/>
      <c r="C96" s="82"/>
      <c r="D96" s="82"/>
      <c r="E96" s="61"/>
      <c r="F96" s="49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  <c r="AB96" s="50"/>
      <c r="AC96" s="50"/>
      <c r="AD96" s="50"/>
      <c r="AE96" s="50"/>
      <c r="AF96" s="50"/>
      <c r="AG96" s="50"/>
      <c r="AH96" s="50"/>
      <c r="AI96" s="50"/>
      <c r="AJ96" s="50"/>
      <c r="AK96" s="50"/>
      <c r="AL96" s="50"/>
      <c r="AM96" s="50"/>
      <c r="AN96" s="50"/>
      <c r="AO96" s="50"/>
      <c r="AP96" s="50"/>
      <c r="AQ96" s="50"/>
      <c r="AR96" s="50"/>
      <c r="AS96" s="50"/>
      <c r="AT96" s="50"/>
      <c r="AU96" s="50"/>
      <c r="AV96" s="50"/>
      <c r="AW96" s="50"/>
      <c r="AX96" s="50"/>
      <c r="AY96" s="50"/>
      <c r="AZ96" s="50"/>
      <c r="BA96" s="50"/>
      <c r="BB96" s="50"/>
      <c r="BC96" s="50"/>
      <c r="BD96" s="50"/>
      <c r="BE96" s="50"/>
      <c r="BF96" s="50"/>
      <c r="BG96" s="50"/>
      <c r="BH96" s="50"/>
      <c r="BI96" s="50"/>
      <c r="BJ96" s="50"/>
      <c r="BK96" s="50"/>
      <c r="BL96" s="50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1"/>
    </row>
    <row r="97" spans="1:78" x14ac:dyDescent="0.2">
      <c r="A97" s="43"/>
      <c r="B97" s="44"/>
      <c r="C97" s="82"/>
      <c r="D97" s="82"/>
      <c r="E97" s="61"/>
      <c r="F97" s="49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  <c r="AB97" s="50"/>
      <c r="AC97" s="50"/>
      <c r="AD97" s="50"/>
      <c r="AE97" s="50"/>
      <c r="AF97" s="50"/>
      <c r="AG97" s="50"/>
      <c r="AH97" s="50"/>
      <c r="AI97" s="50"/>
      <c r="AJ97" s="50"/>
      <c r="AK97" s="50"/>
      <c r="AL97" s="50"/>
      <c r="AM97" s="50"/>
      <c r="AN97" s="50"/>
      <c r="AO97" s="50"/>
      <c r="AP97" s="50"/>
      <c r="AQ97" s="50"/>
      <c r="AR97" s="50"/>
      <c r="AS97" s="50"/>
      <c r="AT97" s="50"/>
      <c r="AU97" s="50"/>
      <c r="AV97" s="50"/>
      <c r="AW97" s="50"/>
      <c r="AX97" s="50"/>
      <c r="AY97" s="50"/>
      <c r="AZ97" s="50"/>
      <c r="BA97" s="50"/>
      <c r="BB97" s="50"/>
      <c r="BC97" s="50"/>
      <c r="BD97" s="50"/>
      <c r="BE97" s="50"/>
      <c r="BF97" s="50"/>
      <c r="BG97" s="50"/>
      <c r="BH97" s="50"/>
      <c r="BI97" s="50"/>
      <c r="BJ97" s="50"/>
      <c r="BK97" s="50"/>
      <c r="BL97" s="50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1"/>
    </row>
    <row r="98" spans="1:78" x14ac:dyDescent="0.2">
      <c r="A98" s="48"/>
      <c r="B98" s="44"/>
      <c r="C98" s="82"/>
      <c r="D98" s="82"/>
      <c r="E98" s="61"/>
      <c r="F98" s="49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  <c r="AB98" s="50"/>
      <c r="AC98" s="50"/>
      <c r="AD98" s="50"/>
      <c r="AE98" s="50"/>
      <c r="AF98" s="50"/>
      <c r="AG98" s="50"/>
      <c r="AH98" s="50"/>
      <c r="AI98" s="50"/>
      <c r="AJ98" s="50"/>
      <c r="AK98" s="50"/>
      <c r="AL98" s="50"/>
      <c r="AM98" s="50"/>
      <c r="AN98" s="50"/>
      <c r="AO98" s="50"/>
      <c r="AP98" s="50"/>
      <c r="AQ98" s="50"/>
      <c r="AR98" s="50"/>
      <c r="AS98" s="50"/>
      <c r="AT98" s="50"/>
      <c r="AU98" s="50"/>
      <c r="AV98" s="50"/>
      <c r="AW98" s="50"/>
      <c r="AX98" s="50"/>
      <c r="AY98" s="50"/>
      <c r="AZ98" s="50"/>
      <c r="BA98" s="50"/>
      <c r="BB98" s="50"/>
      <c r="BC98" s="50"/>
      <c r="BD98" s="50"/>
      <c r="BE98" s="50"/>
      <c r="BF98" s="50"/>
      <c r="BG98" s="50"/>
      <c r="BH98" s="50"/>
      <c r="BI98" s="50"/>
      <c r="BJ98" s="50"/>
      <c r="BK98" s="50"/>
      <c r="BL98" s="50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1"/>
    </row>
    <row r="99" spans="1:78" x14ac:dyDescent="0.2">
      <c r="A99" s="48"/>
      <c r="B99" s="44"/>
      <c r="C99" s="82"/>
      <c r="D99" s="82"/>
      <c r="E99" s="61"/>
      <c r="F99" s="49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  <c r="AB99" s="50"/>
      <c r="AC99" s="50"/>
      <c r="AD99" s="50"/>
      <c r="AE99" s="50"/>
      <c r="AF99" s="50"/>
      <c r="AG99" s="50"/>
      <c r="AH99" s="50"/>
      <c r="AI99" s="50"/>
      <c r="AJ99" s="50"/>
      <c r="AK99" s="50"/>
      <c r="AL99" s="50"/>
      <c r="AM99" s="50"/>
      <c r="AN99" s="50"/>
      <c r="AO99" s="50"/>
      <c r="AP99" s="50"/>
      <c r="AQ99" s="50"/>
      <c r="AR99" s="50"/>
      <c r="AS99" s="50"/>
      <c r="AT99" s="50"/>
      <c r="AU99" s="50"/>
      <c r="AV99" s="50"/>
      <c r="AW99" s="50"/>
      <c r="AX99" s="50"/>
      <c r="AY99" s="50"/>
      <c r="AZ99" s="50"/>
      <c r="BA99" s="50"/>
      <c r="BB99" s="50"/>
      <c r="BC99" s="50"/>
      <c r="BD99" s="50"/>
      <c r="BE99" s="50"/>
      <c r="BF99" s="50"/>
      <c r="BG99" s="50"/>
      <c r="BH99" s="50"/>
      <c r="BI99" s="50"/>
      <c r="BJ99" s="50"/>
      <c r="BK99" s="50"/>
      <c r="BL99" s="50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1"/>
    </row>
    <row r="100" spans="1:78" x14ac:dyDescent="0.2">
      <c r="A100" s="48"/>
      <c r="B100" s="44"/>
      <c r="C100" s="82"/>
      <c r="D100" s="82"/>
      <c r="E100" s="61"/>
      <c r="F100" s="49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  <c r="AB100" s="50"/>
      <c r="AC100" s="50"/>
      <c r="AD100" s="50"/>
      <c r="AE100" s="50"/>
      <c r="AF100" s="50"/>
      <c r="AG100" s="50"/>
      <c r="AH100" s="50"/>
      <c r="AI100" s="50"/>
      <c r="AJ100" s="50"/>
      <c r="AK100" s="50"/>
      <c r="AL100" s="50"/>
      <c r="AM100" s="50"/>
      <c r="AN100" s="50"/>
      <c r="AO100" s="50"/>
      <c r="AP100" s="50"/>
      <c r="AQ100" s="50"/>
      <c r="AR100" s="50"/>
      <c r="AS100" s="50"/>
      <c r="AT100" s="50"/>
      <c r="AU100" s="50"/>
      <c r="AV100" s="50"/>
      <c r="AW100" s="50"/>
      <c r="AX100" s="50"/>
      <c r="AY100" s="50"/>
      <c r="AZ100" s="50"/>
      <c r="BA100" s="50"/>
      <c r="BB100" s="50"/>
      <c r="BC100" s="50"/>
      <c r="BD100" s="50"/>
      <c r="BE100" s="50"/>
      <c r="BF100" s="50"/>
      <c r="BG100" s="50"/>
      <c r="BH100" s="50"/>
      <c r="BI100" s="50"/>
      <c r="BJ100" s="50"/>
      <c r="BK100" s="50"/>
      <c r="BL100" s="50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1"/>
    </row>
    <row r="101" spans="1:78" x14ac:dyDescent="0.2">
      <c r="A101" s="48"/>
      <c r="B101" s="44"/>
      <c r="C101" s="82"/>
      <c r="D101" s="82"/>
      <c r="E101" s="61"/>
      <c r="F101" s="49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  <c r="AB101" s="50"/>
      <c r="AC101" s="50"/>
      <c r="AD101" s="50"/>
      <c r="AE101" s="50"/>
      <c r="AF101" s="50"/>
      <c r="AG101" s="50"/>
      <c r="AH101" s="50"/>
      <c r="AI101" s="50"/>
      <c r="AJ101" s="50"/>
      <c r="AK101" s="50"/>
      <c r="AL101" s="50"/>
      <c r="AM101" s="50"/>
      <c r="AN101" s="50"/>
      <c r="AO101" s="50"/>
      <c r="AP101" s="50"/>
      <c r="AQ101" s="50"/>
      <c r="AR101" s="50"/>
      <c r="AS101" s="50"/>
      <c r="AT101" s="50"/>
      <c r="AU101" s="50"/>
      <c r="AV101" s="50"/>
      <c r="AW101" s="50"/>
      <c r="AX101" s="50"/>
      <c r="AY101" s="50"/>
      <c r="AZ101" s="50"/>
      <c r="BA101" s="50"/>
      <c r="BB101" s="50"/>
      <c r="BC101" s="50"/>
      <c r="BD101" s="50"/>
      <c r="BE101" s="50"/>
      <c r="BF101" s="50"/>
      <c r="BG101" s="50"/>
      <c r="BH101" s="50"/>
      <c r="BI101" s="50"/>
      <c r="BJ101" s="50"/>
      <c r="BK101" s="50"/>
      <c r="BL101" s="50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1"/>
    </row>
    <row r="102" spans="1:78" x14ac:dyDescent="0.2">
      <c r="A102" s="48"/>
      <c r="B102" s="44"/>
      <c r="C102" s="82"/>
      <c r="D102" s="82"/>
      <c r="E102" s="61"/>
      <c r="F102" s="49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  <c r="AB102" s="50"/>
      <c r="AC102" s="50"/>
      <c r="AD102" s="50"/>
      <c r="AE102" s="50"/>
      <c r="AF102" s="50"/>
      <c r="AG102" s="50"/>
      <c r="AH102" s="50"/>
      <c r="AI102" s="50"/>
      <c r="AJ102" s="50"/>
      <c r="AK102" s="50"/>
      <c r="AL102" s="50"/>
      <c r="AM102" s="50"/>
      <c r="AN102" s="50"/>
      <c r="AO102" s="50"/>
      <c r="AP102" s="50"/>
      <c r="AQ102" s="50"/>
      <c r="AR102" s="50"/>
      <c r="AS102" s="50"/>
      <c r="AT102" s="50"/>
      <c r="AU102" s="50"/>
      <c r="AV102" s="50"/>
      <c r="AW102" s="50"/>
      <c r="AX102" s="50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1"/>
    </row>
    <row r="103" spans="1:78" x14ac:dyDescent="0.2">
      <c r="A103" s="48"/>
      <c r="B103" s="44"/>
      <c r="C103" s="82"/>
      <c r="D103" s="82"/>
      <c r="E103" s="61"/>
      <c r="F103" s="49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  <c r="AB103" s="50"/>
      <c r="AC103" s="50"/>
      <c r="AD103" s="50"/>
      <c r="AE103" s="50"/>
      <c r="AF103" s="50"/>
      <c r="AG103" s="50"/>
      <c r="AH103" s="50"/>
      <c r="AI103" s="50"/>
      <c r="AJ103" s="50"/>
      <c r="AK103" s="50"/>
      <c r="AL103" s="50"/>
      <c r="AM103" s="50"/>
      <c r="AN103" s="50"/>
      <c r="AO103" s="50"/>
      <c r="AP103" s="50"/>
      <c r="AQ103" s="50"/>
      <c r="AR103" s="50"/>
      <c r="AS103" s="50"/>
      <c r="AT103" s="50"/>
      <c r="AU103" s="50"/>
      <c r="AV103" s="50"/>
      <c r="AW103" s="50"/>
      <c r="AX103" s="50"/>
      <c r="AY103" s="50"/>
      <c r="AZ103" s="50"/>
      <c r="BA103" s="50"/>
      <c r="BB103" s="50"/>
      <c r="BC103" s="50"/>
      <c r="BD103" s="50"/>
      <c r="BE103" s="50"/>
      <c r="BF103" s="50"/>
      <c r="BG103" s="50"/>
      <c r="BH103" s="50"/>
      <c r="BI103" s="50"/>
      <c r="BJ103" s="50"/>
      <c r="BK103" s="50"/>
      <c r="BL103" s="50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1"/>
    </row>
    <row r="104" spans="1:78" x14ac:dyDescent="0.2">
      <c r="A104" s="48"/>
      <c r="B104" s="44"/>
      <c r="C104" s="82"/>
      <c r="D104" s="82"/>
      <c r="E104" s="84"/>
      <c r="F104" s="45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  <c r="BC104" s="46"/>
      <c r="BD104" s="46"/>
      <c r="BE104" s="46"/>
      <c r="BF104" s="46"/>
      <c r="BG104" s="46"/>
      <c r="BH104" s="46"/>
      <c r="BI104" s="46"/>
      <c r="BJ104" s="46"/>
      <c r="BK104" s="46"/>
      <c r="BL104" s="46"/>
      <c r="BM104" s="46"/>
      <c r="BN104" s="46"/>
      <c r="BO104" s="46"/>
      <c r="BP104" s="46"/>
      <c r="BQ104" s="46"/>
      <c r="BR104" s="46"/>
      <c r="BS104" s="46"/>
      <c r="BT104" s="46"/>
      <c r="BU104" s="46"/>
      <c r="BV104" s="46"/>
      <c r="BW104" s="46"/>
      <c r="BX104" s="46"/>
      <c r="BY104" s="46"/>
      <c r="BZ104" s="47"/>
    </row>
    <row r="105" spans="1:78" x14ac:dyDescent="0.2">
      <c r="A105" s="52"/>
      <c r="B105" s="44"/>
      <c r="C105" s="82"/>
      <c r="D105" s="82"/>
      <c r="E105" s="61"/>
      <c r="F105" s="49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  <c r="AB105" s="50"/>
      <c r="AC105" s="50"/>
      <c r="AD105" s="50"/>
      <c r="AE105" s="50"/>
      <c r="AF105" s="50"/>
      <c r="AG105" s="50"/>
      <c r="AH105" s="50"/>
      <c r="AI105" s="50"/>
      <c r="AJ105" s="50"/>
      <c r="AK105" s="50"/>
      <c r="AL105" s="50"/>
      <c r="AM105" s="50"/>
      <c r="AN105" s="50"/>
      <c r="AO105" s="50"/>
      <c r="AP105" s="50"/>
      <c r="AQ105" s="50"/>
      <c r="AR105" s="50"/>
      <c r="AS105" s="50"/>
      <c r="AT105" s="50"/>
      <c r="AU105" s="50"/>
      <c r="AV105" s="50"/>
      <c r="AW105" s="50"/>
      <c r="AX105" s="50"/>
      <c r="AY105" s="50"/>
      <c r="AZ105" s="50"/>
      <c r="BA105" s="50"/>
      <c r="BB105" s="50"/>
      <c r="BC105" s="50"/>
      <c r="BD105" s="50"/>
      <c r="BE105" s="50"/>
      <c r="BF105" s="50"/>
      <c r="BG105" s="50"/>
      <c r="BH105" s="50"/>
      <c r="BI105" s="50"/>
      <c r="BJ105" s="50"/>
      <c r="BK105" s="50"/>
      <c r="BL105" s="50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1"/>
    </row>
    <row r="106" spans="1:78" x14ac:dyDescent="0.2">
      <c r="A106" s="89"/>
      <c r="B106" s="44"/>
      <c r="C106" s="82"/>
      <c r="D106" s="82"/>
      <c r="E106" s="61"/>
      <c r="F106" s="49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1"/>
    </row>
    <row r="107" spans="1:78" x14ac:dyDescent="0.2">
      <c r="A107" s="63"/>
      <c r="B107" s="44"/>
      <c r="C107" s="82"/>
      <c r="D107" s="82"/>
      <c r="E107" s="61"/>
      <c r="F107" s="49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1"/>
    </row>
    <row r="108" spans="1:78" x14ac:dyDescent="0.2">
      <c r="A108" s="63"/>
      <c r="B108" s="44"/>
      <c r="C108" s="82"/>
      <c r="D108" s="82"/>
      <c r="E108" s="61"/>
      <c r="F108" s="49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1"/>
    </row>
    <row r="109" spans="1:78" x14ac:dyDescent="0.2">
      <c r="A109" s="63"/>
      <c r="B109" s="44"/>
      <c r="C109" s="82"/>
      <c r="D109" s="82"/>
      <c r="E109" s="61"/>
      <c r="F109" s="49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1"/>
    </row>
    <row r="110" spans="1:78" x14ac:dyDescent="0.2">
      <c r="A110" s="48"/>
      <c r="B110" s="44"/>
      <c r="C110" s="82"/>
      <c r="D110" s="82"/>
      <c r="E110" s="61"/>
      <c r="F110" s="49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  <c r="AB110" s="50"/>
      <c r="AC110" s="50"/>
      <c r="AD110" s="50"/>
      <c r="AE110" s="50"/>
      <c r="AF110" s="50"/>
      <c r="AG110" s="50"/>
      <c r="AH110" s="50"/>
      <c r="AI110" s="50"/>
      <c r="AJ110" s="50"/>
      <c r="AK110" s="50"/>
      <c r="AL110" s="50"/>
      <c r="AM110" s="50"/>
      <c r="AN110" s="50"/>
      <c r="AO110" s="50"/>
      <c r="AP110" s="50"/>
      <c r="AQ110" s="50"/>
      <c r="AR110" s="50"/>
      <c r="AS110" s="50"/>
      <c r="AT110" s="50"/>
      <c r="AU110" s="50"/>
      <c r="AV110" s="50"/>
      <c r="AW110" s="50"/>
      <c r="AX110" s="50"/>
      <c r="AY110" s="50"/>
      <c r="AZ110" s="50"/>
      <c r="BA110" s="50"/>
      <c r="BB110" s="50"/>
      <c r="BC110" s="50"/>
      <c r="BD110" s="50"/>
      <c r="BE110" s="50"/>
      <c r="BF110" s="50"/>
      <c r="BG110" s="50"/>
      <c r="BH110" s="50"/>
      <c r="BI110" s="50"/>
      <c r="BJ110" s="50"/>
      <c r="BK110" s="50"/>
      <c r="BL110" s="50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1"/>
    </row>
    <row r="111" spans="1:78" x14ac:dyDescent="0.2">
      <c r="A111" s="48"/>
      <c r="B111" s="44"/>
      <c r="C111" s="82"/>
      <c r="D111" s="82"/>
      <c r="E111" s="61"/>
      <c r="F111" s="49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  <c r="AB111" s="50"/>
      <c r="AC111" s="50"/>
      <c r="AD111" s="50"/>
      <c r="AE111" s="50"/>
      <c r="AF111" s="50"/>
      <c r="AG111" s="50"/>
      <c r="AH111" s="50"/>
      <c r="AI111" s="50"/>
      <c r="AJ111" s="50"/>
      <c r="AK111" s="50"/>
      <c r="AL111" s="50"/>
      <c r="AM111" s="50"/>
      <c r="AN111" s="50"/>
      <c r="AO111" s="50"/>
      <c r="AP111" s="50"/>
      <c r="AQ111" s="50"/>
      <c r="AR111" s="50"/>
      <c r="AS111" s="50"/>
      <c r="AT111" s="50"/>
      <c r="AU111" s="50"/>
      <c r="AV111" s="50"/>
      <c r="AW111" s="50"/>
      <c r="AX111" s="50"/>
      <c r="AY111" s="50"/>
      <c r="AZ111" s="50"/>
      <c r="BA111" s="50"/>
      <c r="BB111" s="50"/>
      <c r="BC111" s="50"/>
      <c r="BD111" s="50"/>
      <c r="BE111" s="50"/>
      <c r="BF111" s="50"/>
      <c r="BG111" s="50"/>
      <c r="BH111" s="50"/>
      <c r="BI111" s="50"/>
      <c r="BJ111" s="50"/>
      <c r="BK111" s="50"/>
      <c r="BL111" s="50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1"/>
    </row>
    <row r="112" spans="1:78" x14ac:dyDescent="0.2">
      <c r="A112" s="52"/>
      <c r="B112" s="44"/>
      <c r="C112" s="82"/>
      <c r="D112" s="82"/>
      <c r="E112" s="61"/>
      <c r="F112" s="49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  <c r="AB112" s="50"/>
      <c r="AC112" s="50"/>
      <c r="AD112" s="50"/>
      <c r="AE112" s="50"/>
      <c r="AF112" s="50"/>
      <c r="AG112" s="50"/>
      <c r="AH112" s="50"/>
      <c r="AI112" s="50"/>
      <c r="AJ112" s="50"/>
      <c r="AK112" s="50"/>
      <c r="AL112" s="50"/>
      <c r="AM112" s="50"/>
      <c r="AN112" s="50"/>
      <c r="AO112" s="50"/>
      <c r="AP112" s="50"/>
      <c r="AQ112" s="50"/>
      <c r="AR112" s="50"/>
      <c r="AS112" s="50"/>
      <c r="AT112" s="50"/>
      <c r="AU112" s="50"/>
      <c r="AV112" s="50"/>
      <c r="AW112" s="50"/>
      <c r="AX112" s="50"/>
      <c r="AY112" s="50"/>
      <c r="AZ112" s="50"/>
      <c r="BA112" s="50"/>
      <c r="BB112" s="50"/>
      <c r="BC112" s="50"/>
      <c r="BD112" s="50"/>
      <c r="BE112" s="50"/>
      <c r="BF112" s="50"/>
      <c r="BG112" s="50"/>
      <c r="BH112" s="50"/>
      <c r="BI112" s="50"/>
      <c r="BJ112" s="50"/>
      <c r="BK112" s="50"/>
      <c r="BL112" s="50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1"/>
    </row>
    <row r="113" spans="1:78" x14ac:dyDescent="0.2">
      <c r="A113" s="52"/>
      <c r="B113" s="44"/>
      <c r="C113" s="82"/>
      <c r="D113" s="82"/>
      <c r="E113" s="61"/>
      <c r="F113" s="49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  <c r="AB113" s="50"/>
      <c r="AC113" s="50"/>
      <c r="AD113" s="50"/>
      <c r="AE113" s="50"/>
      <c r="AF113" s="50"/>
      <c r="AG113" s="50"/>
      <c r="AH113" s="50"/>
      <c r="AI113" s="50"/>
      <c r="AJ113" s="50"/>
      <c r="AK113" s="50"/>
      <c r="AL113" s="50"/>
      <c r="AM113" s="50"/>
      <c r="AN113" s="50"/>
      <c r="AO113" s="50"/>
      <c r="AP113" s="50"/>
      <c r="AQ113" s="50"/>
      <c r="AR113" s="50"/>
      <c r="AS113" s="50"/>
      <c r="AT113" s="50"/>
      <c r="AU113" s="50"/>
      <c r="AV113" s="50"/>
      <c r="AW113" s="50"/>
      <c r="AX113" s="50"/>
      <c r="AY113" s="50"/>
      <c r="AZ113" s="50"/>
      <c r="BA113" s="50"/>
      <c r="BB113" s="50"/>
      <c r="BC113" s="50"/>
      <c r="BD113" s="50"/>
      <c r="BE113" s="50"/>
      <c r="BF113" s="50"/>
      <c r="BG113" s="50"/>
      <c r="BH113" s="50"/>
      <c r="BI113" s="50"/>
      <c r="BJ113" s="50"/>
      <c r="BK113" s="50"/>
      <c r="BL113" s="50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1"/>
    </row>
    <row r="114" spans="1:78" x14ac:dyDescent="0.2">
      <c r="A114" s="52"/>
      <c r="B114" s="44"/>
      <c r="C114" s="82"/>
      <c r="D114" s="82"/>
      <c r="E114" s="61"/>
      <c r="F114" s="49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  <c r="AB114" s="50"/>
      <c r="AC114" s="50"/>
      <c r="AD114" s="50"/>
      <c r="AE114" s="50"/>
      <c r="AF114" s="50"/>
      <c r="AG114" s="50"/>
      <c r="AH114" s="50"/>
      <c r="AI114" s="50"/>
      <c r="AJ114" s="50"/>
      <c r="AK114" s="50"/>
      <c r="AL114" s="50"/>
      <c r="AM114" s="50"/>
      <c r="AN114" s="50"/>
      <c r="AO114" s="50"/>
      <c r="AP114" s="50"/>
      <c r="AQ114" s="50"/>
      <c r="AR114" s="50"/>
      <c r="AS114" s="50"/>
      <c r="AT114" s="50"/>
      <c r="AU114" s="50"/>
      <c r="AV114" s="50"/>
      <c r="AW114" s="50"/>
      <c r="AX114" s="50"/>
      <c r="AY114" s="50"/>
      <c r="AZ114" s="50"/>
      <c r="BA114" s="50"/>
      <c r="BB114" s="50"/>
      <c r="BC114" s="50"/>
      <c r="BD114" s="50"/>
      <c r="BE114" s="50"/>
      <c r="BF114" s="50"/>
      <c r="BG114" s="50"/>
      <c r="BH114" s="50"/>
      <c r="BI114" s="50"/>
      <c r="BJ114" s="50"/>
      <c r="BK114" s="50"/>
      <c r="BL114" s="50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1"/>
    </row>
    <row r="115" spans="1:78" x14ac:dyDescent="0.2">
      <c r="A115" s="52"/>
      <c r="B115" s="44"/>
      <c r="C115" s="82"/>
      <c r="D115" s="82"/>
      <c r="E115" s="61"/>
      <c r="F115" s="49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  <c r="AB115" s="50"/>
      <c r="AC115" s="50"/>
      <c r="AD115" s="50"/>
      <c r="AE115" s="50"/>
      <c r="AF115" s="50"/>
      <c r="AG115" s="50"/>
      <c r="AH115" s="50"/>
      <c r="AI115" s="50"/>
      <c r="AJ115" s="50"/>
      <c r="AK115" s="50"/>
      <c r="AL115" s="50"/>
      <c r="AM115" s="50"/>
      <c r="AN115" s="50"/>
      <c r="AO115" s="50"/>
      <c r="AP115" s="50"/>
      <c r="AQ115" s="50"/>
      <c r="AR115" s="50"/>
      <c r="AS115" s="50"/>
      <c r="AT115" s="50"/>
      <c r="AU115" s="50"/>
      <c r="AV115" s="50"/>
      <c r="AW115" s="50"/>
      <c r="AX115" s="50"/>
      <c r="AY115" s="50"/>
      <c r="AZ115" s="50"/>
      <c r="BA115" s="50"/>
      <c r="BB115" s="50"/>
      <c r="BC115" s="50"/>
      <c r="BD115" s="50"/>
      <c r="BE115" s="50"/>
      <c r="BF115" s="50"/>
      <c r="BG115" s="50"/>
      <c r="BH115" s="50"/>
      <c r="BI115" s="50"/>
      <c r="BJ115" s="50"/>
      <c r="BK115" s="50"/>
      <c r="BL115" s="50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1"/>
    </row>
    <row r="116" spans="1:78" x14ac:dyDescent="0.2">
      <c r="A116" s="52"/>
      <c r="B116" s="44"/>
      <c r="C116" s="82"/>
      <c r="D116" s="82"/>
      <c r="E116" s="61"/>
      <c r="F116" s="49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  <c r="AB116" s="50"/>
      <c r="AC116" s="50"/>
      <c r="AD116" s="50"/>
      <c r="AE116" s="50"/>
      <c r="AF116" s="50"/>
      <c r="AG116" s="50"/>
      <c r="AH116" s="50"/>
      <c r="AI116" s="50"/>
      <c r="AJ116" s="50"/>
      <c r="AK116" s="50"/>
      <c r="AL116" s="50"/>
      <c r="AM116" s="50"/>
      <c r="AN116" s="50"/>
      <c r="AO116" s="50"/>
      <c r="AP116" s="50"/>
      <c r="AQ116" s="50"/>
      <c r="AR116" s="50"/>
      <c r="AS116" s="50"/>
      <c r="AT116" s="50"/>
      <c r="AU116" s="50"/>
      <c r="AV116" s="50"/>
      <c r="AW116" s="50"/>
      <c r="AX116" s="50"/>
      <c r="AY116" s="50"/>
      <c r="AZ116" s="50"/>
      <c r="BA116" s="50"/>
      <c r="BB116" s="50"/>
      <c r="BC116" s="50"/>
      <c r="BD116" s="50"/>
      <c r="BE116" s="50"/>
      <c r="BF116" s="50"/>
      <c r="BG116" s="50"/>
      <c r="BH116" s="50"/>
      <c r="BI116" s="50"/>
      <c r="BJ116" s="50"/>
      <c r="BK116" s="50"/>
      <c r="BL116" s="50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1"/>
    </row>
    <row r="117" spans="1:78" x14ac:dyDescent="0.2">
      <c r="A117" s="52"/>
      <c r="B117" s="44"/>
      <c r="C117" s="82"/>
      <c r="D117" s="82"/>
      <c r="E117" s="61"/>
      <c r="F117" s="49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  <c r="AB117" s="50"/>
      <c r="AC117" s="50"/>
      <c r="AD117" s="50"/>
      <c r="AE117" s="50"/>
      <c r="AF117" s="50"/>
      <c r="AG117" s="50"/>
      <c r="AH117" s="50"/>
      <c r="AI117" s="50"/>
      <c r="AJ117" s="50"/>
      <c r="AK117" s="50"/>
      <c r="AL117" s="50"/>
      <c r="AM117" s="50"/>
      <c r="AN117" s="50"/>
      <c r="AO117" s="50"/>
      <c r="AP117" s="50"/>
      <c r="AQ117" s="50"/>
      <c r="AR117" s="50"/>
      <c r="AS117" s="50"/>
      <c r="AT117" s="50"/>
      <c r="AU117" s="50"/>
      <c r="AV117" s="50"/>
      <c r="AW117" s="50"/>
      <c r="AX117" s="50"/>
      <c r="AY117" s="50"/>
      <c r="AZ117" s="50"/>
      <c r="BA117" s="50"/>
      <c r="BB117" s="50"/>
      <c r="BC117" s="50"/>
      <c r="BD117" s="50"/>
      <c r="BE117" s="50"/>
      <c r="BF117" s="50"/>
      <c r="BG117" s="50"/>
      <c r="BH117" s="50"/>
      <c r="BI117" s="50"/>
      <c r="BJ117" s="50"/>
      <c r="BK117" s="50"/>
      <c r="BL117" s="50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1"/>
    </row>
    <row r="118" spans="1:78" x14ac:dyDescent="0.2">
      <c r="A118" s="52"/>
      <c r="B118" s="44"/>
      <c r="C118" s="82"/>
      <c r="D118" s="82"/>
      <c r="E118" s="61"/>
      <c r="F118" s="49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  <c r="AB118" s="50"/>
      <c r="AC118" s="50"/>
      <c r="AD118" s="50"/>
      <c r="AE118" s="50"/>
      <c r="AF118" s="50"/>
      <c r="AG118" s="50"/>
      <c r="AH118" s="50"/>
      <c r="AI118" s="50"/>
      <c r="AJ118" s="50"/>
      <c r="AK118" s="50"/>
      <c r="AL118" s="50"/>
      <c r="AM118" s="50"/>
      <c r="AN118" s="50"/>
      <c r="AO118" s="50"/>
      <c r="AP118" s="50"/>
      <c r="AQ118" s="50"/>
      <c r="AR118" s="50"/>
      <c r="AS118" s="50"/>
      <c r="AT118" s="50"/>
      <c r="AU118" s="50"/>
      <c r="AV118" s="50"/>
      <c r="AW118" s="50"/>
      <c r="AX118" s="50"/>
      <c r="AY118" s="50"/>
      <c r="AZ118" s="50"/>
      <c r="BA118" s="50"/>
      <c r="BB118" s="50"/>
      <c r="BC118" s="50"/>
      <c r="BD118" s="50"/>
      <c r="BE118" s="50"/>
      <c r="BF118" s="50"/>
      <c r="BG118" s="50"/>
      <c r="BH118" s="50"/>
      <c r="BI118" s="50"/>
      <c r="BJ118" s="50"/>
      <c r="BK118" s="50"/>
      <c r="BL118" s="50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1"/>
    </row>
    <row r="119" spans="1:78" x14ac:dyDescent="0.2">
      <c r="A119" s="52"/>
      <c r="B119" s="44"/>
      <c r="C119" s="82"/>
      <c r="D119" s="82"/>
      <c r="E119" s="61"/>
      <c r="F119" s="49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  <c r="AB119" s="50"/>
      <c r="AC119" s="50"/>
      <c r="AD119" s="50"/>
      <c r="AE119" s="50"/>
      <c r="AF119" s="50"/>
      <c r="AG119" s="50"/>
      <c r="AH119" s="50"/>
      <c r="AI119" s="50"/>
      <c r="AJ119" s="50"/>
      <c r="AK119" s="50"/>
      <c r="AL119" s="50"/>
      <c r="AM119" s="50"/>
      <c r="AN119" s="50"/>
      <c r="AO119" s="50"/>
      <c r="AP119" s="50"/>
      <c r="AQ119" s="50"/>
      <c r="AR119" s="50"/>
      <c r="AS119" s="50"/>
      <c r="AT119" s="50"/>
      <c r="AU119" s="50"/>
      <c r="AV119" s="50"/>
      <c r="AW119" s="50"/>
      <c r="AX119" s="50"/>
      <c r="AY119" s="50"/>
      <c r="AZ119" s="50"/>
      <c r="BA119" s="50"/>
      <c r="BB119" s="50"/>
      <c r="BC119" s="50"/>
      <c r="BD119" s="50"/>
      <c r="BE119" s="50"/>
      <c r="BF119" s="50"/>
      <c r="BG119" s="50"/>
      <c r="BH119" s="50"/>
      <c r="BI119" s="50"/>
      <c r="BJ119" s="50"/>
      <c r="BK119" s="50"/>
      <c r="BL119" s="50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1"/>
    </row>
    <row r="120" spans="1:78" x14ac:dyDescent="0.2">
      <c r="A120" s="52"/>
      <c r="B120" s="44"/>
      <c r="C120" s="82"/>
      <c r="D120" s="82"/>
      <c r="E120" s="61"/>
      <c r="F120" s="49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  <c r="AB120" s="50"/>
      <c r="AC120" s="50"/>
      <c r="AD120" s="50"/>
      <c r="AE120" s="50"/>
      <c r="AF120" s="50"/>
      <c r="AG120" s="50"/>
      <c r="AH120" s="50"/>
      <c r="AI120" s="50"/>
      <c r="AJ120" s="50"/>
      <c r="AK120" s="50"/>
      <c r="AL120" s="50"/>
      <c r="AM120" s="50"/>
      <c r="AN120" s="50"/>
      <c r="AO120" s="50"/>
      <c r="AP120" s="50"/>
      <c r="AQ120" s="50"/>
      <c r="AR120" s="50"/>
      <c r="AS120" s="50"/>
      <c r="AT120" s="50"/>
      <c r="AU120" s="50"/>
      <c r="AV120" s="50"/>
      <c r="AW120" s="50"/>
      <c r="AX120" s="50"/>
      <c r="AY120" s="50"/>
      <c r="AZ120" s="50"/>
      <c r="BA120" s="50"/>
      <c r="BB120" s="50"/>
      <c r="BC120" s="50"/>
      <c r="BD120" s="50"/>
      <c r="BE120" s="50"/>
      <c r="BF120" s="50"/>
      <c r="BG120" s="50"/>
      <c r="BH120" s="50"/>
      <c r="BI120" s="50"/>
      <c r="BJ120" s="50"/>
      <c r="BK120" s="50"/>
      <c r="BL120" s="50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1"/>
    </row>
    <row r="121" spans="1:78" x14ac:dyDescent="0.2">
      <c r="A121" s="52"/>
      <c r="B121" s="44"/>
      <c r="C121" s="82"/>
      <c r="D121" s="82"/>
      <c r="E121" s="61"/>
      <c r="F121" s="49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  <c r="AB121" s="50"/>
      <c r="AC121" s="50"/>
      <c r="AD121" s="50"/>
      <c r="AE121" s="50"/>
      <c r="AF121" s="50"/>
      <c r="AG121" s="50"/>
      <c r="AH121" s="50"/>
      <c r="AI121" s="50"/>
      <c r="AJ121" s="50"/>
      <c r="AK121" s="50"/>
      <c r="AL121" s="50"/>
      <c r="AM121" s="50"/>
      <c r="AN121" s="50"/>
      <c r="AO121" s="50"/>
      <c r="AP121" s="50"/>
      <c r="AQ121" s="50"/>
      <c r="AR121" s="50"/>
      <c r="AS121" s="50"/>
      <c r="AT121" s="50"/>
      <c r="AU121" s="50"/>
      <c r="AV121" s="50"/>
      <c r="AW121" s="50"/>
      <c r="AX121" s="50"/>
      <c r="AY121" s="50"/>
      <c r="AZ121" s="50"/>
      <c r="BA121" s="50"/>
      <c r="BB121" s="50"/>
      <c r="BC121" s="50"/>
      <c r="BD121" s="50"/>
      <c r="BE121" s="50"/>
      <c r="BF121" s="50"/>
      <c r="BG121" s="50"/>
      <c r="BH121" s="50"/>
      <c r="BI121" s="50"/>
      <c r="BJ121" s="50"/>
      <c r="BK121" s="50"/>
      <c r="BL121" s="50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1"/>
    </row>
    <row r="122" spans="1:78" x14ac:dyDescent="0.2">
      <c r="A122" s="52"/>
      <c r="B122" s="44"/>
      <c r="C122" s="82"/>
      <c r="D122" s="82"/>
      <c r="E122" s="61"/>
      <c r="F122" s="49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  <c r="AB122" s="50"/>
      <c r="AC122" s="50"/>
      <c r="AD122" s="50"/>
      <c r="AE122" s="50"/>
      <c r="AF122" s="50"/>
      <c r="AG122" s="50"/>
      <c r="AH122" s="50"/>
      <c r="AI122" s="50"/>
      <c r="AJ122" s="50"/>
      <c r="AK122" s="50"/>
      <c r="AL122" s="50"/>
      <c r="AM122" s="50"/>
      <c r="AN122" s="50"/>
      <c r="AO122" s="50"/>
      <c r="AP122" s="50"/>
      <c r="AQ122" s="50"/>
      <c r="AR122" s="50"/>
      <c r="AS122" s="50"/>
      <c r="AT122" s="50"/>
      <c r="AU122" s="50"/>
      <c r="AV122" s="50"/>
      <c r="AW122" s="50"/>
      <c r="AX122" s="50"/>
      <c r="AY122" s="50"/>
      <c r="AZ122" s="50"/>
      <c r="BA122" s="50"/>
      <c r="BB122" s="50"/>
      <c r="BC122" s="50"/>
      <c r="BD122" s="50"/>
      <c r="BE122" s="50"/>
      <c r="BF122" s="50"/>
      <c r="BG122" s="50"/>
      <c r="BH122" s="50"/>
      <c r="BI122" s="50"/>
      <c r="BJ122" s="50"/>
      <c r="BK122" s="50"/>
      <c r="BL122" s="50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1"/>
    </row>
    <row r="123" spans="1:78" x14ac:dyDescent="0.2">
      <c r="A123" s="48"/>
      <c r="B123" s="44"/>
      <c r="C123" s="82"/>
      <c r="D123" s="82"/>
      <c r="E123" s="61"/>
      <c r="F123" s="49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  <c r="AB123" s="50"/>
      <c r="AC123" s="50"/>
      <c r="AD123" s="50"/>
      <c r="AE123" s="50"/>
      <c r="AF123" s="50"/>
      <c r="AG123" s="50"/>
      <c r="AH123" s="50"/>
      <c r="AI123" s="50"/>
      <c r="AJ123" s="50"/>
      <c r="AK123" s="50"/>
      <c r="AL123" s="50"/>
      <c r="AM123" s="50"/>
      <c r="AN123" s="50"/>
      <c r="AO123" s="50"/>
      <c r="AP123" s="50"/>
      <c r="AQ123" s="50"/>
      <c r="AR123" s="50"/>
      <c r="AS123" s="50"/>
      <c r="AT123" s="50"/>
      <c r="AU123" s="50"/>
      <c r="AV123" s="50"/>
      <c r="AW123" s="50"/>
      <c r="AX123" s="50"/>
      <c r="AY123" s="50"/>
      <c r="AZ123" s="50"/>
      <c r="BA123" s="50"/>
      <c r="BB123" s="50"/>
      <c r="BC123" s="50"/>
      <c r="BD123" s="50"/>
      <c r="BE123" s="50"/>
      <c r="BF123" s="50"/>
      <c r="BG123" s="50"/>
      <c r="BH123" s="50"/>
      <c r="BI123" s="50"/>
      <c r="BJ123" s="50"/>
      <c r="BK123" s="50"/>
      <c r="BL123" s="50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1"/>
    </row>
    <row r="124" spans="1:78" x14ac:dyDescent="0.2">
      <c r="A124" s="48"/>
      <c r="B124" s="44"/>
      <c r="C124" s="82"/>
      <c r="D124" s="82"/>
      <c r="E124" s="61"/>
      <c r="F124" s="49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  <c r="AB124" s="50"/>
      <c r="AC124" s="50"/>
      <c r="AD124" s="50"/>
      <c r="AE124" s="50"/>
      <c r="AF124" s="50"/>
      <c r="AG124" s="50"/>
      <c r="AH124" s="50"/>
      <c r="AI124" s="50"/>
      <c r="AJ124" s="50"/>
      <c r="AK124" s="50"/>
      <c r="AL124" s="50"/>
      <c r="AM124" s="50"/>
      <c r="AN124" s="50"/>
      <c r="AO124" s="50"/>
      <c r="AP124" s="50"/>
      <c r="AQ124" s="50"/>
      <c r="AR124" s="50"/>
      <c r="AS124" s="50"/>
      <c r="AT124" s="50"/>
      <c r="AU124" s="50"/>
      <c r="AV124" s="50"/>
      <c r="AW124" s="50"/>
      <c r="AX124" s="50"/>
      <c r="AY124" s="50"/>
      <c r="AZ124" s="50"/>
      <c r="BA124" s="50"/>
      <c r="BB124" s="50"/>
      <c r="BC124" s="50"/>
      <c r="BD124" s="50"/>
      <c r="BE124" s="50"/>
      <c r="BF124" s="50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1"/>
    </row>
    <row r="125" spans="1:78" x14ac:dyDescent="0.2">
      <c r="A125" s="48"/>
      <c r="B125" s="44"/>
      <c r="C125" s="82"/>
      <c r="D125" s="82"/>
      <c r="E125" s="61"/>
      <c r="F125" s="49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  <c r="AB125" s="50"/>
      <c r="AC125" s="50"/>
      <c r="AD125" s="50"/>
      <c r="AE125" s="50"/>
      <c r="AF125" s="50"/>
      <c r="AG125" s="50"/>
      <c r="AH125" s="50"/>
      <c r="AI125" s="50"/>
      <c r="AJ125" s="50"/>
      <c r="AK125" s="50"/>
      <c r="AL125" s="50"/>
      <c r="AM125" s="50"/>
      <c r="AN125" s="50"/>
      <c r="AO125" s="50"/>
      <c r="AP125" s="50"/>
      <c r="AQ125" s="50"/>
      <c r="AR125" s="50"/>
      <c r="AS125" s="50"/>
      <c r="AT125" s="50"/>
      <c r="AU125" s="50"/>
      <c r="AV125" s="50"/>
      <c r="AW125" s="50"/>
      <c r="AX125" s="50"/>
      <c r="AY125" s="50"/>
      <c r="AZ125" s="50"/>
      <c r="BA125" s="50"/>
      <c r="BB125" s="50"/>
      <c r="BC125" s="50"/>
      <c r="BD125" s="50"/>
      <c r="BE125" s="50"/>
      <c r="BF125" s="50"/>
      <c r="BG125" s="50"/>
      <c r="BH125" s="50"/>
      <c r="BI125" s="50"/>
      <c r="BJ125" s="50"/>
      <c r="BK125" s="50"/>
      <c r="BL125" s="50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1"/>
    </row>
    <row r="126" spans="1:78" x14ac:dyDescent="0.2">
      <c r="A126" s="125"/>
      <c r="B126" s="44"/>
      <c r="C126" s="82"/>
      <c r="D126" s="82"/>
      <c r="E126" s="61"/>
      <c r="F126" s="49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1"/>
    </row>
    <row r="127" spans="1:78" x14ac:dyDescent="0.2">
      <c r="A127" s="48"/>
      <c r="B127" s="53"/>
      <c r="C127" s="83"/>
      <c r="D127" s="82"/>
      <c r="E127" s="61"/>
      <c r="F127" s="49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1"/>
    </row>
    <row r="128" spans="1:78" x14ac:dyDescent="0.2">
      <c r="A128" s="48"/>
      <c r="B128" s="44"/>
      <c r="C128" s="82"/>
      <c r="D128" s="82"/>
      <c r="E128" s="61"/>
      <c r="F128" s="49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1"/>
    </row>
    <row r="129" spans="1:78" x14ac:dyDescent="0.2">
      <c r="A129" s="48"/>
      <c r="B129" s="53"/>
      <c r="C129" s="83"/>
      <c r="D129" s="82"/>
      <c r="E129" s="61"/>
      <c r="F129" s="49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1"/>
    </row>
    <row r="130" spans="1:78" x14ac:dyDescent="0.2">
      <c r="A130" s="52"/>
      <c r="B130" s="44"/>
      <c r="C130" s="82"/>
      <c r="D130" s="82"/>
      <c r="E130" s="61"/>
      <c r="F130" s="49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  <c r="AA130" s="50"/>
      <c r="AB130" s="50"/>
      <c r="AC130" s="50"/>
      <c r="AD130" s="50"/>
      <c r="AE130" s="50"/>
      <c r="AF130" s="50"/>
      <c r="AG130" s="50"/>
      <c r="AH130" s="50"/>
      <c r="AI130" s="50"/>
      <c r="AJ130" s="50"/>
      <c r="AK130" s="50"/>
      <c r="AL130" s="50"/>
      <c r="AM130" s="50"/>
      <c r="AN130" s="50"/>
      <c r="AO130" s="50"/>
      <c r="AP130" s="50"/>
      <c r="AQ130" s="50"/>
      <c r="AR130" s="50"/>
      <c r="AS130" s="50"/>
      <c r="AT130" s="50"/>
      <c r="AU130" s="50"/>
      <c r="AV130" s="50"/>
      <c r="AW130" s="50"/>
      <c r="AX130" s="50"/>
      <c r="AY130" s="50"/>
      <c r="AZ130" s="50"/>
      <c r="BA130" s="50"/>
      <c r="BB130" s="50"/>
      <c r="BC130" s="50"/>
      <c r="BD130" s="50"/>
      <c r="BE130" s="50"/>
      <c r="BF130" s="50"/>
      <c r="BG130" s="50"/>
      <c r="BH130" s="50"/>
      <c r="BI130" s="50"/>
      <c r="BJ130" s="50"/>
      <c r="BK130" s="50"/>
      <c r="BL130" s="50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1"/>
    </row>
    <row r="131" spans="1:78" x14ac:dyDescent="0.2">
      <c r="A131" s="48"/>
      <c r="B131" s="53"/>
      <c r="C131" s="83"/>
      <c r="D131" s="82"/>
      <c r="E131" s="61"/>
      <c r="F131" s="49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  <c r="AA131" s="50"/>
      <c r="AB131" s="50"/>
      <c r="AC131" s="50"/>
      <c r="AD131" s="50"/>
      <c r="AE131" s="50"/>
      <c r="AF131" s="50"/>
      <c r="AG131" s="50"/>
      <c r="AH131" s="50"/>
      <c r="AI131" s="50"/>
      <c r="AJ131" s="50"/>
      <c r="AK131" s="50"/>
      <c r="AL131" s="50"/>
      <c r="AM131" s="50"/>
      <c r="AN131" s="50"/>
      <c r="AO131" s="50"/>
      <c r="AP131" s="50"/>
      <c r="AQ131" s="50"/>
      <c r="AR131" s="50"/>
      <c r="AS131" s="50"/>
      <c r="AT131" s="50"/>
      <c r="AU131" s="50"/>
      <c r="AV131" s="50"/>
      <c r="AW131" s="50"/>
      <c r="AX131" s="50"/>
      <c r="AY131" s="50"/>
      <c r="AZ131" s="50"/>
      <c r="BA131" s="50"/>
      <c r="BB131" s="50"/>
      <c r="BC131" s="50"/>
      <c r="BD131" s="50"/>
      <c r="BE131" s="50"/>
      <c r="BF131" s="50"/>
      <c r="BG131" s="50"/>
      <c r="BH131" s="50"/>
      <c r="BI131" s="50"/>
      <c r="BJ131" s="50"/>
      <c r="BK131" s="50"/>
      <c r="BL131" s="50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1"/>
    </row>
    <row r="132" spans="1:78" x14ac:dyDescent="0.2">
      <c r="A132" s="52"/>
      <c r="B132" s="53"/>
      <c r="C132" s="83"/>
      <c r="D132" s="82"/>
      <c r="E132" s="61"/>
      <c r="F132" s="49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  <c r="AA132" s="50"/>
      <c r="AB132" s="50"/>
      <c r="AC132" s="50"/>
      <c r="AD132" s="50"/>
      <c r="AE132" s="50"/>
      <c r="AF132" s="50"/>
      <c r="AG132" s="50"/>
      <c r="AH132" s="50"/>
      <c r="AI132" s="50"/>
      <c r="AJ132" s="50"/>
      <c r="AK132" s="50"/>
      <c r="AL132" s="50"/>
      <c r="AM132" s="50"/>
      <c r="AN132" s="50"/>
      <c r="AO132" s="50"/>
      <c r="AP132" s="50"/>
      <c r="AQ132" s="50"/>
      <c r="AR132" s="50"/>
      <c r="AS132" s="50"/>
      <c r="AT132" s="50"/>
      <c r="AU132" s="50"/>
      <c r="AV132" s="50"/>
      <c r="AW132" s="50"/>
      <c r="AX132" s="50"/>
      <c r="AY132" s="50"/>
      <c r="AZ132" s="50"/>
      <c r="BA132" s="50"/>
      <c r="BB132" s="50"/>
      <c r="BC132" s="50"/>
      <c r="BD132" s="50"/>
      <c r="BE132" s="50"/>
      <c r="BF132" s="50"/>
      <c r="BG132" s="50"/>
      <c r="BH132" s="50"/>
      <c r="BI132" s="50"/>
      <c r="BJ132" s="50"/>
      <c r="BK132" s="50"/>
      <c r="BL132" s="50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1"/>
    </row>
    <row r="133" spans="1:78" x14ac:dyDescent="0.2">
      <c r="A133" s="52"/>
      <c r="B133" s="44"/>
      <c r="C133" s="82"/>
      <c r="D133" s="82"/>
      <c r="E133" s="61"/>
      <c r="F133" s="49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  <c r="AA133" s="50"/>
      <c r="AB133" s="50"/>
      <c r="AC133" s="50"/>
      <c r="AD133" s="50"/>
      <c r="AE133" s="50"/>
      <c r="AF133" s="50"/>
      <c r="AG133" s="50"/>
      <c r="AH133" s="50"/>
      <c r="AI133" s="50"/>
      <c r="AJ133" s="50"/>
      <c r="AK133" s="50"/>
      <c r="AL133" s="50"/>
      <c r="AM133" s="50"/>
      <c r="AN133" s="50"/>
      <c r="AO133" s="50"/>
      <c r="AP133" s="50"/>
      <c r="AQ133" s="50"/>
      <c r="AR133" s="50"/>
      <c r="AS133" s="50"/>
      <c r="AT133" s="50"/>
      <c r="AU133" s="50"/>
      <c r="AV133" s="50"/>
      <c r="AW133" s="50"/>
      <c r="AX133" s="50"/>
      <c r="AY133" s="50"/>
      <c r="AZ133" s="50"/>
      <c r="BA133" s="50"/>
      <c r="BB133" s="50"/>
      <c r="BC133" s="50"/>
      <c r="BD133" s="50"/>
      <c r="BE133" s="50"/>
      <c r="BF133" s="50"/>
      <c r="BG133" s="50"/>
      <c r="BH133" s="50"/>
      <c r="BI133" s="50"/>
      <c r="BJ133" s="50"/>
      <c r="BK133" s="50"/>
      <c r="BL133" s="50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1"/>
    </row>
    <row r="134" spans="1:78" x14ac:dyDescent="0.2">
      <c r="A134" s="52"/>
      <c r="B134" s="44"/>
      <c r="C134" s="82"/>
      <c r="D134" s="82"/>
      <c r="E134" s="61"/>
      <c r="F134" s="49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  <c r="AA134" s="50"/>
      <c r="AB134" s="50"/>
      <c r="AC134" s="50"/>
      <c r="AD134" s="50"/>
      <c r="AE134" s="50"/>
      <c r="AF134" s="50"/>
      <c r="AG134" s="50"/>
      <c r="AH134" s="50"/>
      <c r="AI134" s="50"/>
      <c r="AJ134" s="50"/>
      <c r="AK134" s="50"/>
      <c r="AL134" s="50"/>
      <c r="AM134" s="50"/>
      <c r="AN134" s="50"/>
      <c r="AO134" s="50"/>
      <c r="AP134" s="50"/>
      <c r="AQ134" s="50"/>
      <c r="AR134" s="50"/>
      <c r="AS134" s="50"/>
      <c r="AT134" s="50"/>
      <c r="AU134" s="50"/>
      <c r="AV134" s="50"/>
      <c r="AW134" s="50"/>
      <c r="AX134" s="50"/>
      <c r="AY134" s="50"/>
      <c r="AZ134" s="50"/>
      <c r="BA134" s="50"/>
      <c r="BB134" s="50"/>
      <c r="BC134" s="50"/>
      <c r="BD134" s="50"/>
      <c r="BE134" s="50"/>
      <c r="BF134" s="50"/>
      <c r="BG134" s="50"/>
      <c r="BH134" s="50"/>
      <c r="BI134" s="50"/>
      <c r="BJ134" s="50"/>
      <c r="BK134" s="50"/>
      <c r="BL134" s="50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1"/>
    </row>
    <row r="135" spans="1:78" x14ac:dyDescent="0.2">
      <c r="A135" s="48"/>
      <c r="B135" s="44"/>
      <c r="C135" s="82"/>
      <c r="D135" s="82"/>
      <c r="E135" s="61"/>
      <c r="F135" s="49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  <c r="AA135" s="50"/>
      <c r="AB135" s="50"/>
      <c r="AC135" s="50"/>
      <c r="AD135" s="50"/>
      <c r="AE135" s="50"/>
      <c r="AF135" s="50"/>
      <c r="AG135" s="50"/>
      <c r="AH135" s="50"/>
      <c r="AI135" s="50"/>
      <c r="AJ135" s="50"/>
      <c r="AK135" s="50"/>
      <c r="AL135" s="50"/>
      <c r="AM135" s="50"/>
      <c r="AN135" s="50"/>
      <c r="AO135" s="50"/>
      <c r="AP135" s="50"/>
      <c r="AQ135" s="50"/>
      <c r="AR135" s="50"/>
      <c r="AS135" s="50"/>
      <c r="AT135" s="50"/>
      <c r="AU135" s="50"/>
      <c r="AV135" s="50"/>
      <c r="AW135" s="50"/>
      <c r="AX135" s="50"/>
      <c r="AY135" s="50"/>
      <c r="AZ135" s="50"/>
      <c r="BA135" s="50"/>
      <c r="BB135" s="50"/>
      <c r="BC135" s="50"/>
      <c r="BD135" s="50"/>
      <c r="BE135" s="50"/>
      <c r="BF135" s="50"/>
      <c r="BG135" s="50"/>
      <c r="BH135" s="50"/>
      <c r="BI135" s="50"/>
      <c r="BJ135" s="50"/>
      <c r="BK135" s="50"/>
      <c r="BL135" s="50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1"/>
    </row>
    <row r="136" spans="1:78" x14ac:dyDescent="0.2">
      <c r="A136" s="48"/>
      <c r="B136" s="44"/>
      <c r="C136" s="82"/>
      <c r="D136" s="82"/>
      <c r="E136" s="61"/>
      <c r="F136" s="73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/>
      <c r="BQ136" s="74"/>
      <c r="BR136" s="74"/>
      <c r="BS136" s="74"/>
      <c r="BT136" s="74"/>
      <c r="BU136" s="74"/>
      <c r="BV136" s="74"/>
      <c r="BW136" s="74"/>
      <c r="BX136" s="74"/>
      <c r="BY136" s="74"/>
      <c r="BZ136" s="75"/>
    </row>
    <row r="137" spans="1:78" x14ac:dyDescent="0.2">
      <c r="A137" s="48"/>
      <c r="B137" s="44"/>
      <c r="C137" s="82"/>
      <c r="D137" s="82"/>
      <c r="E137" s="61"/>
      <c r="F137" s="73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5"/>
    </row>
    <row r="138" spans="1:78" x14ac:dyDescent="0.2">
      <c r="A138" s="48"/>
      <c r="B138" s="44"/>
      <c r="C138" s="82"/>
      <c r="D138" s="82"/>
      <c r="E138" s="61"/>
      <c r="F138" s="73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5"/>
    </row>
    <row r="139" spans="1:78" x14ac:dyDescent="0.2">
      <c r="A139" s="48"/>
      <c r="B139" s="44"/>
      <c r="C139" s="82"/>
      <c r="D139" s="82"/>
      <c r="E139" s="61"/>
      <c r="F139" s="73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5"/>
    </row>
    <row r="140" spans="1:78" x14ac:dyDescent="0.2">
      <c r="A140" s="48"/>
      <c r="B140" s="44"/>
      <c r="C140" s="82"/>
      <c r="D140" s="82"/>
      <c r="E140" s="61"/>
      <c r="F140" s="73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5"/>
    </row>
    <row r="141" spans="1:78" x14ac:dyDescent="0.2">
      <c r="A141" s="48"/>
      <c r="B141" s="44"/>
      <c r="C141" s="82"/>
      <c r="D141" s="82"/>
      <c r="E141" s="61"/>
      <c r="F141" s="73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5"/>
    </row>
    <row r="142" spans="1:78" x14ac:dyDescent="0.2">
      <c r="A142" s="48"/>
      <c r="B142" s="44"/>
      <c r="C142" s="82"/>
      <c r="D142" s="82"/>
      <c r="E142" s="61"/>
      <c r="F142" s="49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  <c r="AA142" s="50"/>
      <c r="AB142" s="50"/>
      <c r="AC142" s="50"/>
      <c r="AD142" s="50"/>
      <c r="AE142" s="50"/>
      <c r="AF142" s="50"/>
      <c r="AG142" s="50"/>
      <c r="AH142" s="50"/>
      <c r="AI142" s="50"/>
      <c r="AJ142" s="50"/>
      <c r="AK142" s="50"/>
      <c r="AL142" s="50"/>
      <c r="AM142" s="50"/>
      <c r="AN142" s="50"/>
      <c r="AO142" s="50"/>
      <c r="AP142" s="50"/>
      <c r="AQ142" s="50"/>
      <c r="AR142" s="50"/>
      <c r="AS142" s="50"/>
      <c r="AT142" s="50"/>
      <c r="AU142" s="50"/>
      <c r="AV142" s="50"/>
      <c r="AW142" s="50"/>
      <c r="AX142" s="50"/>
      <c r="AY142" s="50"/>
      <c r="AZ142" s="50"/>
      <c r="BA142" s="50"/>
      <c r="BB142" s="50"/>
      <c r="BC142" s="50"/>
      <c r="BD142" s="50"/>
      <c r="BE142" s="50"/>
      <c r="BF142" s="50"/>
      <c r="BG142" s="50"/>
      <c r="BH142" s="50"/>
      <c r="BI142" s="50"/>
      <c r="BJ142" s="50"/>
      <c r="BK142" s="50"/>
      <c r="BL142" s="50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1"/>
    </row>
    <row r="143" spans="1:78" x14ac:dyDescent="0.2">
      <c r="A143" s="48"/>
      <c r="B143" s="44"/>
      <c r="C143" s="82"/>
      <c r="D143" s="82"/>
      <c r="E143" s="61"/>
      <c r="F143" s="49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  <c r="AA143" s="50"/>
      <c r="AB143" s="50"/>
      <c r="AC143" s="50"/>
      <c r="AD143" s="50"/>
      <c r="AE143" s="50"/>
      <c r="AF143" s="50"/>
      <c r="AG143" s="50"/>
      <c r="AH143" s="50"/>
      <c r="AI143" s="50"/>
      <c r="AJ143" s="50"/>
      <c r="AK143" s="50"/>
      <c r="AL143" s="50"/>
      <c r="AM143" s="50"/>
      <c r="AN143" s="50"/>
      <c r="AO143" s="50"/>
      <c r="AP143" s="50"/>
      <c r="AQ143" s="50"/>
      <c r="AR143" s="50"/>
      <c r="AS143" s="50"/>
      <c r="AT143" s="50"/>
      <c r="AU143" s="50"/>
      <c r="AV143" s="50"/>
      <c r="AW143" s="50"/>
      <c r="AX143" s="50"/>
      <c r="AY143" s="50"/>
      <c r="AZ143" s="50"/>
      <c r="BA143" s="50"/>
      <c r="BB143" s="50"/>
      <c r="BC143" s="50"/>
      <c r="BD143" s="50"/>
      <c r="BE143" s="50"/>
      <c r="BF143" s="50"/>
      <c r="BG143" s="50"/>
      <c r="BH143" s="50"/>
      <c r="BI143" s="50"/>
      <c r="BJ143" s="50"/>
      <c r="BK143" s="50"/>
      <c r="BL143" s="50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1"/>
    </row>
    <row r="144" spans="1:78" x14ac:dyDescent="0.2">
      <c r="A144" s="48"/>
      <c r="B144" s="44"/>
      <c r="C144" s="82"/>
      <c r="D144" s="82"/>
      <c r="E144" s="61"/>
      <c r="F144" s="73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5"/>
    </row>
    <row r="145" spans="1:78" x14ac:dyDescent="0.2">
      <c r="A145" s="48"/>
      <c r="B145" s="44"/>
      <c r="C145" s="82"/>
      <c r="D145" s="82"/>
      <c r="E145" s="61"/>
      <c r="F145" s="73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5"/>
    </row>
    <row r="146" spans="1:78" x14ac:dyDescent="0.2">
      <c r="A146" s="48"/>
      <c r="B146" s="44"/>
      <c r="C146" s="82"/>
      <c r="D146" s="82"/>
      <c r="E146" s="61"/>
      <c r="F146" s="73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5"/>
    </row>
    <row r="147" spans="1:78" x14ac:dyDescent="0.2">
      <c r="A147" s="48"/>
      <c r="B147" s="44"/>
      <c r="C147" s="82"/>
      <c r="D147" s="82"/>
      <c r="E147" s="61"/>
      <c r="F147" s="73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5"/>
    </row>
    <row r="148" spans="1:78" x14ac:dyDescent="0.2">
      <c r="A148" s="48"/>
      <c r="B148" s="44"/>
      <c r="C148" s="82"/>
      <c r="D148" s="82"/>
      <c r="E148" s="61"/>
      <c r="F148" s="73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5"/>
    </row>
    <row r="149" spans="1:78" x14ac:dyDescent="0.2">
      <c r="A149" s="48"/>
      <c r="B149" s="44"/>
      <c r="C149" s="82"/>
      <c r="D149" s="82"/>
      <c r="E149" s="61"/>
      <c r="F149" s="73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5"/>
    </row>
    <row r="150" spans="1:78" x14ac:dyDescent="0.2">
      <c r="A150" s="48"/>
      <c r="B150" s="44"/>
      <c r="C150" s="82"/>
      <c r="D150" s="82"/>
      <c r="E150" s="61"/>
      <c r="F150" s="73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5"/>
    </row>
    <row r="151" spans="1:78" x14ac:dyDescent="0.2">
      <c r="A151" s="48"/>
      <c r="B151" s="44"/>
      <c r="C151" s="82"/>
      <c r="D151" s="82"/>
      <c r="E151" s="61"/>
      <c r="F151" s="73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5"/>
    </row>
    <row r="152" spans="1:78" x14ac:dyDescent="0.2">
      <c r="A152" s="48"/>
      <c r="B152" s="44"/>
      <c r="C152" s="82"/>
      <c r="D152" s="82"/>
      <c r="E152" s="61"/>
      <c r="F152" s="73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5"/>
    </row>
    <row r="153" spans="1:78" x14ac:dyDescent="0.2">
      <c r="A153" s="48"/>
      <c r="B153" s="44"/>
      <c r="C153" s="82"/>
      <c r="D153" s="82"/>
      <c r="E153" s="61"/>
      <c r="F153" s="73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5"/>
    </row>
    <row r="154" spans="1:78" x14ac:dyDescent="0.2">
      <c r="A154" s="48"/>
      <c r="B154" s="44"/>
      <c r="C154" s="82"/>
      <c r="D154" s="82"/>
      <c r="E154" s="61"/>
      <c r="F154" s="73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5"/>
    </row>
    <row r="155" spans="1:78" x14ac:dyDescent="0.2">
      <c r="A155" s="48"/>
      <c r="B155" s="44"/>
      <c r="C155" s="82"/>
      <c r="D155" s="82"/>
      <c r="E155" s="61"/>
      <c r="F155" s="73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5"/>
    </row>
    <row r="156" spans="1:78" x14ac:dyDescent="0.2">
      <c r="A156" s="48"/>
      <c r="B156" s="44"/>
      <c r="C156" s="82"/>
      <c r="D156" s="82"/>
      <c r="E156" s="61"/>
      <c r="F156" s="73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5"/>
    </row>
    <row r="157" spans="1:78" x14ac:dyDescent="0.2">
      <c r="A157" s="48"/>
      <c r="B157" s="44"/>
      <c r="C157" s="82"/>
      <c r="D157" s="82"/>
      <c r="E157" s="61"/>
      <c r="F157" s="73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5"/>
    </row>
    <row r="158" spans="1:78" x14ac:dyDescent="0.2">
      <c r="A158" s="48"/>
      <c r="B158" s="44"/>
      <c r="C158" s="82"/>
      <c r="D158" s="82"/>
      <c r="E158" s="61"/>
      <c r="F158" s="73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5"/>
    </row>
    <row r="159" spans="1:78" x14ac:dyDescent="0.2">
      <c r="A159" s="48"/>
      <c r="B159" s="44"/>
      <c r="C159" s="82"/>
      <c r="D159" s="82"/>
      <c r="E159" s="61"/>
      <c r="F159" s="73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5"/>
    </row>
    <row r="160" spans="1:78" x14ac:dyDescent="0.2">
      <c r="A160" s="48"/>
      <c r="B160" s="44"/>
      <c r="C160" s="82"/>
      <c r="D160" s="82"/>
      <c r="E160" s="61"/>
      <c r="F160" s="73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5"/>
    </row>
    <row r="161" spans="1:78" x14ac:dyDescent="0.2">
      <c r="A161" s="48"/>
      <c r="B161" s="44"/>
      <c r="C161" s="82"/>
      <c r="D161" s="82"/>
      <c r="E161" s="61"/>
      <c r="F161" s="73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5"/>
    </row>
    <row r="162" spans="1:78" x14ac:dyDescent="0.2">
      <c r="A162" s="48"/>
      <c r="B162" s="44"/>
      <c r="C162" s="82"/>
      <c r="D162" s="82"/>
      <c r="E162" s="61"/>
      <c r="F162" s="73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5"/>
    </row>
    <row r="163" spans="1:78" x14ac:dyDescent="0.2">
      <c r="A163" s="48"/>
      <c r="B163" s="44"/>
      <c r="C163" s="82"/>
      <c r="D163" s="82"/>
      <c r="E163" s="61"/>
      <c r="F163" s="73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5"/>
    </row>
    <row r="164" spans="1:78" x14ac:dyDescent="0.2">
      <c r="A164" s="48"/>
      <c r="B164" s="44"/>
      <c r="C164" s="82"/>
      <c r="D164" s="82"/>
      <c r="E164" s="61"/>
      <c r="F164" s="73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5"/>
    </row>
    <row r="165" spans="1:78" x14ac:dyDescent="0.2">
      <c r="A165" s="48"/>
      <c r="B165" s="44"/>
      <c r="C165" s="82"/>
      <c r="D165" s="82"/>
      <c r="E165" s="61"/>
      <c r="F165" s="73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5"/>
    </row>
    <row r="166" spans="1:78" x14ac:dyDescent="0.2">
      <c r="A166" s="48"/>
      <c r="B166" s="44"/>
      <c r="C166" s="82"/>
      <c r="D166" s="82"/>
      <c r="E166" s="61"/>
      <c r="F166" s="73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5"/>
    </row>
    <row r="167" spans="1:78" x14ac:dyDescent="0.2">
      <c r="A167" s="48"/>
      <c r="B167" s="44"/>
      <c r="C167" s="82"/>
      <c r="D167" s="82"/>
      <c r="E167" s="61"/>
      <c r="F167" s="73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5"/>
    </row>
    <row r="168" spans="1:78" x14ac:dyDescent="0.2">
      <c r="A168" s="48"/>
      <c r="B168" s="44"/>
      <c r="C168" s="82"/>
      <c r="D168" s="82"/>
      <c r="E168" s="61"/>
      <c r="F168" s="73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5"/>
    </row>
    <row r="169" spans="1:78" x14ac:dyDescent="0.2">
      <c r="A169" s="48"/>
      <c r="B169" s="44"/>
      <c r="C169" s="82"/>
      <c r="D169" s="82"/>
      <c r="E169" s="61"/>
      <c r="F169" s="73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5"/>
    </row>
    <row r="170" spans="1:78" x14ac:dyDescent="0.2">
      <c r="A170" s="48"/>
      <c r="B170" s="44"/>
      <c r="C170" s="82"/>
      <c r="D170" s="82"/>
      <c r="E170" s="61"/>
      <c r="F170" s="73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5"/>
    </row>
    <row r="171" spans="1:78" x14ac:dyDescent="0.2">
      <c r="A171" s="48"/>
      <c r="B171" s="44"/>
      <c r="C171" s="82"/>
      <c r="D171" s="82"/>
      <c r="E171" s="61"/>
      <c r="F171" s="73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5"/>
    </row>
    <row r="172" spans="1:78" x14ac:dyDescent="0.2">
      <c r="A172" s="48"/>
      <c r="B172" s="44"/>
      <c r="C172" s="82"/>
      <c r="D172" s="82"/>
      <c r="E172" s="61"/>
      <c r="F172" s="73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5"/>
    </row>
    <row r="173" spans="1:78" x14ac:dyDescent="0.2">
      <c r="A173" s="48"/>
      <c r="B173" s="44"/>
      <c r="C173" s="82"/>
      <c r="D173" s="82"/>
      <c r="E173" s="61"/>
      <c r="F173" s="73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5"/>
    </row>
    <row r="174" spans="1:78" x14ac:dyDescent="0.2">
      <c r="A174" s="48"/>
      <c r="B174" s="44"/>
      <c r="C174" s="82"/>
      <c r="D174" s="82"/>
      <c r="E174" s="61"/>
      <c r="F174" s="73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5"/>
    </row>
    <row r="175" spans="1:78" x14ac:dyDescent="0.2">
      <c r="A175" s="48"/>
      <c r="B175" s="44"/>
      <c r="C175" s="82"/>
      <c r="D175" s="82"/>
      <c r="E175" s="61"/>
      <c r="F175" s="73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5"/>
    </row>
    <row r="176" spans="1:78" x14ac:dyDescent="0.2">
      <c r="A176" s="48"/>
      <c r="B176" s="44"/>
      <c r="C176" s="82"/>
      <c r="D176" s="82"/>
      <c r="E176" s="61"/>
      <c r="F176" s="73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5"/>
    </row>
    <row r="177" spans="1:78" x14ac:dyDescent="0.2">
      <c r="A177" s="48"/>
      <c r="B177" s="44"/>
      <c r="C177" s="82"/>
      <c r="D177" s="82"/>
      <c r="E177" s="61"/>
      <c r="F177" s="73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5"/>
    </row>
    <row r="178" spans="1:78" x14ac:dyDescent="0.2">
      <c r="A178" s="48"/>
      <c r="B178" s="44"/>
      <c r="C178" s="82"/>
      <c r="D178" s="82"/>
      <c r="E178" s="61"/>
      <c r="F178" s="73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5"/>
    </row>
    <row r="179" spans="1:78" x14ac:dyDescent="0.2">
      <c r="A179" s="48"/>
      <c r="B179" s="44"/>
      <c r="C179" s="82"/>
      <c r="D179" s="82"/>
      <c r="E179" s="61"/>
      <c r="F179" s="73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/>
      <c r="BI179" s="74"/>
      <c r="BJ179" s="74"/>
      <c r="BK179" s="74"/>
      <c r="BL179" s="74"/>
      <c r="BM179" s="74"/>
      <c r="BN179" s="74"/>
      <c r="BO179" s="74"/>
      <c r="BP179" s="74"/>
      <c r="BQ179" s="74"/>
      <c r="BR179" s="74"/>
      <c r="BS179" s="74"/>
      <c r="BT179" s="74"/>
      <c r="BU179" s="74"/>
      <c r="BV179" s="74"/>
      <c r="BW179" s="74"/>
      <c r="BX179" s="74"/>
      <c r="BY179" s="74"/>
      <c r="BZ179" s="75"/>
    </row>
    <row r="180" spans="1:78" x14ac:dyDescent="0.2">
      <c r="A180" s="48"/>
      <c r="B180" s="44"/>
      <c r="C180" s="82"/>
      <c r="D180" s="82"/>
      <c r="E180" s="61"/>
      <c r="F180" s="73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/>
      <c r="BU180" s="74"/>
      <c r="BV180" s="74"/>
      <c r="BW180" s="74"/>
      <c r="BX180" s="74"/>
      <c r="BY180" s="74"/>
      <c r="BZ180" s="75"/>
    </row>
    <row r="181" spans="1:78" x14ac:dyDescent="0.2">
      <c r="A181" s="48"/>
      <c r="B181" s="44"/>
      <c r="C181" s="82"/>
      <c r="D181" s="82"/>
      <c r="E181" s="61"/>
      <c r="F181" s="73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/>
      <c r="BU181" s="74"/>
      <c r="BV181" s="74"/>
      <c r="BW181" s="74"/>
      <c r="BX181" s="74"/>
      <c r="BY181" s="74"/>
      <c r="BZ181" s="75"/>
    </row>
    <row r="182" spans="1:78" x14ac:dyDescent="0.2">
      <c r="A182" s="48"/>
      <c r="B182" s="44"/>
      <c r="C182" s="82"/>
      <c r="D182" s="82"/>
      <c r="E182" s="61"/>
      <c r="F182" s="73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5"/>
    </row>
    <row r="183" spans="1:78" x14ac:dyDescent="0.2">
      <c r="A183" s="48"/>
      <c r="B183" s="44"/>
      <c r="C183" s="82"/>
      <c r="D183" s="82"/>
      <c r="E183" s="61"/>
      <c r="F183" s="73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/>
      <c r="BM183" s="74"/>
      <c r="BN183" s="74"/>
      <c r="BO183" s="74"/>
      <c r="BP183" s="74"/>
      <c r="BQ183" s="74"/>
      <c r="BR183" s="74"/>
      <c r="BS183" s="74"/>
      <c r="BT183" s="74"/>
      <c r="BU183" s="74"/>
      <c r="BV183" s="74"/>
      <c r="BW183" s="74"/>
      <c r="BX183" s="74"/>
      <c r="BY183" s="74"/>
      <c r="BZ183" s="75"/>
    </row>
    <row r="184" spans="1:78" x14ac:dyDescent="0.2">
      <c r="A184" s="48"/>
      <c r="B184" s="44"/>
      <c r="C184" s="82"/>
      <c r="D184" s="82"/>
      <c r="E184" s="61"/>
      <c r="F184" s="49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  <c r="AA184" s="50"/>
      <c r="AB184" s="50"/>
      <c r="AC184" s="50"/>
      <c r="AD184" s="50"/>
      <c r="AE184" s="50"/>
      <c r="AF184" s="50"/>
      <c r="AG184" s="50"/>
      <c r="AH184" s="50"/>
      <c r="AI184" s="50"/>
      <c r="AJ184" s="50"/>
      <c r="AK184" s="50"/>
      <c r="AL184" s="50"/>
      <c r="AM184" s="50"/>
      <c r="AN184" s="50"/>
      <c r="AO184" s="50"/>
      <c r="AP184" s="50"/>
      <c r="AQ184" s="50"/>
      <c r="AR184" s="50"/>
      <c r="AS184" s="50"/>
      <c r="AT184" s="50"/>
      <c r="AU184" s="50"/>
      <c r="AV184" s="50"/>
      <c r="AW184" s="50"/>
      <c r="AX184" s="50"/>
      <c r="AY184" s="50"/>
      <c r="AZ184" s="50"/>
      <c r="BA184" s="50"/>
      <c r="BB184" s="50"/>
      <c r="BC184" s="50"/>
      <c r="BD184" s="50"/>
      <c r="BE184" s="50"/>
      <c r="BF184" s="50"/>
      <c r="BG184" s="50"/>
      <c r="BH184" s="50"/>
      <c r="BI184" s="50"/>
      <c r="BJ184" s="50"/>
      <c r="BK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1"/>
    </row>
    <row r="185" spans="1:78" x14ac:dyDescent="0.2">
      <c r="A185" s="52"/>
      <c r="B185" s="44"/>
      <c r="C185" s="82"/>
      <c r="D185" s="82"/>
      <c r="E185" s="61"/>
      <c r="F185" s="49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  <c r="AA185" s="50"/>
      <c r="AB185" s="50"/>
      <c r="AC185" s="50"/>
      <c r="AD185" s="50"/>
      <c r="AE185" s="50"/>
      <c r="AF185" s="50"/>
      <c r="AG185" s="50"/>
      <c r="AH185" s="50"/>
      <c r="AI185" s="50"/>
      <c r="AJ185" s="50"/>
      <c r="AK185" s="50"/>
      <c r="AL185" s="50"/>
      <c r="AM185" s="50"/>
      <c r="AN185" s="50"/>
      <c r="AO185" s="50"/>
      <c r="AP185" s="50"/>
      <c r="AQ185" s="50"/>
      <c r="AR185" s="50"/>
      <c r="AS185" s="50"/>
      <c r="AT185" s="50"/>
      <c r="AU185" s="50"/>
      <c r="AV185" s="50"/>
      <c r="AW185" s="50"/>
      <c r="AX185" s="50"/>
      <c r="AY185" s="50"/>
      <c r="AZ185" s="50"/>
      <c r="BA185" s="50"/>
      <c r="BB185" s="50"/>
      <c r="BC185" s="50"/>
      <c r="BD185" s="50"/>
      <c r="BE185" s="50"/>
      <c r="BF185" s="50"/>
      <c r="BG185" s="50"/>
      <c r="BH185" s="50"/>
      <c r="BI185" s="50"/>
      <c r="BJ185" s="50"/>
      <c r="BK185" s="50"/>
      <c r="BL185" s="50"/>
      <c r="BM185" s="50"/>
      <c r="BN185" s="50"/>
      <c r="BO185" s="50"/>
      <c r="BP185" s="50"/>
      <c r="BQ185" s="50"/>
      <c r="BR185" s="50"/>
      <c r="BS185" s="50"/>
      <c r="BT185" s="50"/>
      <c r="BU185" s="50"/>
      <c r="BV185" s="50"/>
      <c r="BW185" s="50"/>
      <c r="BX185" s="50"/>
      <c r="BY185" s="50"/>
      <c r="BZ185" s="51"/>
    </row>
    <row r="186" spans="1:78" x14ac:dyDescent="0.2">
      <c r="A186" s="48"/>
      <c r="B186" s="44"/>
      <c r="C186" s="82"/>
      <c r="D186" s="82"/>
      <c r="E186" s="61"/>
      <c r="F186" s="73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/>
      <c r="BE186" s="74"/>
      <c r="BF186" s="74"/>
      <c r="BG186" s="74"/>
      <c r="BH186" s="74"/>
      <c r="BI186" s="74"/>
      <c r="BJ186" s="74"/>
      <c r="BK186" s="74"/>
      <c r="BL186" s="74"/>
      <c r="BM186" s="74"/>
      <c r="BN186" s="74"/>
      <c r="BO186" s="74"/>
      <c r="BP186" s="74"/>
      <c r="BQ186" s="74"/>
      <c r="BR186" s="74"/>
      <c r="BS186" s="74"/>
      <c r="BT186" s="74"/>
      <c r="BU186" s="74"/>
      <c r="BV186" s="74"/>
      <c r="BW186" s="74"/>
      <c r="BX186" s="74"/>
      <c r="BY186" s="74"/>
      <c r="BZ186" s="75"/>
    </row>
    <row r="187" spans="1:78" x14ac:dyDescent="0.2">
      <c r="A187" s="48"/>
      <c r="B187" s="44"/>
      <c r="C187" s="82"/>
      <c r="D187" s="82"/>
      <c r="E187" s="61"/>
      <c r="F187" s="73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  <c r="BD187" s="74"/>
      <c r="BE187" s="74"/>
      <c r="BF187" s="74"/>
      <c r="BG187" s="74"/>
      <c r="BH187" s="74"/>
      <c r="BI187" s="74"/>
      <c r="BJ187" s="74"/>
      <c r="BK187" s="74"/>
      <c r="BL187" s="74"/>
      <c r="BM187" s="74"/>
      <c r="BN187" s="74"/>
      <c r="BO187" s="74"/>
      <c r="BP187" s="74"/>
      <c r="BQ187" s="74"/>
      <c r="BR187" s="74"/>
      <c r="BS187" s="74"/>
      <c r="BT187" s="74"/>
      <c r="BU187" s="74"/>
      <c r="BV187" s="74"/>
      <c r="BW187" s="74"/>
      <c r="BX187" s="74"/>
      <c r="BY187" s="74"/>
      <c r="BZ187" s="75"/>
    </row>
    <row r="188" spans="1:78" x14ac:dyDescent="0.2">
      <c r="A188" s="48"/>
      <c r="B188" s="44"/>
      <c r="C188" s="82"/>
      <c r="D188" s="82"/>
      <c r="E188" s="61"/>
      <c r="F188" s="49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  <c r="AK188" s="50"/>
      <c r="AL188" s="50"/>
      <c r="AM188" s="50"/>
      <c r="AN188" s="50"/>
      <c r="AO188" s="50"/>
      <c r="AP188" s="50"/>
      <c r="AQ188" s="50"/>
      <c r="AR188" s="50"/>
      <c r="AS188" s="50"/>
      <c r="AT188" s="50"/>
      <c r="AU188" s="50"/>
      <c r="AV188" s="50"/>
      <c r="AW188" s="50"/>
      <c r="AX188" s="50"/>
      <c r="AY188" s="50"/>
      <c r="AZ188" s="50"/>
      <c r="BA188" s="50"/>
      <c r="BB188" s="50"/>
      <c r="BC188" s="50"/>
      <c r="BD188" s="50"/>
      <c r="BE188" s="50"/>
      <c r="BF188" s="50"/>
      <c r="BG188" s="50"/>
      <c r="BH188" s="50"/>
      <c r="BI188" s="50"/>
      <c r="BJ188" s="50"/>
      <c r="BK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1"/>
    </row>
    <row r="189" spans="1:78" x14ac:dyDescent="0.2">
      <c r="A189" s="48"/>
      <c r="B189" s="44"/>
      <c r="C189" s="82"/>
      <c r="D189" s="82"/>
      <c r="E189" s="61"/>
      <c r="F189" s="49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1"/>
    </row>
    <row r="190" spans="1:78" x14ac:dyDescent="0.2">
      <c r="A190" s="48"/>
      <c r="B190" s="44"/>
      <c r="C190" s="82"/>
      <c r="D190" s="82"/>
      <c r="E190" s="61"/>
      <c r="F190" s="73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  <c r="BH190" s="74"/>
      <c r="BI190" s="74"/>
      <c r="BJ190" s="74"/>
      <c r="BK190" s="74"/>
      <c r="BL190" s="74"/>
      <c r="BM190" s="74"/>
      <c r="BN190" s="74"/>
      <c r="BO190" s="74"/>
      <c r="BP190" s="74"/>
      <c r="BQ190" s="74"/>
      <c r="BR190" s="74"/>
      <c r="BS190" s="74"/>
      <c r="BT190" s="74"/>
      <c r="BU190" s="74"/>
      <c r="BV190" s="74"/>
      <c r="BW190" s="74"/>
      <c r="BX190" s="74"/>
      <c r="BY190" s="74"/>
      <c r="BZ190" s="75"/>
    </row>
    <row r="191" spans="1:78" x14ac:dyDescent="0.2">
      <c r="A191" s="48"/>
      <c r="B191" s="44"/>
      <c r="C191" s="82"/>
      <c r="D191" s="82"/>
      <c r="E191" s="61"/>
      <c r="F191" s="73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  <c r="BD191" s="74"/>
      <c r="BE191" s="74"/>
      <c r="BF191" s="74"/>
      <c r="BG191" s="74"/>
      <c r="BH191" s="74"/>
      <c r="BI191" s="74"/>
      <c r="BJ191" s="74"/>
      <c r="BK191" s="74"/>
      <c r="BL191" s="74"/>
      <c r="BM191" s="74"/>
      <c r="BN191" s="74"/>
      <c r="BO191" s="74"/>
      <c r="BP191" s="74"/>
      <c r="BQ191" s="74"/>
      <c r="BR191" s="74"/>
      <c r="BS191" s="74"/>
      <c r="BT191" s="74"/>
      <c r="BU191" s="74"/>
      <c r="BV191" s="74"/>
      <c r="BW191" s="74"/>
      <c r="BX191" s="74"/>
      <c r="BY191" s="74"/>
      <c r="BZ191" s="75"/>
    </row>
    <row r="192" spans="1:78" x14ac:dyDescent="0.2">
      <c r="A192" s="48"/>
      <c r="B192" s="44"/>
      <c r="C192" s="82"/>
      <c r="D192" s="82"/>
      <c r="E192" s="61"/>
      <c r="F192" s="73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  <c r="BD192" s="74"/>
      <c r="BE192" s="74"/>
      <c r="BF192" s="74"/>
      <c r="BG192" s="74"/>
      <c r="BH192" s="74"/>
      <c r="BI192" s="74"/>
      <c r="BJ192" s="74"/>
      <c r="BK192" s="74"/>
      <c r="BL192" s="74"/>
      <c r="BM192" s="74"/>
      <c r="BN192" s="74"/>
      <c r="BO192" s="74"/>
      <c r="BP192" s="74"/>
      <c r="BQ192" s="74"/>
      <c r="BR192" s="74"/>
      <c r="BS192" s="74"/>
      <c r="BT192" s="74"/>
      <c r="BU192" s="74"/>
      <c r="BV192" s="74"/>
      <c r="BW192" s="74"/>
      <c r="BX192" s="74"/>
      <c r="BY192" s="74"/>
      <c r="BZ192" s="75"/>
    </row>
    <row r="193" spans="1:78" ht="13.5" thickBot="1" x14ac:dyDescent="0.25">
      <c r="A193" s="48"/>
      <c r="B193" s="44"/>
      <c r="C193" s="82"/>
      <c r="D193" s="82"/>
      <c r="E193" s="61"/>
      <c r="F193" s="76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  <c r="AO193" s="77"/>
      <c r="AP193" s="77"/>
      <c r="AQ193" s="77"/>
      <c r="AR193" s="77"/>
      <c r="AS193" s="77"/>
      <c r="AT193" s="77"/>
      <c r="AU193" s="77"/>
      <c r="AV193" s="77"/>
      <c r="AW193" s="77"/>
      <c r="AX193" s="77"/>
      <c r="AY193" s="77"/>
      <c r="AZ193" s="77"/>
      <c r="BA193" s="77"/>
      <c r="BB193" s="77"/>
      <c r="BC193" s="77"/>
      <c r="BD193" s="77"/>
      <c r="BE193" s="77"/>
      <c r="BF193" s="77"/>
      <c r="BG193" s="77"/>
      <c r="BH193" s="77"/>
      <c r="BI193" s="77"/>
      <c r="BJ193" s="77"/>
      <c r="BK193" s="77"/>
      <c r="BL193" s="77"/>
      <c r="BM193" s="77"/>
      <c r="BN193" s="77"/>
      <c r="BO193" s="77"/>
      <c r="BP193" s="77"/>
      <c r="BQ193" s="77"/>
      <c r="BR193" s="77"/>
      <c r="BS193" s="77"/>
      <c r="BT193" s="77"/>
      <c r="BU193" s="77"/>
      <c r="BV193" s="77"/>
      <c r="BW193" s="77"/>
      <c r="BX193" s="77"/>
      <c r="BY193" s="77"/>
      <c r="BZ193" s="78"/>
    </row>
  </sheetData>
  <autoFilter ref="F4:BZ193"/>
  <customSheetViews>
    <customSheetView guid="{CDE91C1B-E8DA-4970-958C-BB86FE77ABD6}" showAutoFilter="1">
      <pane xSplit="4" ySplit="4" topLeftCell="F5" activePane="bottomRight" state="frozen"/>
      <selection pane="bottomRight" activeCell="B92" sqref="B92"/>
      <pageMargins left="0.25" right="0.25" top="0.75" bottom="0.75" header="0.5" footer="0.5"/>
      <printOptions horizontalCentered="1"/>
      <pageSetup scale="75" fitToHeight="8" orientation="landscape" r:id="rId1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  <autoFilter ref="F4:BZ193"/>
    </customSheetView>
    <customSheetView guid="{4133ED5E-99F2-4B74-85B8-24C66B4DC868}" showAutoFilter="1">
      <pane xSplit="4" ySplit="4" topLeftCell="F5" activePane="bottomRight" state="frozen"/>
      <selection pane="bottomRight" activeCell="J12" sqref="J12"/>
      <pageMargins left="0.25" right="0.25" top="0.75" bottom="0.75" header="0.5" footer="0.5"/>
      <printOptions horizontalCentered="1"/>
      <pageSetup scale="75" fitToHeight="8" orientation="landscape" r:id="rId2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  <autoFilter ref="F4:BZ193"/>
    </customSheetView>
    <customSheetView guid="{C44768EB-A6B9-4D4C-A778-B11850F195E2}" showAutoFilter="1">
      <pane xSplit="5" ySplit="4" topLeftCell="F5" activePane="bottomRight" state="frozen"/>
      <selection pane="bottomRight" activeCell="B92" sqref="B92"/>
      <pageMargins left="0.25" right="0.25" top="0.75" bottom="0.75" header="0.5" footer="0.5"/>
      <printOptions horizontalCentered="1"/>
      <pageSetup scale="75" fitToHeight="8" orientation="landscape" r:id="rId3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  <autoFilter ref="F4:BZ193"/>
    </customSheetView>
  </customSheetViews>
  <mergeCells count="7">
    <mergeCell ref="A1:E1"/>
    <mergeCell ref="A2:B2"/>
    <mergeCell ref="F2:BZ2"/>
    <mergeCell ref="F3:AL3"/>
    <mergeCell ref="AM3:BG3"/>
    <mergeCell ref="BH3:BP3"/>
    <mergeCell ref="BQ3:BZ3"/>
  </mergeCells>
  <phoneticPr fontId="0" type="noConversion"/>
  <printOptions horizontalCentered="1"/>
  <pageMargins left="0.25" right="0.25" top="0.75" bottom="0.75" header="0.5" footer="0.5"/>
  <pageSetup scale="75" fitToHeight="8" orientation="landscape" r:id="rId4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91"/>
  <sheetViews>
    <sheetView zoomScaleNormal="100" workbookViewId="0">
      <pane xSplit="1" ySplit="4" topLeftCell="D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2.75" x14ac:dyDescent="0.2"/>
  <cols>
    <col min="1" max="1" width="57.28515625" style="142" bestFit="1" customWidth="1"/>
    <col min="2" max="2" width="20.42578125" style="142" customWidth="1"/>
    <col min="3" max="3" width="17" style="143" bestFit="1" customWidth="1"/>
    <col min="4" max="4" width="18.85546875" style="144" customWidth="1"/>
    <col min="5" max="5" width="19.7109375" style="144" customWidth="1"/>
    <col min="6" max="6" width="17.140625" style="145" customWidth="1"/>
    <col min="7" max="7" width="18.5703125" style="146" customWidth="1"/>
    <col min="8" max="8" width="14.85546875" style="145" bestFit="1" customWidth="1"/>
    <col min="9" max="9" width="15.7109375" style="145" bestFit="1" customWidth="1"/>
    <col min="10" max="10" width="22.28515625" style="145" customWidth="1"/>
    <col min="11" max="16384" width="9.140625" style="130"/>
  </cols>
  <sheetData>
    <row r="1" spans="1:10" ht="29.25" customHeight="1" thickBot="1" x14ac:dyDescent="0.25">
      <c r="A1" s="293" t="str">
        <f>'Change Log'!A1:D1</f>
        <v>SVDrvr_CM Rev  6</v>
      </c>
      <c r="B1" s="265"/>
      <c r="C1" s="265"/>
      <c r="D1" s="265"/>
      <c r="E1" s="265"/>
      <c r="F1" s="265"/>
      <c r="G1" s="265"/>
      <c r="H1" s="265"/>
      <c r="I1" s="265"/>
      <c r="J1" s="265"/>
    </row>
    <row r="2" spans="1:10" ht="13.5" thickBot="1" x14ac:dyDescent="0.25">
      <c r="A2" s="294" t="s">
        <v>91</v>
      </c>
      <c r="B2" s="267"/>
      <c r="C2" s="271"/>
      <c r="D2" s="271"/>
      <c r="E2" s="131"/>
      <c r="F2" s="272" t="s">
        <v>84</v>
      </c>
      <c r="G2" s="295"/>
      <c r="H2" s="295"/>
      <c r="I2" s="295"/>
      <c r="J2" s="296"/>
    </row>
    <row r="3" spans="1:10" ht="22.5" customHeight="1" thickBot="1" x14ac:dyDescent="0.25">
      <c r="A3" s="148"/>
      <c r="B3" s="148"/>
      <c r="C3" s="149"/>
      <c r="D3" s="150"/>
      <c r="E3" s="150"/>
      <c r="F3" s="151"/>
      <c r="G3" s="297" t="s">
        <v>83</v>
      </c>
      <c r="H3" s="298"/>
      <c r="I3" s="152"/>
      <c r="J3" s="151"/>
    </row>
    <row r="4" spans="1:10" ht="101.25" customHeight="1" thickBot="1" x14ac:dyDescent="0.25">
      <c r="A4" s="150" t="s">
        <v>56</v>
      </c>
      <c r="B4" s="150" t="s">
        <v>132</v>
      </c>
      <c r="C4" s="150" t="s">
        <v>57</v>
      </c>
      <c r="D4" s="150" t="s">
        <v>143</v>
      </c>
      <c r="E4" s="150" t="s">
        <v>144</v>
      </c>
      <c r="F4" s="150" t="s">
        <v>93</v>
      </c>
      <c r="G4" s="150" t="s">
        <v>53</v>
      </c>
      <c r="H4" s="153" t="s">
        <v>54</v>
      </c>
      <c r="I4" s="150" t="s">
        <v>52</v>
      </c>
      <c r="J4" s="150" t="s">
        <v>90</v>
      </c>
    </row>
    <row r="5" spans="1:10" ht="12.75" customHeight="1" x14ac:dyDescent="0.2">
      <c r="A5" s="154"/>
      <c r="B5" s="154"/>
      <c r="C5" s="155"/>
      <c r="D5" s="156"/>
      <c r="E5" s="156"/>
      <c r="F5" s="156"/>
      <c r="G5" s="154"/>
      <c r="H5" s="154"/>
      <c r="I5" s="156"/>
      <c r="J5" s="156"/>
    </row>
    <row r="6" spans="1:10" x14ac:dyDescent="0.2">
      <c r="A6" s="155"/>
      <c r="B6" s="155"/>
      <c r="C6" s="155"/>
      <c r="D6" s="157"/>
      <c r="E6" s="157"/>
      <c r="F6" s="157"/>
      <c r="G6" s="155"/>
      <c r="H6" s="155"/>
      <c r="I6" s="157"/>
      <c r="J6" s="157"/>
    </row>
    <row r="7" spans="1:10" x14ac:dyDescent="0.2">
      <c r="A7" s="155"/>
      <c r="B7" s="155"/>
      <c r="C7" s="155"/>
      <c r="D7" s="157"/>
      <c r="E7" s="157"/>
      <c r="F7" s="156"/>
      <c r="G7" s="155"/>
      <c r="H7" s="155"/>
      <c r="I7" s="157"/>
      <c r="J7" s="157"/>
    </row>
    <row r="8" spans="1:10" x14ac:dyDescent="0.2">
      <c r="A8" s="155"/>
      <c r="B8" s="155"/>
      <c r="C8" s="155"/>
      <c r="D8" s="157"/>
      <c r="E8" s="157"/>
      <c r="F8" s="156"/>
      <c r="G8" s="155"/>
      <c r="H8" s="155"/>
      <c r="I8" s="157"/>
      <c r="J8" s="157"/>
    </row>
    <row r="9" spans="1:10" x14ac:dyDescent="0.2">
      <c r="A9" s="155"/>
      <c r="B9" s="155"/>
      <c r="C9" s="155"/>
      <c r="D9" s="157"/>
      <c r="E9" s="157"/>
      <c r="F9" s="157"/>
      <c r="G9" s="155"/>
      <c r="H9" s="155"/>
      <c r="I9" s="157"/>
      <c r="J9" s="157"/>
    </row>
    <row r="10" spans="1:10" x14ac:dyDescent="0.2">
      <c r="A10" s="155"/>
      <c r="B10" s="155"/>
      <c r="C10" s="155"/>
      <c r="D10" s="157"/>
      <c r="E10" s="157"/>
      <c r="F10" s="156"/>
      <c r="G10" s="155"/>
      <c r="H10" s="155"/>
      <c r="I10" s="157"/>
      <c r="J10" s="157"/>
    </row>
    <row r="11" spans="1:10" ht="12.75" customHeight="1" x14ac:dyDescent="0.2">
      <c r="A11" s="154"/>
      <c r="B11" s="154"/>
      <c r="C11" s="155"/>
      <c r="D11" s="157"/>
      <c r="E11" s="156"/>
      <c r="F11" s="156"/>
      <c r="G11" s="154"/>
      <c r="H11" s="154"/>
      <c r="I11" s="156"/>
      <c r="J11" s="156"/>
    </row>
    <row r="12" spans="1:10" ht="12.75" customHeight="1" x14ac:dyDescent="0.2">
      <c r="A12" s="155"/>
      <c r="B12" s="155"/>
      <c r="C12" s="155"/>
      <c r="D12" s="157"/>
      <c r="E12" s="157"/>
      <c r="F12" s="157"/>
      <c r="G12" s="155"/>
      <c r="H12" s="155"/>
      <c r="I12" s="157"/>
      <c r="J12" s="157"/>
    </row>
    <row r="13" spans="1:10" ht="12.75" customHeight="1" x14ac:dyDescent="0.2">
      <c r="A13" s="155"/>
      <c r="B13" s="155"/>
      <c r="C13" s="155"/>
      <c r="D13" s="157"/>
      <c r="E13" s="157"/>
      <c r="F13" s="156"/>
      <c r="G13" s="155"/>
      <c r="H13" s="155"/>
      <c r="I13" s="157"/>
      <c r="J13" s="157"/>
    </row>
    <row r="14" spans="1:10" x14ac:dyDescent="0.2">
      <c r="A14" s="155"/>
      <c r="B14" s="155"/>
      <c r="C14" s="155"/>
      <c r="D14" s="157"/>
      <c r="E14" s="157"/>
      <c r="F14" s="156"/>
      <c r="G14" s="155"/>
      <c r="H14" s="155"/>
      <c r="I14" s="157"/>
      <c r="J14" s="157"/>
    </row>
    <row r="15" spans="1:10" x14ac:dyDescent="0.2">
      <c r="A15" s="155"/>
      <c r="B15" s="155"/>
      <c r="C15" s="155"/>
      <c r="D15" s="157"/>
      <c r="E15" s="157"/>
      <c r="F15" s="157"/>
      <c r="G15" s="155"/>
      <c r="H15" s="155"/>
      <c r="I15" s="157"/>
      <c r="J15" s="157"/>
    </row>
    <row r="16" spans="1:10" x14ac:dyDescent="0.2">
      <c r="A16" s="155"/>
      <c r="B16" s="155"/>
      <c r="C16" s="155"/>
      <c r="D16" s="157"/>
      <c r="E16" s="157"/>
      <c r="F16" s="156"/>
      <c r="G16" s="155"/>
      <c r="H16" s="155"/>
      <c r="I16" s="157"/>
      <c r="J16" s="157"/>
    </row>
    <row r="17" spans="1:10" ht="12.75" customHeight="1" x14ac:dyDescent="0.2">
      <c r="A17" s="155"/>
      <c r="B17" s="155"/>
      <c r="C17" s="155"/>
      <c r="D17" s="157"/>
      <c r="E17" s="157"/>
      <c r="F17" s="156"/>
      <c r="G17" s="155"/>
      <c r="H17" s="155"/>
      <c r="I17" s="157"/>
      <c r="J17" s="157"/>
    </row>
    <row r="18" spans="1:10" ht="12.75" customHeight="1" x14ac:dyDescent="0.2">
      <c r="A18" s="155"/>
      <c r="B18" s="155"/>
      <c r="C18" s="155"/>
      <c r="D18" s="157"/>
      <c r="E18" s="157"/>
      <c r="F18" s="157"/>
      <c r="G18" s="155"/>
      <c r="H18" s="155"/>
      <c r="I18" s="157"/>
      <c r="J18" s="157"/>
    </row>
    <row r="19" spans="1:10" x14ac:dyDescent="0.2">
      <c r="A19" s="155"/>
      <c r="B19" s="155"/>
      <c r="C19" s="155"/>
      <c r="D19" s="157"/>
      <c r="E19" s="157"/>
      <c r="F19" s="156"/>
      <c r="G19" s="155"/>
      <c r="H19" s="155"/>
      <c r="I19" s="157"/>
      <c r="J19" s="157"/>
    </row>
    <row r="20" spans="1:10" x14ac:dyDescent="0.2">
      <c r="A20" s="155"/>
      <c r="B20" s="155"/>
      <c r="C20" s="155"/>
      <c r="D20" s="157"/>
      <c r="E20" s="157"/>
      <c r="F20" s="156"/>
      <c r="G20" s="155"/>
      <c r="H20" s="155"/>
      <c r="I20" s="157"/>
      <c r="J20" s="157"/>
    </row>
    <row r="21" spans="1:10" x14ac:dyDescent="0.2">
      <c r="A21" s="155"/>
      <c r="B21" s="155"/>
      <c r="C21" s="155"/>
      <c r="D21" s="157"/>
      <c r="E21" s="157"/>
      <c r="F21" s="157"/>
      <c r="G21" s="155"/>
      <c r="H21" s="155"/>
      <c r="I21" s="157"/>
      <c r="J21" s="157"/>
    </row>
    <row r="22" spans="1:10" ht="12.75" customHeight="1" x14ac:dyDescent="0.2">
      <c r="A22" s="155"/>
      <c r="B22" s="155"/>
      <c r="C22" s="155"/>
      <c r="D22" s="157"/>
      <c r="E22" s="157"/>
      <c r="F22" s="156"/>
      <c r="G22" s="155"/>
      <c r="H22" s="155"/>
      <c r="I22" s="157"/>
      <c r="J22" s="157"/>
    </row>
    <row r="23" spans="1:10" ht="12.75" customHeight="1" x14ac:dyDescent="0.2">
      <c r="A23" s="155"/>
      <c r="B23" s="155"/>
      <c r="C23" s="155"/>
      <c r="D23" s="157"/>
      <c r="E23" s="157"/>
      <c r="F23" s="156"/>
      <c r="G23" s="155"/>
      <c r="H23" s="155"/>
      <c r="I23" s="157"/>
      <c r="J23" s="157"/>
    </row>
    <row r="24" spans="1:10" x14ac:dyDescent="0.2">
      <c r="A24" s="155"/>
      <c r="B24" s="155"/>
      <c r="C24" s="155"/>
      <c r="D24" s="157"/>
      <c r="E24" s="157"/>
      <c r="F24" s="157"/>
      <c r="G24" s="155"/>
      <c r="H24" s="155"/>
      <c r="I24" s="157"/>
      <c r="J24" s="157"/>
    </row>
    <row r="25" spans="1:10" ht="12.75" customHeight="1" x14ac:dyDescent="0.2">
      <c r="A25" s="155"/>
      <c r="B25" s="155"/>
      <c r="C25" s="155"/>
      <c r="D25" s="157"/>
      <c r="E25" s="157"/>
      <c r="F25" s="156"/>
      <c r="G25" s="155"/>
      <c r="H25" s="155"/>
      <c r="I25" s="157"/>
      <c r="J25" s="157"/>
    </row>
    <row r="26" spans="1:10" ht="12.75" customHeight="1" x14ac:dyDescent="0.2">
      <c r="A26" s="155"/>
      <c r="B26" s="155"/>
      <c r="C26" s="155"/>
      <c r="D26" s="157"/>
      <c r="E26" s="157"/>
      <c r="F26" s="156"/>
      <c r="G26" s="155"/>
      <c r="H26" s="155"/>
      <c r="I26" s="157"/>
      <c r="J26" s="157"/>
    </row>
    <row r="27" spans="1:10" x14ac:dyDescent="0.2">
      <c r="A27" s="155"/>
      <c r="B27" s="155"/>
      <c r="C27" s="155"/>
      <c r="D27" s="157"/>
      <c r="E27" s="157"/>
      <c r="F27" s="157"/>
      <c r="G27" s="155"/>
      <c r="H27" s="155"/>
      <c r="I27" s="157"/>
      <c r="J27" s="157"/>
    </row>
    <row r="28" spans="1:10" x14ac:dyDescent="0.2">
      <c r="A28" s="155"/>
      <c r="B28" s="155"/>
      <c r="C28" s="155"/>
      <c r="D28" s="157"/>
      <c r="E28" s="157"/>
      <c r="F28" s="156"/>
      <c r="G28" s="155"/>
      <c r="H28" s="155"/>
      <c r="I28" s="157"/>
      <c r="J28" s="157"/>
    </row>
    <row r="29" spans="1:10" x14ac:dyDescent="0.2">
      <c r="A29" s="155"/>
      <c r="B29" s="155"/>
      <c r="C29" s="155"/>
      <c r="D29" s="157"/>
      <c r="E29" s="157"/>
      <c r="F29" s="156"/>
      <c r="G29" s="155"/>
      <c r="H29" s="155"/>
      <c r="I29" s="157"/>
      <c r="J29" s="157"/>
    </row>
    <row r="30" spans="1:10" x14ac:dyDescent="0.2">
      <c r="A30" s="155"/>
      <c r="B30" s="155"/>
      <c r="C30" s="155"/>
      <c r="D30" s="157"/>
      <c r="E30" s="157"/>
      <c r="F30" s="157"/>
      <c r="G30" s="155"/>
      <c r="H30" s="155"/>
      <c r="I30" s="157"/>
      <c r="J30" s="157"/>
    </row>
    <row r="31" spans="1:10" x14ac:dyDescent="0.2">
      <c r="A31" s="155"/>
      <c r="B31" s="155"/>
      <c r="C31" s="155"/>
      <c r="D31" s="157"/>
      <c r="E31" s="157"/>
      <c r="F31" s="156"/>
      <c r="G31" s="155"/>
      <c r="H31" s="155"/>
      <c r="I31" s="157"/>
      <c r="J31" s="157"/>
    </row>
    <row r="32" spans="1:10" x14ac:dyDescent="0.2">
      <c r="A32" s="155"/>
      <c r="B32" s="155"/>
      <c r="C32" s="155"/>
      <c r="D32" s="157"/>
      <c r="E32" s="157"/>
      <c r="F32" s="156"/>
      <c r="G32" s="155"/>
      <c r="H32" s="155"/>
      <c r="I32" s="157"/>
      <c r="J32" s="157"/>
    </row>
    <row r="33" spans="1:10" x14ac:dyDescent="0.2">
      <c r="A33" s="155"/>
      <c r="B33" s="155"/>
      <c r="C33" s="155"/>
      <c r="D33" s="157"/>
      <c r="E33" s="157"/>
      <c r="F33" s="157"/>
      <c r="G33" s="155"/>
      <c r="H33" s="155"/>
      <c r="I33" s="157"/>
      <c r="J33" s="157"/>
    </row>
    <row r="34" spans="1:10" ht="12.75" customHeight="1" x14ac:dyDescent="0.2">
      <c r="A34" s="155"/>
      <c r="B34" s="155"/>
      <c r="C34" s="155"/>
      <c r="D34" s="157"/>
      <c r="E34" s="157"/>
      <c r="F34" s="156"/>
      <c r="G34" s="155"/>
      <c r="H34" s="155"/>
      <c r="I34" s="157"/>
      <c r="J34" s="157"/>
    </row>
    <row r="35" spans="1:10" x14ac:dyDescent="0.2">
      <c r="A35" s="155"/>
      <c r="B35" s="155"/>
      <c r="C35" s="155"/>
      <c r="D35" s="157"/>
      <c r="E35" s="157"/>
      <c r="F35" s="156"/>
      <c r="G35" s="155"/>
      <c r="H35" s="155"/>
      <c r="I35" s="157"/>
      <c r="J35" s="157"/>
    </row>
    <row r="36" spans="1:10" x14ac:dyDescent="0.2">
      <c r="A36" s="155"/>
      <c r="B36" s="155"/>
      <c r="C36" s="155"/>
      <c r="D36" s="157"/>
      <c r="E36" s="157"/>
      <c r="F36" s="157"/>
      <c r="G36" s="155"/>
      <c r="H36" s="155"/>
      <c r="I36" s="157"/>
      <c r="J36" s="157"/>
    </row>
    <row r="37" spans="1:10" x14ac:dyDescent="0.2">
      <c r="A37" s="155"/>
      <c r="B37" s="155"/>
      <c r="C37" s="155"/>
      <c r="D37" s="157"/>
      <c r="E37" s="157"/>
      <c r="F37" s="156"/>
      <c r="G37" s="155"/>
      <c r="H37" s="155"/>
      <c r="I37" s="157"/>
      <c r="J37" s="157"/>
    </row>
    <row r="38" spans="1:10" x14ac:dyDescent="0.2">
      <c r="A38" s="155"/>
      <c r="B38" s="155"/>
      <c r="C38" s="155"/>
      <c r="D38" s="157"/>
      <c r="E38" s="157"/>
      <c r="F38" s="156"/>
      <c r="G38" s="155"/>
      <c r="H38" s="155"/>
      <c r="I38" s="157"/>
      <c r="J38" s="157"/>
    </row>
    <row r="39" spans="1:10" x14ac:dyDescent="0.2">
      <c r="A39" s="155"/>
      <c r="B39" s="155"/>
      <c r="C39" s="155"/>
      <c r="D39" s="157"/>
      <c r="E39" s="157"/>
      <c r="F39" s="157"/>
      <c r="G39" s="155"/>
      <c r="H39" s="155"/>
      <c r="I39" s="157"/>
      <c r="J39" s="157"/>
    </row>
    <row r="40" spans="1:10" x14ac:dyDescent="0.2">
      <c r="A40" s="155"/>
      <c r="B40" s="155"/>
      <c r="C40" s="155"/>
      <c r="D40" s="157"/>
      <c r="E40" s="157"/>
      <c r="F40" s="156"/>
      <c r="G40" s="155"/>
      <c r="H40" s="155"/>
      <c r="I40" s="157"/>
      <c r="J40" s="157"/>
    </row>
    <row r="41" spans="1:10" ht="12.75" customHeight="1" x14ac:dyDescent="0.2">
      <c r="A41" s="155"/>
      <c r="B41" s="155"/>
      <c r="C41" s="155"/>
      <c r="D41" s="157"/>
      <c r="E41" s="157"/>
      <c r="F41" s="156"/>
      <c r="G41" s="155"/>
      <c r="H41" s="155"/>
      <c r="I41" s="157"/>
      <c r="J41" s="157"/>
    </row>
    <row r="42" spans="1:10" ht="12.75" customHeight="1" x14ac:dyDescent="0.2">
      <c r="A42" s="155"/>
      <c r="B42" s="155"/>
      <c r="C42" s="155"/>
      <c r="D42" s="157"/>
      <c r="E42" s="157"/>
      <c r="F42" s="157"/>
      <c r="G42" s="155"/>
      <c r="H42" s="155"/>
      <c r="I42" s="157"/>
      <c r="J42" s="157"/>
    </row>
    <row r="43" spans="1:10" ht="12.75" customHeight="1" x14ac:dyDescent="0.2">
      <c r="A43" s="155"/>
      <c r="B43" s="155"/>
      <c r="C43" s="155"/>
      <c r="D43" s="157"/>
      <c r="E43" s="157"/>
      <c r="F43" s="156"/>
      <c r="G43" s="155"/>
      <c r="H43" s="155"/>
      <c r="I43" s="157"/>
      <c r="J43" s="157"/>
    </row>
    <row r="44" spans="1:10" ht="12.75" customHeight="1" x14ac:dyDescent="0.2">
      <c r="A44" s="155"/>
      <c r="B44" s="155"/>
      <c r="C44" s="155"/>
      <c r="D44" s="157"/>
      <c r="E44" s="157"/>
      <c r="F44" s="156"/>
      <c r="G44" s="155"/>
      <c r="H44" s="155"/>
      <c r="I44" s="157"/>
      <c r="J44" s="157"/>
    </row>
    <row r="45" spans="1:10" ht="12.75" customHeight="1" x14ac:dyDescent="0.2">
      <c r="A45" s="155"/>
      <c r="B45" s="155"/>
      <c r="C45" s="155"/>
      <c r="D45" s="157"/>
      <c r="E45" s="157"/>
      <c r="F45" s="157"/>
      <c r="G45" s="155"/>
      <c r="H45" s="155"/>
      <c r="I45" s="157"/>
      <c r="J45" s="157"/>
    </row>
    <row r="46" spans="1:10" x14ac:dyDescent="0.2">
      <c r="A46" s="155"/>
      <c r="B46" s="155"/>
      <c r="C46" s="155"/>
      <c r="D46" s="157"/>
      <c r="E46" s="157"/>
      <c r="F46" s="156"/>
      <c r="G46" s="155"/>
      <c r="H46" s="155"/>
      <c r="I46" s="157"/>
      <c r="J46" s="157"/>
    </row>
    <row r="47" spans="1:10" x14ac:dyDescent="0.2">
      <c r="A47" s="155"/>
      <c r="B47" s="155"/>
      <c r="C47" s="155"/>
      <c r="D47" s="157"/>
      <c r="E47" s="157"/>
      <c r="F47" s="156"/>
      <c r="G47" s="155"/>
      <c r="H47" s="155"/>
      <c r="I47" s="157"/>
      <c r="J47" s="157"/>
    </row>
    <row r="48" spans="1:10" x14ac:dyDescent="0.2">
      <c r="A48" s="155"/>
      <c r="B48" s="155"/>
      <c r="C48" s="155"/>
      <c r="D48" s="157"/>
      <c r="E48" s="157"/>
      <c r="F48" s="157"/>
      <c r="G48" s="155"/>
      <c r="H48" s="155"/>
      <c r="I48" s="157"/>
      <c r="J48" s="157"/>
    </row>
    <row r="49" spans="1:10" x14ac:dyDescent="0.2">
      <c r="A49" s="155"/>
      <c r="B49" s="155"/>
      <c r="C49" s="155"/>
      <c r="D49" s="157"/>
      <c r="E49" s="157"/>
      <c r="F49" s="156"/>
      <c r="G49" s="155"/>
      <c r="H49" s="155"/>
      <c r="I49" s="157"/>
      <c r="J49" s="157"/>
    </row>
    <row r="50" spans="1:10" x14ac:dyDescent="0.2">
      <c r="A50" s="155"/>
      <c r="B50" s="155"/>
      <c r="C50" s="155"/>
      <c r="D50" s="157"/>
      <c r="E50" s="157"/>
      <c r="F50" s="156"/>
      <c r="G50" s="155"/>
      <c r="H50" s="155"/>
      <c r="I50" s="157"/>
      <c r="J50" s="157"/>
    </row>
    <row r="51" spans="1:10" x14ac:dyDescent="0.2">
      <c r="A51" s="155"/>
      <c r="B51" s="155"/>
      <c r="C51" s="155"/>
      <c r="D51" s="157"/>
      <c r="E51" s="157"/>
      <c r="F51" s="157"/>
      <c r="G51" s="155"/>
      <c r="H51" s="155"/>
      <c r="I51" s="157"/>
      <c r="J51" s="157"/>
    </row>
    <row r="52" spans="1:10" x14ac:dyDescent="0.2">
      <c r="A52" s="155"/>
      <c r="B52" s="155"/>
      <c r="C52" s="155"/>
      <c r="D52" s="157"/>
      <c r="E52" s="157"/>
      <c r="F52" s="156"/>
      <c r="G52" s="155"/>
      <c r="H52" s="155"/>
      <c r="I52" s="157"/>
      <c r="J52" s="157"/>
    </row>
    <row r="53" spans="1:10" x14ac:dyDescent="0.2">
      <c r="A53" s="155"/>
      <c r="B53" s="155"/>
      <c r="C53" s="155"/>
      <c r="D53" s="157"/>
      <c r="E53" s="157"/>
      <c r="F53" s="156"/>
      <c r="G53" s="155"/>
      <c r="H53" s="155"/>
      <c r="I53" s="157"/>
      <c r="J53" s="157"/>
    </row>
    <row r="54" spans="1:10" x14ac:dyDescent="0.2">
      <c r="A54" s="155"/>
      <c r="B54" s="155"/>
      <c r="C54" s="155"/>
      <c r="D54" s="157"/>
      <c r="E54" s="157"/>
      <c r="F54" s="157"/>
      <c r="G54" s="155"/>
      <c r="H54" s="155"/>
      <c r="I54" s="157"/>
      <c r="J54" s="157"/>
    </row>
    <row r="55" spans="1:10" ht="12.75" customHeight="1" x14ac:dyDescent="0.2">
      <c r="A55" s="155"/>
      <c r="B55" s="155"/>
      <c r="C55" s="155"/>
      <c r="D55" s="157"/>
      <c r="E55" s="157"/>
      <c r="F55" s="156"/>
      <c r="G55" s="155"/>
      <c r="H55" s="155"/>
      <c r="I55" s="157"/>
      <c r="J55" s="157"/>
    </row>
    <row r="56" spans="1:10" ht="12.75" customHeight="1" x14ac:dyDescent="0.2">
      <c r="A56" s="155"/>
      <c r="B56" s="155"/>
      <c r="C56" s="155"/>
      <c r="D56" s="157"/>
      <c r="E56" s="157"/>
      <c r="F56" s="156"/>
      <c r="G56" s="155"/>
      <c r="H56" s="155"/>
      <c r="I56" s="157"/>
      <c r="J56" s="157"/>
    </row>
    <row r="57" spans="1:10" ht="12.75" customHeight="1" x14ac:dyDescent="0.2">
      <c r="A57" s="155"/>
      <c r="B57" s="155"/>
      <c r="C57" s="155"/>
      <c r="D57" s="157"/>
      <c r="E57" s="157"/>
      <c r="F57" s="157"/>
      <c r="G57" s="155"/>
      <c r="H57" s="155"/>
      <c r="I57" s="157"/>
      <c r="J57" s="157"/>
    </row>
    <row r="58" spans="1:10" ht="12.75" customHeight="1" x14ac:dyDescent="0.2">
      <c r="A58" s="155"/>
      <c r="B58" s="155"/>
      <c r="C58" s="155"/>
      <c r="D58" s="157"/>
      <c r="E58" s="157"/>
      <c r="F58" s="156"/>
      <c r="G58" s="155"/>
      <c r="H58" s="155"/>
      <c r="I58" s="157"/>
      <c r="J58" s="157"/>
    </row>
    <row r="59" spans="1:10" ht="12.75" customHeight="1" x14ac:dyDescent="0.2">
      <c r="A59" s="155"/>
      <c r="B59" s="155"/>
      <c r="C59" s="155"/>
      <c r="D59" s="157"/>
      <c r="E59" s="157"/>
      <c r="F59" s="156"/>
      <c r="G59" s="155"/>
      <c r="H59" s="155"/>
      <c r="I59" s="157"/>
      <c r="J59" s="157"/>
    </row>
    <row r="60" spans="1:10" ht="12.75" customHeight="1" x14ac:dyDescent="0.2">
      <c r="A60" s="155"/>
      <c r="B60" s="155"/>
      <c r="C60" s="155"/>
      <c r="D60" s="157"/>
      <c r="E60" s="157"/>
      <c r="F60" s="157"/>
      <c r="G60" s="155"/>
      <c r="H60" s="155"/>
      <c r="I60" s="157"/>
      <c r="J60" s="157"/>
    </row>
    <row r="61" spans="1:10" ht="12.75" customHeight="1" x14ac:dyDescent="0.2">
      <c r="A61" s="155"/>
      <c r="B61" s="155"/>
      <c r="C61" s="155"/>
      <c r="D61" s="157"/>
      <c r="E61" s="157"/>
      <c r="F61" s="156"/>
      <c r="G61" s="155"/>
      <c r="H61" s="155"/>
      <c r="I61" s="157"/>
      <c r="J61" s="157"/>
    </row>
    <row r="62" spans="1:10" ht="12.75" customHeight="1" x14ac:dyDescent="0.2">
      <c r="A62" s="155"/>
      <c r="B62" s="155"/>
      <c r="C62" s="155"/>
      <c r="D62" s="157"/>
      <c r="E62" s="157"/>
      <c r="F62" s="156"/>
      <c r="G62" s="155"/>
      <c r="H62" s="155"/>
      <c r="I62" s="157"/>
      <c r="J62" s="157"/>
    </row>
    <row r="63" spans="1:10" ht="12.75" customHeight="1" x14ac:dyDescent="0.2">
      <c r="A63" s="155"/>
      <c r="B63" s="155"/>
      <c r="C63" s="155"/>
      <c r="D63" s="157"/>
      <c r="E63" s="157"/>
      <c r="F63" s="157"/>
      <c r="G63" s="155"/>
      <c r="H63" s="155"/>
      <c r="I63" s="157"/>
      <c r="J63" s="157"/>
    </row>
    <row r="64" spans="1:10" ht="12.75" customHeight="1" x14ac:dyDescent="0.2">
      <c r="A64" s="155"/>
      <c r="B64" s="155"/>
      <c r="C64" s="155"/>
      <c r="D64" s="157"/>
      <c r="E64" s="157"/>
      <c r="F64" s="156"/>
      <c r="G64" s="155"/>
      <c r="H64" s="155"/>
      <c r="I64" s="157"/>
      <c r="J64" s="157"/>
    </row>
    <row r="65" spans="1:10" x14ac:dyDescent="0.2">
      <c r="A65" s="155"/>
      <c r="B65" s="155"/>
      <c r="C65" s="155"/>
      <c r="D65" s="157"/>
      <c r="E65" s="157"/>
      <c r="F65" s="156"/>
      <c r="G65" s="155"/>
      <c r="H65" s="155"/>
      <c r="I65" s="157"/>
      <c r="J65" s="157"/>
    </row>
    <row r="66" spans="1:10" ht="12.75" customHeight="1" x14ac:dyDescent="0.2">
      <c r="A66" s="155"/>
      <c r="B66" s="155"/>
      <c r="C66" s="155"/>
      <c r="D66" s="157"/>
      <c r="E66" s="157"/>
      <c r="F66" s="157"/>
      <c r="G66" s="155"/>
      <c r="H66" s="155"/>
      <c r="I66" s="157"/>
      <c r="J66" s="157"/>
    </row>
    <row r="67" spans="1:10" ht="12.75" customHeight="1" x14ac:dyDescent="0.2">
      <c r="A67" s="155"/>
      <c r="B67" s="155"/>
      <c r="C67" s="155"/>
      <c r="D67" s="157"/>
      <c r="E67" s="157"/>
      <c r="F67" s="156"/>
      <c r="G67" s="155"/>
      <c r="H67" s="155"/>
      <c r="I67" s="157"/>
      <c r="J67" s="157"/>
    </row>
    <row r="68" spans="1:10" x14ac:dyDescent="0.2">
      <c r="A68" s="155"/>
      <c r="B68" s="155"/>
      <c r="C68" s="155"/>
      <c r="D68" s="157"/>
      <c r="E68" s="157"/>
      <c r="F68" s="156"/>
      <c r="G68" s="155"/>
      <c r="H68" s="155"/>
      <c r="I68" s="157"/>
      <c r="J68" s="157"/>
    </row>
    <row r="69" spans="1:10" x14ac:dyDescent="0.2">
      <c r="A69" s="155"/>
      <c r="B69" s="155"/>
      <c r="C69" s="155"/>
      <c r="D69" s="157"/>
      <c r="E69" s="157"/>
      <c r="F69" s="157"/>
      <c r="G69" s="155"/>
      <c r="H69" s="155"/>
      <c r="I69" s="157"/>
      <c r="J69" s="157"/>
    </row>
    <row r="70" spans="1:10" x14ac:dyDescent="0.2">
      <c r="A70" s="155"/>
      <c r="B70" s="155"/>
      <c r="C70" s="155"/>
      <c r="D70" s="157"/>
      <c r="E70" s="157"/>
      <c r="F70" s="156"/>
      <c r="G70" s="155"/>
      <c r="H70" s="155"/>
      <c r="I70" s="157"/>
      <c r="J70" s="157"/>
    </row>
    <row r="71" spans="1:10" ht="12.75" customHeight="1" x14ac:dyDescent="0.2">
      <c r="A71" s="155"/>
      <c r="B71" s="155"/>
      <c r="C71" s="155"/>
      <c r="D71" s="157"/>
      <c r="E71" s="157"/>
      <c r="F71" s="156"/>
      <c r="G71" s="155"/>
      <c r="H71" s="155"/>
      <c r="I71" s="157"/>
      <c r="J71" s="157"/>
    </row>
    <row r="72" spans="1:10" x14ac:dyDescent="0.2">
      <c r="A72" s="155"/>
      <c r="B72" s="155"/>
      <c r="C72" s="155"/>
      <c r="D72" s="157"/>
      <c r="E72" s="157"/>
      <c r="F72" s="157"/>
      <c r="G72" s="155"/>
      <c r="H72" s="155"/>
      <c r="I72" s="157"/>
      <c r="J72" s="157"/>
    </row>
    <row r="73" spans="1:10" x14ac:dyDescent="0.2">
      <c r="A73" s="155"/>
      <c r="B73" s="155"/>
      <c r="C73" s="155"/>
      <c r="D73" s="157"/>
      <c r="E73" s="157"/>
      <c r="F73" s="156"/>
      <c r="G73" s="155"/>
      <c r="H73" s="155"/>
      <c r="I73" s="157"/>
      <c r="J73" s="157"/>
    </row>
    <row r="74" spans="1:10" x14ac:dyDescent="0.2">
      <c r="A74" s="155"/>
      <c r="B74" s="155"/>
      <c r="C74" s="155"/>
      <c r="D74" s="157"/>
      <c r="E74" s="157"/>
      <c r="F74" s="156"/>
      <c r="G74" s="155"/>
      <c r="H74" s="155"/>
      <c r="I74" s="157"/>
      <c r="J74" s="157"/>
    </row>
    <row r="75" spans="1:10" ht="12.75" customHeight="1" x14ac:dyDescent="0.2">
      <c r="A75" s="155"/>
      <c r="B75" s="155"/>
      <c r="C75" s="155"/>
      <c r="D75" s="157"/>
      <c r="E75" s="157"/>
      <c r="F75" s="157"/>
      <c r="G75" s="155"/>
      <c r="H75" s="155"/>
      <c r="I75" s="157"/>
      <c r="J75" s="157"/>
    </row>
    <row r="76" spans="1:10" x14ac:dyDescent="0.2">
      <c r="A76" s="155"/>
      <c r="B76" s="155"/>
      <c r="C76" s="155"/>
      <c r="D76" s="157"/>
      <c r="E76" s="157"/>
      <c r="F76" s="156"/>
      <c r="G76" s="155"/>
      <c r="H76" s="155"/>
      <c r="I76" s="157"/>
      <c r="J76" s="157"/>
    </row>
    <row r="77" spans="1:10" x14ac:dyDescent="0.2">
      <c r="A77" s="155"/>
      <c r="B77" s="155"/>
      <c r="C77" s="155"/>
      <c r="D77" s="157"/>
      <c r="E77" s="157"/>
      <c r="F77" s="156"/>
      <c r="G77" s="155"/>
      <c r="H77" s="155"/>
      <c r="I77" s="157"/>
      <c r="J77" s="157"/>
    </row>
    <row r="78" spans="1:10" ht="12.75" customHeight="1" x14ac:dyDescent="0.2">
      <c r="A78" s="155"/>
      <c r="B78" s="155"/>
      <c r="C78" s="155"/>
      <c r="D78" s="157"/>
      <c r="E78" s="157"/>
      <c r="F78" s="157"/>
      <c r="G78" s="155"/>
      <c r="H78" s="155"/>
      <c r="I78" s="157"/>
      <c r="J78" s="157"/>
    </row>
    <row r="79" spans="1:10" ht="12.75" customHeight="1" x14ac:dyDescent="0.2">
      <c r="A79" s="155"/>
      <c r="B79" s="155"/>
      <c r="C79" s="155"/>
      <c r="D79" s="157"/>
      <c r="E79" s="157"/>
      <c r="F79" s="156"/>
      <c r="G79" s="155"/>
      <c r="H79" s="155"/>
      <c r="I79" s="157"/>
      <c r="J79" s="157"/>
    </row>
    <row r="80" spans="1:10" ht="12.75" customHeight="1" x14ac:dyDescent="0.2">
      <c r="A80" s="155"/>
      <c r="B80" s="155"/>
      <c r="C80" s="155"/>
      <c r="D80" s="157"/>
      <c r="E80" s="157"/>
      <c r="F80" s="156"/>
      <c r="G80" s="155"/>
      <c r="H80" s="155"/>
      <c r="I80" s="157"/>
      <c r="J80" s="157"/>
    </row>
    <row r="81" spans="1:10" ht="12.75" customHeight="1" x14ac:dyDescent="0.2">
      <c r="A81" s="155"/>
      <c r="B81" s="155"/>
      <c r="C81" s="155"/>
      <c r="D81" s="157"/>
      <c r="E81" s="157"/>
      <c r="F81" s="157"/>
      <c r="G81" s="155"/>
      <c r="H81" s="155"/>
      <c r="I81" s="157"/>
      <c r="J81" s="157"/>
    </row>
    <row r="82" spans="1:10" ht="12.75" customHeight="1" x14ac:dyDescent="0.2">
      <c r="A82" s="155"/>
      <c r="B82" s="155"/>
      <c r="C82" s="155"/>
      <c r="D82" s="157"/>
      <c r="E82" s="157"/>
      <c r="F82" s="156"/>
      <c r="G82" s="155"/>
      <c r="H82" s="155"/>
      <c r="I82" s="157"/>
      <c r="J82" s="157"/>
    </row>
    <row r="83" spans="1:10" ht="12.75" customHeight="1" x14ac:dyDescent="0.2">
      <c r="A83" s="155"/>
      <c r="B83" s="155"/>
      <c r="C83" s="155"/>
      <c r="D83" s="157"/>
      <c r="E83" s="157"/>
      <c r="F83" s="156"/>
      <c r="G83" s="155"/>
      <c r="H83" s="155"/>
      <c r="I83" s="157"/>
      <c r="J83" s="157"/>
    </row>
    <row r="84" spans="1:10" x14ac:dyDescent="0.2">
      <c r="A84" s="155"/>
      <c r="B84" s="155"/>
      <c r="C84" s="155"/>
      <c r="D84" s="157"/>
      <c r="E84" s="157"/>
      <c r="F84" s="157"/>
      <c r="G84" s="155"/>
      <c r="H84" s="155"/>
      <c r="I84" s="157"/>
      <c r="J84" s="157"/>
    </row>
    <row r="85" spans="1:10" x14ac:dyDescent="0.2">
      <c r="A85" s="155"/>
      <c r="B85" s="155"/>
      <c r="C85" s="155"/>
      <c r="D85" s="157"/>
      <c r="E85" s="157"/>
      <c r="F85" s="156"/>
      <c r="G85" s="155"/>
      <c r="H85" s="155"/>
      <c r="I85" s="157"/>
      <c r="J85" s="157"/>
    </row>
    <row r="86" spans="1:10" x14ac:dyDescent="0.2">
      <c r="A86" s="155"/>
      <c r="B86" s="155"/>
      <c r="C86" s="155"/>
      <c r="D86" s="157"/>
      <c r="E86" s="157"/>
      <c r="F86" s="156"/>
      <c r="G86" s="155"/>
      <c r="H86" s="155"/>
      <c r="I86" s="157"/>
      <c r="J86" s="157"/>
    </row>
    <row r="87" spans="1:10" x14ac:dyDescent="0.2">
      <c r="A87" s="155"/>
      <c r="B87" s="155"/>
      <c r="C87" s="155"/>
      <c r="D87" s="157"/>
      <c r="E87" s="157"/>
      <c r="F87" s="157"/>
      <c r="G87" s="155"/>
      <c r="H87" s="155"/>
      <c r="I87" s="157"/>
      <c r="J87" s="157"/>
    </row>
    <row r="88" spans="1:10" x14ac:dyDescent="0.2">
      <c r="A88" s="155"/>
      <c r="B88" s="155"/>
      <c r="C88" s="155"/>
      <c r="D88" s="157"/>
      <c r="E88" s="157"/>
      <c r="F88" s="156"/>
      <c r="G88" s="155"/>
      <c r="H88" s="155"/>
      <c r="I88" s="157"/>
      <c r="J88" s="157"/>
    </row>
    <row r="89" spans="1:10" ht="12.75" customHeight="1" x14ac:dyDescent="0.2">
      <c r="A89" s="155"/>
      <c r="B89" s="155"/>
      <c r="C89" s="155"/>
      <c r="D89" s="157"/>
      <c r="E89" s="157"/>
      <c r="F89" s="156"/>
      <c r="G89" s="155"/>
      <c r="H89" s="155"/>
      <c r="I89" s="157"/>
      <c r="J89" s="157"/>
    </row>
    <row r="90" spans="1:10" ht="12.75" customHeight="1" x14ac:dyDescent="0.2">
      <c r="A90" s="155"/>
      <c r="B90" s="155"/>
      <c r="C90" s="155"/>
      <c r="D90" s="157"/>
      <c r="E90" s="157"/>
      <c r="F90" s="157"/>
      <c r="G90" s="155"/>
      <c r="H90" s="155"/>
      <c r="I90" s="157"/>
      <c r="J90" s="157"/>
    </row>
    <row r="91" spans="1:10" x14ac:dyDescent="0.2">
      <c r="A91" s="155"/>
      <c r="B91" s="155"/>
      <c r="C91" s="155"/>
      <c r="D91" s="157"/>
      <c r="E91" s="157"/>
      <c r="F91" s="156"/>
      <c r="G91" s="155"/>
      <c r="H91" s="155"/>
      <c r="I91" s="157"/>
      <c r="J91" s="157"/>
    </row>
    <row r="92" spans="1:10" x14ac:dyDescent="0.2">
      <c r="A92" s="155"/>
      <c r="B92" s="155"/>
      <c r="C92" s="155"/>
      <c r="D92" s="157"/>
      <c r="E92" s="157"/>
      <c r="F92" s="156"/>
      <c r="G92" s="155"/>
      <c r="H92" s="155"/>
      <c r="I92" s="157"/>
      <c r="J92" s="157"/>
    </row>
    <row r="93" spans="1:10" x14ac:dyDescent="0.2">
      <c r="A93" s="155"/>
      <c r="B93" s="155"/>
      <c r="C93" s="155"/>
      <c r="D93" s="157"/>
      <c r="E93" s="157"/>
      <c r="F93" s="157"/>
      <c r="G93" s="155"/>
      <c r="H93" s="155"/>
      <c r="I93" s="157"/>
      <c r="J93" s="157"/>
    </row>
    <row r="94" spans="1:10" x14ac:dyDescent="0.2">
      <c r="A94" s="155"/>
      <c r="B94" s="155"/>
      <c r="C94" s="155"/>
      <c r="D94" s="157"/>
      <c r="E94" s="157"/>
      <c r="F94" s="156"/>
      <c r="G94" s="155"/>
      <c r="H94" s="155"/>
      <c r="I94" s="157"/>
      <c r="J94" s="157"/>
    </row>
    <row r="95" spans="1:10" ht="12.75" customHeight="1" x14ac:dyDescent="0.2">
      <c r="A95" s="155"/>
      <c r="B95" s="155"/>
      <c r="C95" s="155"/>
      <c r="D95" s="157"/>
      <c r="E95" s="157"/>
      <c r="F95" s="156"/>
      <c r="G95" s="155"/>
      <c r="H95" s="155"/>
      <c r="I95" s="157"/>
      <c r="J95" s="157"/>
    </row>
    <row r="96" spans="1:10" ht="12.75" customHeight="1" x14ac:dyDescent="0.2">
      <c r="A96" s="155"/>
      <c r="B96" s="155"/>
      <c r="C96" s="155"/>
      <c r="D96" s="157"/>
      <c r="E96" s="157"/>
      <c r="F96" s="157"/>
      <c r="G96" s="155"/>
      <c r="H96" s="155"/>
      <c r="I96" s="157"/>
      <c r="J96" s="157"/>
    </row>
    <row r="97" spans="1:10" ht="12.75" customHeight="1" x14ac:dyDescent="0.2">
      <c r="A97" s="155"/>
      <c r="B97" s="155"/>
      <c r="C97" s="155"/>
      <c r="D97" s="157"/>
      <c r="E97" s="157"/>
      <c r="F97" s="156"/>
      <c r="G97" s="155"/>
      <c r="H97" s="155"/>
      <c r="I97" s="157"/>
      <c r="J97" s="157"/>
    </row>
    <row r="98" spans="1:10" ht="12.75" customHeight="1" x14ac:dyDescent="0.2">
      <c r="A98" s="155"/>
      <c r="B98" s="155"/>
      <c r="C98" s="155"/>
      <c r="D98" s="157"/>
      <c r="E98" s="157"/>
      <c r="F98" s="156"/>
      <c r="G98" s="155"/>
      <c r="H98" s="155"/>
      <c r="I98" s="157"/>
      <c r="J98" s="157"/>
    </row>
    <row r="99" spans="1:10" ht="12.75" customHeight="1" x14ac:dyDescent="0.2">
      <c r="A99" s="155"/>
      <c r="B99" s="155"/>
      <c r="C99" s="155"/>
      <c r="D99" s="157"/>
      <c r="E99" s="157"/>
      <c r="F99" s="157"/>
      <c r="G99" s="155"/>
      <c r="H99" s="155"/>
      <c r="I99" s="157"/>
      <c r="J99" s="157"/>
    </row>
    <row r="100" spans="1:10" ht="12.75" customHeight="1" x14ac:dyDescent="0.2">
      <c r="A100" s="155"/>
      <c r="B100" s="155"/>
      <c r="C100" s="155"/>
      <c r="D100" s="157"/>
      <c r="E100" s="157"/>
      <c r="F100" s="156"/>
      <c r="G100" s="155"/>
      <c r="H100" s="155"/>
      <c r="I100" s="157"/>
      <c r="J100" s="157"/>
    </row>
    <row r="101" spans="1:10" x14ac:dyDescent="0.2">
      <c r="A101" s="155"/>
      <c r="B101" s="155"/>
      <c r="C101" s="155"/>
      <c r="D101" s="157"/>
      <c r="E101" s="157"/>
      <c r="F101" s="156"/>
      <c r="G101" s="155"/>
      <c r="H101" s="155"/>
      <c r="I101" s="157"/>
      <c r="J101" s="157"/>
    </row>
    <row r="102" spans="1:10" x14ac:dyDescent="0.2">
      <c r="A102" s="155"/>
      <c r="B102" s="155"/>
      <c r="C102" s="155"/>
      <c r="D102" s="157"/>
      <c r="E102" s="157"/>
      <c r="F102" s="157"/>
      <c r="G102" s="155"/>
      <c r="H102" s="155"/>
      <c r="I102" s="157"/>
      <c r="J102" s="157"/>
    </row>
    <row r="103" spans="1:10" ht="12.75" customHeight="1" x14ac:dyDescent="0.2">
      <c r="A103" s="155"/>
      <c r="B103" s="155"/>
      <c r="C103" s="155"/>
      <c r="D103" s="157"/>
      <c r="E103" s="157"/>
      <c r="F103" s="156"/>
      <c r="G103" s="155"/>
      <c r="H103" s="155"/>
      <c r="I103" s="157"/>
      <c r="J103" s="157"/>
    </row>
    <row r="104" spans="1:10" ht="12.75" customHeight="1" x14ac:dyDescent="0.2">
      <c r="A104" s="155"/>
      <c r="B104" s="155"/>
      <c r="C104" s="155"/>
      <c r="D104" s="157"/>
      <c r="E104" s="157"/>
      <c r="F104" s="156"/>
      <c r="G104" s="155"/>
      <c r="H104" s="155"/>
      <c r="I104" s="157"/>
      <c r="J104" s="157"/>
    </row>
    <row r="105" spans="1:10" s="158" customFormat="1" ht="12.75" customHeight="1" x14ac:dyDescent="0.2">
      <c r="A105" s="155"/>
      <c r="B105" s="155"/>
      <c r="C105" s="155"/>
      <c r="D105" s="157"/>
      <c r="E105" s="157"/>
      <c r="F105" s="157"/>
      <c r="G105" s="155"/>
      <c r="H105" s="155"/>
      <c r="I105" s="157"/>
      <c r="J105" s="157"/>
    </row>
    <row r="106" spans="1:10" s="159" customFormat="1" ht="12.75" customHeight="1" x14ac:dyDescent="0.2">
      <c r="A106" s="155"/>
      <c r="B106" s="155"/>
      <c r="C106" s="155"/>
      <c r="D106" s="157"/>
      <c r="E106" s="157"/>
      <c r="F106" s="156"/>
      <c r="G106" s="155"/>
      <c r="H106" s="155"/>
      <c r="I106" s="157"/>
      <c r="J106" s="157"/>
    </row>
    <row r="107" spans="1:10" s="158" customFormat="1" ht="12.75" customHeight="1" x14ac:dyDescent="0.2">
      <c r="A107" s="155"/>
      <c r="B107" s="155"/>
      <c r="C107" s="155"/>
      <c r="D107" s="157"/>
      <c r="E107" s="157"/>
      <c r="F107" s="156"/>
      <c r="G107" s="155"/>
      <c r="H107" s="155"/>
      <c r="I107" s="157"/>
      <c r="J107" s="157"/>
    </row>
    <row r="108" spans="1:10" ht="12.75" customHeight="1" x14ac:dyDescent="0.2">
      <c r="A108" s="155"/>
      <c r="B108" s="155"/>
      <c r="C108" s="155"/>
      <c r="D108" s="157"/>
      <c r="E108" s="157"/>
      <c r="F108" s="157"/>
      <c r="G108" s="155"/>
      <c r="H108" s="155"/>
      <c r="I108" s="157"/>
      <c r="J108" s="157"/>
    </row>
    <row r="109" spans="1:10" ht="12.75" customHeight="1" x14ac:dyDescent="0.2">
      <c r="A109" s="155"/>
      <c r="B109" s="155"/>
      <c r="C109" s="155"/>
      <c r="D109" s="157"/>
      <c r="E109" s="157"/>
      <c r="F109" s="156"/>
      <c r="G109" s="155"/>
      <c r="H109" s="155"/>
      <c r="I109" s="157"/>
      <c r="J109" s="157"/>
    </row>
    <row r="110" spans="1:10" x14ac:dyDescent="0.2">
      <c r="A110" s="155"/>
      <c r="B110" s="155"/>
      <c r="C110" s="155"/>
      <c r="D110" s="157"/>
      <c r="E110" s="157"/>
      <c r="F110" s="156"/>
      <c r="G110" s="155"/>
      <c r="H110" s="155"/>
      <c r="I110" s="157"/>
      <c r="J110" s="157"/>
    </row>
    <row r="111" spans="1:10" x14ac:dyDescent="0.2">
      <c r="A111" s="155"/>
      <c r="B111" s="155"/>
      <c r="C111" s="155"/>
      <c r="D111" s="157"/>
      <c r="E111" s="157"/>
      <c r="F111" s="157"/>
      <c r="G111" s="155"/>
      <c r="H111" s="155"/>
      <c r="I111" s="157"/>
      <c r="J111" s="157"/>
    </row>
    <row r="112" spans="1:10" x14ac:dyDescent="0.2">
      <c r="A112" s="155"/>
      <c r="B112" s="155"/>
      <c r="C112" s="155"/>
      <c r="D112" s="157"/>
      <c r="E112" s="157"/>
      <c r="F112" s="156"/>
      <c r="G112" s="155"/>
      <c r="H112" s="155"/>
      <c r="I112" s="157"/>
      <c r="J112" s="157"/>
    </row>
    <row r="113" spans="1:10" x14ac:dyDescent="0.2">
      <c r="A113" s="155"/>
      <c r="B113" s="155"/>
      <c r="C113" s="155"/>
      <c r="D113" s="157"/>
      <c r="E113" s="157"/>
      <c r="F113" s="156"/>
      <c r="G113" s="155"/>
      <c r="H113" s="155"/>
      <c r="I113" s="157"/>
      <c r="J113" s="157"/>
    </row>
    <row r="114" spans="1:10" ht="12.75" customHeight="1" x14ac:dyDescent="0.2">
      <c r="A114" s="155"/>
      <c r="B114" s="155"/>
      <c r="C114" s="155"/>
      <c r="D114" s="157"/>
      <c r="E114" s="157"/>
      <c r="F114" s="157"/>
      <c r="G114" s="155"/>
      <c r="H114" s="155"/>
      <c r="I114" s="157"/>
      <c r="J114" s="157"/>
    </row>
    <row r="115" spans="1:10" x14ac:dyDescent="0.2">
      <c r="A115" s="155"/>
      <c r="B115" s="155"/>
      <c r="C115" s="155"/>
      <c r="D115" s="157"/>
      <c r="E115" s="157"/>
      <c r="F115" s="156"/>
      <c r="G115" s="155"/>
      <c r="H115" s="155"/>
      <c r="I115" s="157"/>
      <c r="J115" s="157"/>
    </row>
    <row r="116" spans="1:10" ht="12.75" customHeight="1" x14ac:dyDescent="0.2">
      <c r="A116" s="155"/>
      <c r="B116" s="155"/>
      <c r="C116" s="155"/>
      <c r="D116" s="157"/>
      <c r="E116" s="157"/>
      <c r="F116" s="156"/>
      <c r="G116" s="155"/>
      <c r="H116" s="155"/>
      <c r="I116" s="157"/>
      <c r="J116" s="157"/>
    </row>
    <row r="117" spans="1:10" x14ac:dyDescent="0.2">
      <c r="A117" s="155"/>
      <c r="B117" s="155"/>
      <c r="C117" s="155"/>
      <c r="D117" s="157"/>
      <c r="E117" s="157"/>
      <c r="F117" s="157"/>
      <c r="G117" s="155"/>
      <c r="H117" s="155"/>
      <c r="I117" s="157"/>
      <c r="J117" s="157"/>
    </row>
    <row r="118" spans="1:10" x14ac:dyDescent="0.2">
      <c r="A118" s="155"/>
      <c r="B118" s="155"/>
      <c r="C118" s="155"/>
      <c r="D118" s="157"/>
      <c r="E118" s="157"/>
      <c r="F118" s="156"/>
      <c r="G118" s="155"/>
      <c r="H118" s="155"/>
      <c r="I118" s="157"/>
      <c r="J118" s="157"/>
    </row>
    <row r="119" spans="1:10" x14ac:dyDescent="0.2">
      <c r="A119" s="155"/>
      <c r="B119" s="155"/>
      <c r="C119" s="155"/>
      <c r="D119" s="157"/>
      <c r="E119" s="157"/>
      <c r="F119" s="156"/>
      <c r="G119" s="155"/>
      <c r="H119" s="155"/>
      <c r="I119" s="157"/>
      <c r="J119" s="157"/>
    </row>
    <row r="120" spans="1:10" x14ac:dyDescent="0.2">
      <c r="A120" s="155"/>
      <c r="B120" s="155"/>
      <c r="C120" s="155"/>
      <c r="D120" s="157"/>
      <c r="E120" s="157"/>
      <c r="F120" s="157"/>
      <c r="G120" s="155"/>
      <c r="H120" s="155"/>
      <c r="I120" s="157"/>
      <c r="J120" s="157"/>
    </row>
    <row r="121" spans="1:10" ht="12.75" customHeight="1" x14ac:dyDescent="0.2">
      <c r="A121" s="155"/>
      <c r="B121" s="155"/>
      <c r="C121" s="155"/>
      <c r="D121" s="157"/>
      <c r="E121" s="157"/>
      <c r="F121" s="156"/>
      <c r="G121" s="155"/>
      <c r="H121" s="155"/>
      <c r="I121" s="157"/>
      <c r="J121" s="157"/>
    </row>
    <row r="122" spans="1:10" x14ac:dyDescent="0.2">
      <c r="A122" s="155"/>
      <c r="B122" s="155"/>
      <c r="C122" s="155"/>
      <c r="D122" s="157"/>
      <c r="E122" s="157"/>
      <c r="F122" s="156"/>
      <c r="G122" s="155"/>
      <c r="H122" s="155"/>
      <c r="I122" s="157"/>
      <c r="J122" s="157"/>
    </row>
    <row r="123" spans="1:10" x14ac:dyDescent="0.2">
      <c r="A123" s="155"/>
      <c r="B123" s="155"/>
      <c r="C123" s="155"/>
      <c r="D123" s="157"/>
      <c r="E123" s="157"/>
      <c r="F123" s="157"/>
      <c r="G123" s="155"/>
      <c r="H123" s="155"/>
      <c r="I123" s="157"/>
      <c r="J123" s="157"/>
    </row>
    <row r="124" spans="1:10" x14ac:dyDescent="0.2">
      <c r="A124" s="155"/>
      <c r="B124" s="155"/>
      <c r="C124" s="155"/>
      <c r="D124" s="157"/>
      <c r="E124" s="157"/>
      <c r="F124" s="156"/>
      <c r="G124" s="155"/>
      <c r="H124" s="155"/>
      <c r="I124" s="157"/>
      <c r="J124" s="157"/>
    </row>
    <row r="125" spans="1:10" x14ac:dyDescent="0.2">
      <c r="A125" s="155"/>
      <c r="B125" s="155"/>
      <c r="C125" s="155"/>
      <c r="D125" s="157"/>
      <c r="E125" s="157"/>
      <c r="F125" s="156"/>
      <c r="G125" s="155"/>
      <c r="H125" s="155"/>
      <c r="I125" s="157"/>
      <c r="J125" s="157"/>
    </row>
    <row r="126" spans="1:10" ht="12.75" customHeight="1" x14ac:dyDescent="0.2">
      <c r="A126" s="155"/>
      <c r="B126" s="155"/>
      <c r="C126" s="155"/>
      <c r="D126" s="157"/>
      <c r="E126" s="157"/>
      <c r="F126" s="157"/>
      <c r="G126" s="155"/>
      <c r="H126" s="155"/>
      <c r="I126" s="157"/>
      <c r="J126" s="157"/>
    </row>
    <row r="127" spans="1:10" x14ac:dyDescent="0.2">
      <c r="A127" s="155"/>
      <c r="B127" s="155"/>
      <c r="C127" s="155"/>
      <c r="D127" s="157"/>
      <c r="E127" s="157"/>
      <c r="F127" s="156"/>
      <c r="G127" s="155"/>
      <c r="H127" s="155"/>
      <c r="I127" s="157"/>
      <c r="J127" s="157"/>
    </row>
    <row r="128" spans="1:10" x14ac:dyDescent="0.2">
      <c r="A128" s="155"/>
      <c r="B128" s="155"/>
      <c r="C128" s="155"/>
      <c r="D128" s="157"/>
      <c r="E128" s="157"/>
      <c r="F128" s="156"/>
      <c r="G128" s="155"/>
      <c r="H128" s="155"/>
      <c r="I128" s="157"/>
      <c r="J128" s="157"/>
    </row>
    <row r="129" spans="1:10" ht="12.75" customHeight="1" x14ac:dyDescent="0.2">
      <c r="A129" s="155"/>
      <c r="B129" s="155"/>
      <c r="C129" s="155"/>
      <c r="D129" s="157"/>
      <c r="E129" s="157"/>
      <c r="F129" s="157"/>
      <c r="G129" s="155"/>
      <c r="H129" s="155"/>
      <c r="I129" s="157"/>
      <c r="J129" s="157"/>
    </row>
    <row r="130" spans="1:10" x14ac:dyDescent="0.2">
      <c r="A130" s="155"/>
      <c r="B130" s="155"/>
      <c r="C130" s="155"/>
      <c r="D130" s="157"/>
      <c r="E130" s="157"/>
      <c r="F130" s="156"/>
      <c r="G130" s="155"/>
      <c r="H130" s="155"/>
      <c r="I130" s="157"/>
      <c r="J130" s="157"/>
    </row>
    <row r="131" spans="1:10" x14ac:dyDescent="0.2">
      <c r="A131" s="155"/>
      <c r="B131" s="155"/>
      <c r="C131" s="155"/>
      <c r="D131" s="157"/>
      <c r="E131" s="157"/>
      <c r="F131" s="156"/>
      <c r="G131" s="155"/>
      <c r="H131" s="155"/>
      <c r="I131" s="157"/>
      <c r="J131" s="157"/>
    </row>
    <row r="132" spans="1:10" x14ac:dyDescent="0.2">
      <c r="A132" s="155"/>
      <c r="B132" s="155"/>
      <c r="C132" s="155"/>
      <c r="D132" s="157"/>
      <c r="E132" s="157"/>
      <c r="F132" s="157"/>
      <c r="G132" s="155"/>
      <c r="H132" s="155"/>
      <c r="I132" s="157"/>
      <c r="J132" s="157"/>
    </row>
    <row r="133" spans="1:10" x14ac:dyDescent="0.2">
      <c r="A133" s="155"/>
      <c r="B133" s="155"/>
      <c r="C133" s="155"/>
      <c r="D133" s="157"/>
      <c r="E133" s="157"/>
      <c r="F133" s="156"/>
      <c r="G133" s="155"/>
      <c r="H133" s="155"/>
      <c r="I133" s="157"/>
      <c r="J133" s="157"/>
    </row>
    <row r="134" spans="1:10" ht="12.75" customHeight="1" x14ac:dyDescent="0.2">
      <c r="A134" s="155"/>
      <c r="B134" s="155"/>
      <c r="C134" s="155"/>
      <c r="D134" s="157"/>
      <c r="E134" s="157"/>
      <c r="F134" s="156"/>
      <c r="G134" s="155"/>
      <c r="H134" s="155"/>
      <c r="I134" s="157"/>
      <c r="J134" s="157"/>
    </row>
    <row r="135" spans="1:10" ht="12.75" customHeight="1" x14ac:dyDescent="0.2">
      <c r="A135" s="155"/>
      <c r="B135" s="155"/>
      <c r="C135" s="155"/>
      <c r="D135" s="157"/>
      <c r="E135" s="157"/>
      <c r="F135" s="157"/>
      <c r="G135" s="155"/>
      <c r="H135" s="155"/>
      <c r="I135" s="157"/>
      <c r="J135" s="157"/>
    </row>
    <row r="136" spans="1:10" ht="12.75" customHeight="1" x14ac:dyDescent="0.2">
      <c r="A136" s="155"/>
      <c r="B136" s="155"/>
      <c r="C136" s="155"/>
      <c r="D136" s="157"/>
      <c r="E136" s="157"/>
      <c r="F136" s="156"/>
      <c r="G136" s="155"/>
      <c r="H136" s="155"/>
      <c r="I136" s="157"/>
      <c r="J136" s="157"/>
    </row>
    <row r="137" spans="1:10" ht="12.75" customHeight="1" x14ac:dyDescent="0.2">
      <c r="A137" s="155"/>
      <c r="B137" s="155"/>
      <c r="C137" s="155"/>
      <c r="D137" s="157"/>
      <c r="E137" s="157"/>
      <c r="F137" s="156"/>
      <c r="G137" s="155"/>
      <c r="H137" s="155"/>
      <c r="I137" s="157"/>
      <c r="J137" s="157"/>
    </row>
    <row r="138" spans="1:10" ht="12.75" customHeight="1" x14ac:dyDescent="0.2">
      <c r="A138" s="155"/>
      <c r="B138" s="155"/>
      <c r="C138" s="155"/>
      <c r="D138" s="157"/>
      <c r="E138" s="157"/>
      <c r="F138" s="157"/>
      <c r="G138" s="155"/>
      <c r="H138" s="155"/>
      <c r="I138" s="157"/>
      <c r="J138" s="157"/>
    </row>
    <row r="139" spans="1:10" ht="12.75" customHeight="1" x14ac:dyDescent="0.2">
      <c r="A139" s="155"/>
      <c r="B139" s="155"/>
      <c r="C139" s="155"/>
      <c r="D139" s="157"/>
      <c r="E139" s="157"/>
      <c r="F139" s="156"/>
      <c r="G139" s="155"/>
      <c r="H139" s="155"/>
      <c r="I139" s="157"/>
      <c r="J139" s="157"/>
    </row>
    <row r="140" spans="1:10" ht="12.75" customHeight="1" x14ac:dyDescent="0.2">
      <c r="A140" s="155"/>
      <c r="B140" s="155"/>
      <c r="C140" s="155"/>
      <c r="D140" s="157"/>
      <c r="E140" s="157"/>
      <c r="F140" s="156"/>
      <c r="G140" s="155"/>
      <c r="H140" s="155"/>
      <c r="I140" s="157"/>
      <c r="J140" s="157"/>
    </row>
    <row r="141" spans="1:10" ht="12.75" customHeight="1" x14ac:dyDescent="0.2">
      <c r="A141" s="155"/>
      <c r="B141" s="155"/>
      <c r="C141" s="155"/>
      <c r="D141" s="157"/>
      <c r="E141" s="157"/>
      <c r="F141" s="157"/>
      <c r="G141" s="155"/>
      <c r="H141" s="155"/>
      <c r="I141" s="157"/>
      <c r="J141" s="157"/>
    </row>
    <row r="142" spans="1:10" ht="12.75" customHeight="1" x14ac:dyDescent="0.2">
      <c r="A142" s="155"/>
      <c r="B142" s="155"/>
      <c r="C142" s="155"/>
      <c r="D142" s="157"/>
      <c r="E142" s="157"/>
      <c r="F142" s="156"/>
      <c r="G142" s="155"/>
      <c r="H142" s="155"/>
      <c r="I142" s="157"/>
      <c r="J142" s="157"/>
    </row>
    <row r="143" spans="1:10" ht="12.75" customHeight="1" x14ac:dyDescent="0.2">
      <c r="A143" s="155"/>
      <c r="B143" s="155"/>
      <c r="C143" s="155"/>
      <c r="D143" s="157"/>
      <c r="E143" s="157"/>
      <c r="F143" s="156"/>
      <c r="G143" s="155"/>
      <c r="H143" s="155"/>
      <c r="I143" s="157"/>
      <c r="J143" s="157"/>
    </row>
    <row r="144" spans="1:10" ht="12.75" customHeight="1" x14ac:dyDescent="0.2">
      <c r="A144" s="155"/>
      <c r="B144" s="155"/>
      <c r="C144" s="155"/>
      <c r="D144" s="157"/>
      <c r="E144" s="157"/>
      <c r="F144" s="157"/>
      <c r="G144" s="155"/>
      <c r="H144" s="155"/>
      <c r="I144" s="157"/>
      <c r="J144" s="157"/>
    </row>
    <row r="145" spans="1:10" ht="12.75" customHeight="1" x14ac:dyDescent="0.2">
      <c r="A145" s="155"/>
      <c r="B145" s="155"/>
      <c r="C145" s="155"/>
      <c r="D145" s="157"/>
      <c r="E145" s="157"/>
      <c r="F145" s="156"/>
      <c r="G145" s="155"/>
      <c r="H145" s="155"/>
      <c r="I145" s="157"/>
      <c r="J145" s="157"/>
    </row>
    <row r="146" spans="1:10" ht="12.75" customHeight="1" x14ac:dyDescent="0.2">
      <c r="A146" s="155"/>
      <c r="B146" s="155"/>
      <c r="C146" s="155"/>
      <c r="D146" s="157"/>
      <c r="E146" s="157"/>
      <c r="F146" s="156"/>
      <c r="G146" s="155"/>
      <c r="H146" s="155"/>
      <c r="I146" s="157"/>
      <c r="J146" s="157"/>
    </row>
    <row r="147" spans="1:10" ht="12.75" customHeight="1" x14ac:dyDescent="0.2">
      <c r="A147" s="155"/>
      <c r="B147" s="155"/>
      <c r="C147" s="155"/>
      <c r="D147" s="157"/>
      <c r="E147" s="157"/>
      <c r="F147" s="157"/>
      <c r="G147" s="155"/>
      <c r="H147" s="155"/>
      <c r="I147" s="157"/>
      <c r="J147" s="157"/>
    </row>
    <row r="148" spans="1:10" ht="12.75" customHeight="1" x14ac:dyDescent="0.2">
      <c r="A148" s="155"/>
      <c r="B148" s="155"/>
      <c r="C148" s="155"/>
      <c r="D148" s="157"/>
      <c r="E148" s="157"/>
      <c r="F148" s="156"/>
      <c r="G148" s="155"/>
      <c r="H148" s="155"/>
      <c r="I148" s="157"/>
      <c r="J148" s="157"/>
    </row>
    <row r="149" spans="1:10" ht="12.75" customHeight="1" x14ac:dyDescent="0.2">
      <c r="A149" s="155"/>
      <c r="B149" s="155"/>
      <c r="C149" s="155"/>
      <c r="D149" s="157"/>
      <c r="E149" s="157"/>
      <c r="F149" s="156"/>
      <c r="G149" s="155"/>
      <c r="H149" s="155"/>
      <c r="I149" s="157"/>
      <c r="J149" s="157"/>
    </row>
    <row r="150" spans="1:10" ht="12.75" customHeight="1" x14ac:dyDescent="0.2">
      <c r="A150" s="155"/>
      <c r="B150" s="155"/>
      <c r="C150" s="155"/>
      <c r="D150" s="157"/>
      <c r="E150" s="157"/>
      <c r="F150" s="157"/>
      <c r="G150" s="155"/>
      <c r="H150" s="155"/>
      <c r="I150" s="157"/>
      <c r="J150" s="157"/>
    </row>
    <row r="151" spans="1:10" ht="12.75" customHeight="1" x14ac:dyDescent="0.2">
      <c r="A151" s="155"/>
      <c r="B151" s="155"/>
      <c r="C151" s="155"/>
      <c r="D151" s="157"/>
      <c r="E151" s="157"/>
      <c r="F151" s="156"/>
      <c r="G151" s="155"/>
      <c r="H151" s="155"/>
      <c r="I151" s="157"/>
      <c r="J151" s="157"/>
    </row>
    <row r="152" spans="1:10" ht="12.75" customHeight="1" x14ac:dyDescent="0.2">
      <c r="A152" s="155"/>
      <c r="B152" s="155"/>
      <c r="C152" s="155"/>
      <c r="D152" s="157"/>
      <c r="E152" s="157"/>
      <c r="F152" s="156"/>
      <c r="G152" s="155"/>
      <c r="H152" s="155"/>
      <c r="I152" s="157"/>
      <c r="J152" s="157"/>
    </row>
    <row r="153" spans="1:10" ht="12.75" customHeight="1" x14ac:dyDescent="0.2">
      <c r="A153" s="155"/>
      <c r="B153" s="155"/>
      <c r="C153" s="155"/>
      <c r="D153" s="157"/>
      <c r="E153" s="157"/>
      <c r="F153" s="157"/>
      <c r="G153" s="155"/>
      <c r="H153" s="155"/>
      <c r="I153" s="157"/>
      <c r="J153" s="157"/>
    </row>
    <row r="154" spans="1:10" ht="12.75" customHeight="1" x14ac:dyDescent="0.2">
      <c r="A154" s="155"/>
      <c r="B154" s="155"/>
      <c r="C154" s="155"/>
      <c r="D154" s="157"/>
      <c r="E154" s="157"/>
      <c r="F154" s="156"/>
      <c r="G154" s="155"/>
      <c r="H154" s="155"/>
      <c r="I154" s="157"/>
      <c r="J154" s="157"/>
    </row>
    <row r="155" spans="1:10" ht="12.75" customHeight="1" x14ac:dyDescent="0.2">
      <c r="A155" s="155"/>
      <c r="B155" s="155"/>
      <c r="C155" s="155"/>
      <c r="D155" s="157"/>
      <c r="E155" s="157"/>
      <c r="F155" s="156"/>
      <c r="G155" s="155"/>
      <c r="H155" s="155"/>
      <c r="I155" s="157"/>
      <c r="J155" s="157"/>
    </row>
    <row r="156" spans="1:10" ht="12.75" customHeight="1" x14ac:dyDescent="0.2">
      <c r="A156" s="155"/>
      <c r="B156" s="155"/>
      <c r="C156" s="155"/>
      <c r="D156" s="157"/>
      <c r="E156" s="157"/>
      <c r="F156" s="157"/>
      <c r="G156" s="155"/>
      <c r="H156" s="155"/>
      <c r="I156" s="157"/>
      <c r="J156" s="157"/>
    </row>
    <row r="157" spans="1:10" ht="12.75" customHeight="1" x14ac:dyDescent="0.2">
      <c r="A157" s="155"/>
      <c r="B157" s="155"/>
      <c r="C157" s="155"/>
      <c r="D157" s="157"/>
      <c r="E157" s="157"/>
      <c r="F157" s="156"/>
      <c r="G157" s="155"/>
      <c r="H157" s="155"/>
      <c r="I157" s="157"/>
      <c r="J157" s="157"/>
    </row>
    <row r="158" spans="1:10" ht="12.75" customHeight="1" x14ac:dyDescent="0.2">
      <c r="A158" s="155"/>
      <c r="B158" s="155"/>
      <c r="C158" s="155"/>
      <c r="D158" s="157"/>
      <c r="E158" s="157"/>
      <c r="F158" s="156"/>
      <c r="G158" s="155"/>
      <c r="H158" s="155"/>
      <c r="I158" s="157"/>
      <c r="J158" s="157"/>
    </row>
    <row r="159" spans="1:10" ht="12.75" customHeight="1" x14ac:dyDescent="0.2">
      <c r="A159" s="155"/>
      <c r="B159" s="155"/>
      <c r="C159" s="155"/>
      <c r="D159" s="157"/>
      <c r="E159" s="157"/>
      <c r="F159" s="157"/>
      <c r="G159" s="155"/>
      <c r="H159" s="155"/>
      <c r="I159" s="157"/>
      <c r="J159" s="157"/>
    </row>
    <row r="160" spans="1:10" ht="12.75" customHeight="1" x14ac:dyDescent="0.2">
      <c r="A160" s="155"/>
      <c r="B160" s="155"/>
      <c r="C160" s="155"/>
      <c r="D160" s="157"/>
      <c r="E160" s="157"/>
      <c r="F160" s="156"/>
      <c r="G160" s="155"/>
      <c r="H160" s="155"/>
      <c r="I160" s="157"/>
      <c r="J160" s="157"/>
    </row>
    <row r="161" spans="1:10" ht="12.75" customHeight="1" x14ac:dyDescent="0.2">
      <c r="A161" s="155"/>
      <c r="B161" s="155"/>
      <c r="C161" s="155"/>
      <c r="D161" s="157"/>
      <c r="E161" s="157"/>
      <c r="F161" s="156"/>
      <c r="G161" s="155"/>
      <c r="H161" s="155"/>
      <c r="I161" s="157"/>
      <c r="J161" s="157"/>
    </row>
    <row r="162" spans="1:10" ht="12.75" customHeight="1" x14ac:dyDescent="0.2">
      <c r="A162" s="155"/>
      <c r="B162" s="155"/>
      <c r="C162" s="155"/>
      <c r="D162" s="157"/>
      <c r="E162" s="157"/>
      <c r="F162" s="157"/>
      <c r="G162" s="155"/>
      <c r="H162" s="155"/>
      <c r="I162" s="157"/>
      <c r="J162" s="157"/>
    </row>
    <row r="163" spans="1:10" ht="12.75" customHeight="1" x14ac:dyDescent="0.2">
      <c r="A163" s="155"/>
      <c r="B163" s="155"/>
      <c r="C163" s="155"/>
      <c r="D163" s="157"/>
      <c r="E163" s="157"/>
      <c r="F163" s="156"/>
      <c r="G163" s="155"/>
      <c r="H163" s="155"/>
      <c r="I163" s="157"/>
      <c r="J163" s="157"/>
    </row>
    <row r="164" spans="1:10" ht="12.75" customHeight="1" x14ac:dyDescent="0.2">
      <c r="A164" s="155"/>
      <c r="B164" s="155"/>
      <c r="C164" s="155"/>
      <c r="D164" s="157"/>
      <c r="E164" s="157"/>
      <c r="F164" s="156"/>
      <c r="G164" s="155"/>
      <c r="H164" s="155"/>
      <c r="I164" s="157"/>
      <c r="J164" s="157"/>
    </row>
    <row r="165" spans="1:10" ht="12.75" customHeight="1" x14ac:dyDescent="0.2">
      <c r="A165" s="155"/>
      <c r="B165" s="155"/>
      <c r="C165" s="155"/>
      <c r="D165" s="157"/>
      <c r="E165" s="157"/>
      <c r="F165" s="157"/>
      <c r="G165" s="155"/>
      <c r="H165" s="155"/>
      <c r="I165" s="157"/>
      <c r="J165" s="157"/>
    </row>
    <row r="166" spans="1:10" ht="12.75" customHeight="1" x14ac:dyDescent="0.2">
      <c r="A166" s="155"/>
      <c r="B166" s="155"/>
      <c r="C166" s="155"/>
      <c r="D166" s="157"/>
      <c r="E166" s="157"/>
      <c r="F166" s="156"/>
      <c r="G166" s="155"/>
      <c r="H166" s="155"/>
      <c r="I166" s="157"/>
      <c r="J166" s="157"/>
    </row>
    <row r="167" spans="1:10" ht="12.75" customHeight="1" x14ac:dyDescent="0.2">
      <c r="A167" s="155"/>
      <c r="B167" s="155"/>
      <c r="C167" s="155"/>
      <c r="D167" s="157"/>
      <c r="E167" s="157"/>
      <c r="F167" s="156"/>
      <c r="G167" s="155"/>
      <c r="H167" s="155"/>
      <c r="I167" s="157"/>
      <c r="J167" s="157"/>
    </row>
    <row r="168" spans="1:10" ht="12.75" customHeight="1" x14ac:dyDescent="0.2">
      <c r="A168" s="155"/>
      <c r="B168" s="155"/>
      <c r="C168" s="155"/>
      <c r="D168" s="157"/>
      <c r="E168" s="157"/>
      <c r="F168" s="157"/>
      <c r="G168" s="155"/>
      <c r="H168" s="155"/>
      <c r="I168" s="157"/>
      <c r="J168" s="157"/>
    </row>
    <row r="169" spans="1:10" ht="12.75" customHeight="1" x14ac:dyDescent="0.2">
      <c r="A169" s="155"/>
      <c r="B169" s="155"/>
      <c r="C169" s="155"/>
      <c r="D169" s="157"/>
      <c r="E169" s="157"/>
      <c r="F169" s="156"/>
      <c r="G169" s="155"/>
      <c r="H169" s="155"/>
      <c r="I169" s="157"/>
      <c r="J169" s="157"/>
    </row>
    <row r="170" spans="1:10" ht="12.75" customHeight="1" x14ac:dyDescent="0.2">
      <c r="A170" s="155"/>
      <c r="B170" s="155"/>
      <c r="C170" s="155"/>
      <c r="D170" s="157"/>
      <c r="E170" s="157"/>
      <c r="F170" s="156"/>
      <c r="G170" s="155"/>
      <c r="H170" s="155"/>
      <c r="I170" s="157"/>
      <c r="J170" s="157"/>
    </row>
    <row r="171" spans="1:10" ht="12.75" customHeight="1" x14ac:dyDescent="0.2">
      <c r="A171" s="155"/>
      <c r="B171" s="155"/>
      <c r="C171" s="155"/>
      <c r="D171" s="157"/>
      <c r="E171" s="157"/>
      <c r="F171" s="157"/>
      <c r="G171" s="155"/>
      <c r="H171" s="155"/>
      <c r="I171" s="157"/>
      <c r="J171" s="157"/>
    </row>
    <row r="172" spans="1:10" ht="12.75" customHeight="1" x14ac:dyDescent="0.2">
      <c r="A172" s="155"/>
      <c r="B172" s="155"/>
      <c r="C172" s="155"/>
      <c r="D172" s="157"/>
      <c r="E172" s="157"/>
      <c r="F172" s="156"/>
      <c r="G172" s="155"/>
      <c r="H172" s="155"/>
      <c r="I172" s="157"/>
      <c r="J172" s="157"/>
    </row>
    <row r="173" spans="1:10" ht="12.75" customHeight="1" x14ac:dyDescent="0.2">
      <c r="A173" s="155"/>
      <c r="B173" s="155"/>
      <c r="C173" s="155"/>
      <c r="D173" s="157"/>
      <c r="E173" s="157"/>
      <c r="F173" s="156"/>
      <c r="G173" s="155"/>
      <c r="H173" s="155"/>
      <c r="I173" s="157"/>
      <c r="J173" s="157"/>
    </row>
    <row r="174" spans="1:10" ht="12.75" customHeight="1" x14ac:dyDescent="0.2">
      <c r="A174" s="155"/>
      <c r="B174" s="155"/>
      <c r="C174" s="155"/>
      <c r="D174" s="157"/>
      <c r="E174" s="157"/>
      <c r="F174" s="157"/>
      <c r="G174" s="155"/>
      <c r="H174" s="155"/>
      <c r="I174" s="157"/>
      <c r="J174" s="157"/>
    </row>
    <row r="175" spans="1:10" ht="12.75" customHeight="1" x14ac:dyDescent="0.2">
      <c r="A175" s="155"/>
      <c r="B175" s="155"/>
      <c r="C175" s="155"/>
      <c r="D175" s="157"/>
      <c r="E175" s="157"/>
      <c r="F175" s="156"/>
      <c r="G175" s="155"/>
      <c r="H175" s="155"/>
      <c r="I175" s="157"/>
      <c r="J175" s="157"/>
    </row>
    <row r="176" spans="1:10" ht="12.75" customHeight="1" x14ac:dyDescent="0.2">
      <c r="A176" s="155"/>
      <c r="B176" s="155"/>
      <c r="C176" s="155"/>
      <c r="D176" s="157"/>
      <c r="E176" s="157"/>
      <c r="F176" s="156"/>
      <c r="G176" s="155"/>
      <c r="H176" s="155"/>
      <c r="I176" s="157"/>
      <c r="J176" s="157"/>
    </row>
    <row r="177" spans="1:10" ht="12.75" customHeight="1" x14ac:dyDescent="0.2">
      <c r="A177" s="155"/>
      <c r="B177" s="155"/>
      <c r="C177" s="155"/>
      <c r="D177" s="157"/>
      <c r="E177" s="157"/>
      <c r="F177" s="157"/>
      <c r="G177" s="155"/>
      <c r="H177" s="155"/>
      <c r="I177" s="157"/>
      <c r="J177" s="157"/>
    </row>
    <row r="178" spans="1:10" ht="12.75" customHeight="1" x14ac:dyDescent="0.2">
      <c r="A178" s="155"/>
      <c r="B178" s="155"/>
      <c r="C178" s="155"/>
      <c r="D178" s="157"/>
      <c r="E178" s="157"/>
      <c r="F178" s="156"/>
      <c r="G178" s="155"/>
      <c r="H178" s="155"/>
      <c r="I178" s="157"/>
      <c r="J178" s="157"/>
    </row>
    <row r="179" spans="1:10" ht="12.75" customHeight="1" x14ac:dyDescent="0.2">
      <c r="A179" s="155"/>
      <c r="B179" s="155"/>
      <c r="C179" s="155"/>
      <c r="D179" s="157"/>
      <c r="E179" s="157"/>
      <c r="F179" s="156"/>
      <c r="G179" s="155"/>
      <c r="H179" s="155"/>
      <c r="I179" s="157"/>
      <c r="J179" s="157"/>
    </row>
    <row r="180" spans="1:10" ht="12.75" customHeight="1" x14ac:dyDescent="0.2">
      <c r="A180" s="155"/>
      <c r="B180" s="155"/>
      <c r="C180" s="155"/>
      <c r="D180" s="157"/>
      <c r="E180" s="157"/>
      <c r="F180" s="157"/>
      <c r="G180" s="155"/>
      <c r="H180" s="155"/>
      <c r="I180" s="157"/>
      <c r="J180" s="157"/>
    </row>
    <row r="181" spans="1:10" ht="12.75" customHeight="1" x14ac:dyDescent="0.2">
      <c r="A181" s="155"/>
      <c r="B181" s="155"/>
      <c r="C181" s="155"/>
      <c r="D181" s="157"/>
      <c r="E181" s="157"/>
      <c r="F181" s="156"/>
      <c r="G181" s="155"/>
      <c r="H181" s="155"/>
      <c r="I181" s="157"/>
      <c r="J181" s="157"/>
    </row>
    <row r="182" spans="1:10" ht="12.75" customHeight="1" x14ac:dyDescent="0.2">
      <c r="A182" s="155"/>
      <c r="B182" s="155"/>
      <c r="C182" s="155"/>
      <c r="D182" s="157"/>
      <c r="E182" s="157"/>
      <c r="F182" s="156"/>
      <c r="G182" s="155"/>
      <c r="H182" s="155"/>
      <c r="I182" s="157"/>
      <c r="J182" s="157"/>
    </row>
    <row r="183" spans="1:10" ht="12.75" customHeight="1" x14ac:dyDescent="0.2">
      <c r="A183" s="155"/>
      <c r="B183" s="155"/>
      <c r="C183" s="155"/>
      <c r="D183" s="157"/>
      <c r="E183" s="157"/>
      <c r="F183" s="157"/>
      <c r="G183" s="155"/>
      <c r="H183" s="155"/>
      <c r="I183" s="157"/>
      <c r="J183" s="157"/>
    </row>
    <row r="184" spans="1:10" ht="12.75" customHeight="1" x14ac:dyDescent="0.2">
      <c r="A184" s="155"/>
      <c r="B184" s="155"/>
      <c r="C184" s="155"/>
      <c r="D184" s="157"/>
      <c r="E184" s="157"/>
      <c r="F184" s="156"/>
      <c r="G184" s="155"/>
      <c r="H184" s="155"/>
      <c r="I184" s="157"/>
      <c r="J184" s="157"/>
    </row>
    <row r="185" spans="1:10" ht="12.75" customHeight="1" x14ac:dyDescent="0.2">
      <c r="A185" s="155"/>
      <c r="B185" s="155"/>
      <c r="C185" s="155"/>
      <c r="D185" s="157"/>
      <c r="E185" s="157"/>
      <c r="F185" s="156"/>
      <c r="G185" s="155"/>
      <c r="H185" s="155"/>
      <c r="I185" s="157"/>
      <c r="J185" s="157"/>
    </row>
    <row r="186" spans="1:10" ht="12.75" customHeight="1" x14ac:dyDescent="0.2">
      <c r="A186" s="155"/>
      <c r="B186" s="155"/>
      <c r="C186" s="155"/>
      <c r="D186" s="157"/>
      <c r="E186" s="157"/>
      <c r="F186" s="157"/>
      <c r="G186" s="155"/>
      <c r="H186" s="155"/>
      <c r="I186" s="157"/>
      <c r="J186" s="157"/>
    </row>
    <row r="187" spans="1:10" ht="12.75" customHeight="1" x14ac:dyDescent="0.2">
      <c r="A187" s="155"/>
      <c r="B187" s="155"/>
      <c r="C187" s="155"/>
      <c r="D187" s="157"/>
      <c r="E187" s="157"/>
      <c r="F187" s="156"/>
      <c r="G187" s="155"/>
      <c r="H187" s="155"/>
      <c r="I187" s="157"/>
      <c r="J187" s="157"/>
    </row>
    <row r="188" spans="1:10" ht="12.75" customHeight="1" x14ac:dyDescent="0.2">
      <c r="A188" s="155"/>
      <c r="B188" s="155"/>
      <c r="C188" s="155"/>
      <c r="D188" s="157"/>
      <c r="E188" s="157"/>
      <c r="F188" s="156"/>
      <c r="G188" s="155"/>
      <c r="H188" s="155"/>
      <c r="I188" s="157"/>
      <c r="J188" s="157"/>
    </row>
    <row r="189" spans="1:10" ht="12.75" customHeight="1" x14ac:dyDescent="0.2">
      <c r="A189" s="155"/>
      <c r="B189" s="155"/>
      <c r="C189" s="155"/>
      <c r="D189" s="157"/>
      <c r="E189" s="157"/>
      <c r="F189" s="157"/>
      <c r="G189" s="155"/>
      <c r="H189" s="155"/>
      <c r="I189" s="157"/>
      <c r="J189" s="157"/>
    </row>
    <row r="190" spans="1:10" ht="12.75" customHeight="1" x14ac:dyDescent="0.2">
      <c r="A190" s="155"/>
      <c r="B190" s="155"/>
      <c r="C190" s="155"/>
      <c r="D190" s="157"/>
      <c r="E190" s="157"/>
      <c r="F190" s="156"/>
      <c r="G190" s="155"/>
      <c r="H190" s="155"/>
      <c r="I190" s="157"/>
      <c r="J190" s="157"/>
    </row>
    <row r="191" spans="1:10" ht="12.75" customHeight="1" x14ac:dyDescent="0.2">
      <c r="A191" s="155"/>
      <c r="B191" s="155"/>
      <c r="C191" s="155"/>
      <c r="D191" s="157"/>
      <c r="E191" s="157"/>
      <c r="F191" s="156"/>
      <c r="G191" s="155"/>
      <c r="H191" s="155"/>
      <c r="I191" s="157"/>
      <c r="J191" s="157"/>
    </row>
    <row r="192" spans="1:10" ht="12.75" customHeight="1" x14ac:dyDescent="0.2">
      <c r="A192" s="155"/>
      <c r="B192" s="155"/>
      <c r="C192" s="155"/>
      <c r="D192" s="157"/>
      <c r="E192" s="157"/>
      <c r="F192" s="157"/>
      <c r="G192" s="155"/>
      <c r="H192" s="155"/>
      <c r="I192" s="157"/>
      <c r="J192" s="157"/>
    </row>
    <row r="193" spans="1:10" ht="12.75" customHeight="1" x14ac:dyDescent="0.2">
      <c r="A193" s="155"/>
      <c r="B193" s="155"/>
      <c r="C193" s="155"/>
      <c r="D193" s="157"/>
      <c r="E193" s="157"/>
      <c r="F193" s="156"/>
      <c r="G193" s="155"/>
      <c r="H193" s="155"/>
      <c r="I193" s="157"/>
      <c r="J193" s="157"/>
    </row>
    <row r="194" spans="1:10" ht="12.75" customHeight="1" x14ac:dyDescent="0.2">
      <c r="A194" s="155"/>
      <c r="B194" s="155"/>
      <c r="C194" s="155"/>
      <c r="D194" s="157"/>
      <c r="E194" s="157"/>
      <c r="F194" s="156"/>
      <c r="G194" s="155"/>
      <c r="H194" s="155"/>
      <c r="I194" s="157"/>
      <c r="J194" s="157"/>
    </row>
    <row r="195" spans="1:10" ht="12.75" customHeight="1" x14ac:dyDescent="0.2">
      <c r="A195" s="155"/>
      <c r="B195" s="155"/>
      <c r="C195" s="155"/>
      <c r="D195" s="157"/>
      <c r="E195" s="157"/>
      <c r="F195" s="157"/>
      <c r="G195" s="155"/>
      <c r="H195" s="155"/>
      <c r="I195" s="157"/>
      <c r="J195" s="157"/>
    </row>
    <row r="196" spans="1:10" ht="12.75" customHeight="1" x14ac:dyDescent="0.2">
      <c r="A196" s="155"/>
      <c r="B196" s="155"/>
      <c r="C196" s="155"/>
      <c r="D196" s="157"/>
      <c r="E196" s="157"/>
      <c r="F196" s="156"/>
      <c r="G196" s="155"/>
      <c r="H196" s="155"/>
      <c r="I196" s="157"/>
      <c r="J196" s="157"/>
    </row>
    <row r="197" spans="1:10" ht="12.75" customHeight="1" x14ac:dyDescent="0.2">
      <c r="A197" s="155"/>
      <c r="B197" s="155"/>
      <c r="C197" s="155"/>
      <c r="D197" s="157"/>
      <c r="E197" s="157"/>
      <c r="F197" s="156"/>
      <c r="G197" s="155"/>
      <c r="H197" s="155"/>
      <c r="I197" s="157"/>
      <c r="J197" s="157"/>
    </row>
    <row r="198" spans="1:10" ht="12.75" customHeight="1" x14ac:dyDescent="0.2">
      <c r="A198" s="155"/>
      <c r="B198" s="155"/>
      <c r="C198" s="155"/>
      <c r="D198" s="157"/>
      <c r="E198" s="157"/>
      <c r="F198" s="157"/>
      <c r="G198" s="155"/>
      <c r="H198" s="155"/>
      <c r="I198" s="157"/>
      <c r="J198" s="157"/>
    </row>
    <row r="199" spans="1:10" ht="12.75" customHeight="1" x14ac:dyDescent="0.2">
      <c r="A199" s="155"/>
      <c r="B199" s="155"/>
      <c r="C199" s="155"/>
      <c r="D199" s="157"/>
      <c r="E199" s="157"/>
      <c r="F199" s="156"/>
      <c r="G199" s="155"/>
      <c r="H199" s="155"/>
      <c r="I199" s="157"/>
      <c r="J199" s="157"/>
    </row>
    <row r="200" spans="1:10" ht="12.75" customHeight="1" x14ac:dyDescent="0.2">
      <c r="A200" s="155"/>
      <c r="B200" s="155"/>
      <c r="C200" s="155"/>
      <c r="D200" s="157"/>
      <c r="E200" s="157"/>
      <c r="F200" s="156"/>
      <c r="G200" s="155"/>
      <c r="H200" s="155"/>
      <c r="I200" s="157"/>
      <c r="J200" s="157"/>
    </row>
    <row r="201" spans="1:10" ht="12.75" customHeight="1" x14ac:dyDescent="0.2">
      <c r="A201" s="155"/>
      <c r="B201" s="155"/>
      <c r="C201" s="155"/>
      <c r="D201" s="157"/>
      <c r="E201" s="157"/>
      <c r="F201" s="157"/>
      <c r="G201" s="155"/>
      <c r="H201" s="155"/>
      <c r="I201" s="157"/>
      <c r="J201" s="157"/>
    </row>
    <row r="202" spans="1:10" ht="12.75" customHeight="1" x14ac:dyDescent="0.2">
      <c r="A202" s="155"/>
      <c r="B202" s="155"/>
      <c r="C202" s="155"/>
      <c r="D202" s="157"/>
      <c r="E202" s="157"/>
      <c r="F202" s="156"/>
      <c r="G202" s="155"/>
      <c r="H202" s="155"/>
      <c r="I202" s="157"/>
      <c r="J202" s="157"/>
    </row>
    <row r="203" spans="1:10" ht="12.75" customHeight="1" x14ac:dyDescent="0.2">
      <c r="A203" s="155"/>
      <c r="B203" s="155"/>
      <c r="C203" s="155"/>
      <c r="D203" s="157"/>
      <c r="E203" s="157"/>
      <c r="F203" s="156"/>
      <c r="G203" s="155"/>
      <c r="H203" s="155"/>
      <c r="I203" s="157"/>
      <c r="J203" s="157"/>
    </row>
    <row r="204" spans="1:10" ht="12.75" customHeight="1" x14ac:dyDescent="0.2">
      <c r="A204" s="155"/>
      <c r="B204" s="155"/>
      <c r="C204" s="155"/>
      <c r="D204" s="157"/>
      <c r="E204" s="157"/>
      <c r="F204" s="157"/>
      <c r="G204" s="155"/>
      <c r="H204" s="155"/>
      <c r="I204" s="157"/>
      <c r="J204" s="157"/>
    </row>
    <row r="205" spans="1:10" ht="12.75" customHeight="1" x14ac:dyDescent="0.2">
      <c r="A205" s="155"/>
      <c r="B205" s="155"/>
      <c r="C205" s="155"/>
      <c r="D205" s="157"/>
      <c r="E205" s="157"/>
      <c r="F205" s="156"/>
      <c r="G205" s="155"/>
      <c r="H205" s="155"/>
      <c r="I205" s="157"/>
      <c r="J205" s="157"/>
    </row>
    <row r="206" spans="1:10" ht="12.75" customHeight="1" x14ac:dyDescent="0.2">
      <c r="A206" s="155"/>
      <c r="B206" s="155"/>
      <c r="C206" s="155"/>
      <c r="D206" s="157"/>
      <c r="E206" s="157"/>
      <c r="F206" s="156"/>
      <c r="G206" s="155"/>
      <c r="H206" s="155"/>
      <c r="I206" s="157"/>
      <c r="J206" s="157"/>
    </row>
    <row r="207" spans="1:10" ht="12.75" customHeight="1" x14ac:dyDescent="0.2">
      <c r="A207" s="155"/>
      <c r="B207" s="155"/>
      <c r="C207" s="155"/>
      <c r="D207" s="157"/>
      <c r="E207" s="157"/>
      <c r="F207" s="157"/>
      <c r="G207" s="155"/>
      <c r="H207" s="155"/>
      <c r="I207" s="157"/>
      <c r="J207" s="157"/>
    </row>
    <row r="208" spans="1:10" ht="12.75" customHeight="1" x14ac:dyDescent="0.2">
      <c r="A208" s="155"/>
      <c r="B208" s="155"/>
      <c r="C208" s="155"/>
      <c r="D208" s="157"/>
      <c r="E208" s="157"/>
      <c r="F208" s="156"/>
      <c r="G208" s="155"/>
      <c r="H208" s="155"/>
      <c r="I208" s="157"/>
      <c r="J208" s="157"/>
    </row>
    <row r="209" spans="1:10" ht="12.75" customHeight="1" x14ac:dyDescent="0.2">
      <c r="A209" s="155"/>
      <c r="B209" s="155"/>
      <c r="C209" s="155"/>
      <c r="D209" s="157"/>
      <c r="E209" s="157"/>
      <c r="F209" s="156"/>
      <c r="G209" s="155"/>
      <c r="H209" s="155"/>
      <c r="I209" s="157"/>
      <c r="J209" s="157"/>
    </row>
    <row r="210" spans="1:10" ht="12.75" customHeight="1" x14ac:dyDescent="0.2">
      <c r="A210" s="155"/>
      <c r="B210" s="155"/>
      <c r="C210" s="155"/>
      <c r="D210" s="157"/>
      <c r="E210" s="157"/>
      <c r="F210" s="157"/>
      <c r="G210" s="155"/>
      <c r="H210" s="155"/>
      <c r="I210" s="157"/>
      <c r="J210" s="157"/>
    </row>
    <row r="211" spans="1:10" ht="12.75" customHeight="1" x14ac:dyDescent="0.2">
      <c r="A211" s="155"/>
      <c r="B211" s="155"/>
      <c r="C211" s="155"/>
      <c r="D211" s="157"/>
      <c r="E211" s="157"/>
      <c r="F211" s="156"/>
      <c r="G211" s="155"/>
      <c r="H211" s="155"/>
      <c r="I211" s="157"/>
      <c r="J211" s="157"/>
    </row>
    <row r="212" spans="1:10" ht="12.75" customHeight="1" x14ac:dyDescent="0.2">
      <c r="A212" s="155"/>
      <c r="B212" s="155"/>
      <c r="C212" s="155"/>
      <c r="D212" s="157"/>
      <c r="E212" s="157"/>
      <c r="F212" s="156"/>
      <c r="G212" s="155"/>
      <c r="H212" s="155"/>
      <c r="I212" s="157"/>
      <c r="J212" s="157"/>
    </row>
    <row r="213" spans="1:10" ht="12.75" customHeight="1" x14ac:dyDescent="0.2">
      <c r="A213" s="155"/>
      <c r="B213" s="155"/>
      <c r="C213" s="155"/>
      <c r="D213" s="157"/>
      <c r="E213" s="157"/>
      <c r="F213" s="157"/>
      <c r="G213" s="155"/>
      <c r="H213" s="155"/>
      <c r="I213" s="157"/>
      <c r="J213" s="157"/>
    </row>
    <row r="214" spans="1:10" ht="12.75" customHeight="1" x14ac:dyDescent="0.2">
      <c r="A214" s="155"/>
      <c r="B214" s="155"/>
      <c r="C214" s="155"/>
      <c r="D214" s="157"/>
      <c r="E214" s="157"/>
      <c r="F214" s="156"/>
      <c r="G214" s="155"/>
      <c r="H214" s="155"/>
      <c r="I214" s="157"/>
      <c r="J214" s="157"/>
    </row>
    <row r="215" spans="1:10" ht="12.75" customHeight="1" x14ac:dyDescent="0.2">
      <c r="A215" s="155"/>
      <c r="B215" s="155"/>
      <c r="C215" s="155"/>
      <c r="D215" s="157"/>
      <c r="E215" s="157"/>
      <c r="F215" s="156"/>
      <c r="G215" s="155"/>
      <c r="H215" s="155"/>
      <c r="I215" s="157"/>
      <c r="J215" s="157"/>
    </row>
    <row r="216" spans="1:10" ht="12.75" customHeight="1" x14ac:dyDescent="0.2">
      <c r="A216" s="155"/>
      <c r="B216" s="155"/>
      <c r="C216" s="155"/>
      <c r="D216" s="157"/>
      <c r="E216" s="157"/>
      <c r="F216" s="157"/>
      <c r="G216" s="155"/>
      <c r="H216" s="155"/>
      <c r="I216" s="157"/>
      <c r="J216" s="157"/>
    </row>
    <row r="217" spans="1:10" ht="12.75" customHeight="1" x14ac:dyDescent="0.2">
      <c r="A217" s="155"/>
      <c r="B217" s="155"/>
      <c r="C217" s="155"/>
      <c r="D217" s="157"/>
      <c r="E217" s="157"/>
      <c r="F217" s="156"/>
      <c r="G217" s="155"/>
      <c r="H217" s="155"/>
      <c r="I217" s="157"/>
      <c r="J217" s="157"/>
    </row>
    <row r="218" spans="1:10" ht="12.75" customHeight="1" x14ac:dyDescent="0.2">
      <c r="A218" s="155"/>
      <c r="B218" s="155"/>
      <c r="C218" s="155"/>
      <c r="D218" s="157"/>
      <c r="E218" s="157"/>
      <c r="F218" s="156"/>
      <c r="G218" s="155"/>
      <c r="H218" s="155"/>
      <c r="I218" s="157"/>
      <c r="J218" s="157"/>
    </row>
    <row r="219" spans="1:10" ht="12.75" customHeight="1" x14ac:dyDescent="0.2">
      <c r="A219" s="155"/>
      <c r="B219" s="155"/>
      <c r="C219" s="155"/>
      <c r="D219" s="157"/>
      <c r="E219" s="157"/>
      <c r="F219" s="157"/>
      <c r="G219" s="155"/>
      <c r="H219" s="155"/>
      <c r="I219" s="157"/>
      <c r="J219" s="157"/>
    </row>
    <row r="220" spans="1:10" ht="12.75" customHeight="1" x14ac:dyDescent="0.2">
      <c r="A220" s="155"/>
      <c r="B220" s="155"/>
      <c r="C220" s="155"/>
      <c r="D220" s="157"/>
      <c r="E220" s="157"/>
      <c r="F220" s="156"/>
      <c r="G220" s="155"/>
      <c r="H220" s="155"/>
      <c r="I220" s="157"/>
      <c r="J220" s="157"/>
    </row>
    <row r="221" spans="1:10" ht="12.75" customHeight="1" x14ac:dyDescent="0.2">
      <c r="A221" s="155"/>
      <c r="B221" s="155"/>
      <c r="C221" s="155"/>
      <c r="D221" s="157"/>
      <c r="E221" s="157"/>
      <c r="F221" s="156"/>
      <c r="G221" s="155"/>
      <c r="H221" s="155"/>
      <c r="I221" s="157"/>
      <c r="J221" s="157"/>
    </row>
    <row r="222" spans="1:10" ht="12.75" customHeight="1" x14ac:dyDescent="0.2">
      <c r="A222" s="155"/>
      <c r="B222" s="155"/>
      <c r="C222" s="155"/>
      <c r="D222" s="157"/>
      <c r="E222" s="157"/>
      <c r="F222" s="157"/>
      <c r="G222" s="155"/>
      <c r="H222" s="155"/>
      <c r="I222" s="157"/>
      <c r="J222" s="157"/>
    </row>
    <row r="223" spans="1:10" ht="12.75" customHeight="1" x14ac:dyDescent="0.2">
      <c r="A223" s="155"/>
      <c r="B223" s="155"/>
      <c r="C223" s="155"/>
      <c r="D223" s="157"/>
      <c r="E223" s="157"/>
      <c r="F223" s="156"/>
      <c r="G223" s="155"/>
      <c r="H223" s="155"/>
      <c r="I223" s="157"/>
      <c r="J223" s="157"/>
    </row>
    <row r="224" spans="1:10" ht="12.75" customHeight="1" x14ac:dyDescent="0.2">
      <c r="A224" s="155"/>
      <c r="B224" s="155"/>
      <c r="C224" s="155"/>
      <c r="D224" s="157"/>
      <c r="E224" s="157"/>
      <c r="F224" s="156"/>
      <c r="G224" s="155"/>
      <c r="H224" s="155"/>
      <c r="I224" s="157"/>
      <c r="J224" s="157"/>
    </row>
    <row r="225" spans="1:10" ht="12.75" customHeight="1" x14ac:dyDescent="0.2">
      <c r="A225" s="155"/>
      <c r="B225" s="155"/>
      <c r="C225" s="155"/>
      <c r="D225" s="157"/>
      <c r="E225" s="157"/>
      <c r="F225" s="157"/>
      <c r="G225" s="155"/>
      <c r="H225" s="155"/>
      <c r="I225" s="157"/>
      <c r="J225" s="157"/>
    </row>
    <row r="226" spans="1:10" ht="12.75" customHeight="1" x14ac:dyDescent="0.2">
      <c r="A226" s="155"/>
      <c r="B226" s="155"/>
      <c r="C226" s="155"/>
      <c r="D226" s="157"/>
      <c r="E226" s="157"/>
      <c r="F226" s="156"/>
      <c r="G226" s="155"/>
      <c r="H226" s="155"/>
      <c r="I226" s="157"/>
      <c r="J226" s="157"/>
    </row>
    <row r="227" spans="1:10" ht="12.75" customHeight="1" x14ac:dyDescent="0.2">
      <c r="A227" s="155"/>
      <c r="B227" s="155"/>
      <c r="C227" s="155"/>
      <c r="D227" s="157"/>
      <c r="E227" s="157"/>
      <c r="F227" s="156"/>
      <c r="G227" s="155"/>
      <c r="H227" s="155"/>
      <c r="I227" s="157"/>
      <c r="J227" s="157"/>
    </row>
    <row r="228" spans="1:10" ht="12.75" customHeight="1" x14ac:dyDescent="0.2">
      <c r="A228" s="155"/>
      <c r="B228" s="155"/>
      <c r="C228" s="155"/>
      <c r="D228" s="157"/>
      <c r="E228" s="157"/>
      <c r="F228" s="157"/>
      <c r="G228" s="155"/>
      <c r="H228" s="155"/>
      <c r="I228" s="157"/>
      <c r="J228" s="157"/>
    </row>
    <row r="229" spans="1:10" ht="12.75" customHeight="1" x14ac:dyDescent="0.2">
      <c r="A229" s="155"/>
      <c r="B229" s="155"/>
      <c r="C229" s="155"/>
      <c r="D229" s="157"/>
      <c r="E229" s="157"/>
      <c r="F229" s="156"/>
      <c r="G229" s="155"/>
      <c r="H229" s="155"/>
      <c r="I229" s="157"/>
      <c r="J229" s="157"/>
    </row>
    <row r="230" spans="1:10" ht="12.75" customHeight="1" x14ac:dyDescent="0.2">
      <c r="A230" s="155"/>
      <c r="B230" s="155"/>
      <c r="C230" s="155"/>
      <c r="D230" s="157"/>
      <c r="E230" s="157"/>
      <c r="F230" s="156"/>
      <c r="G230" s="155"/>
      <c r="H230" s="155"/>
      <c r="I230" s="157"/>
      <c r="J230" s="157"/>
    </row>
    <row r="231" spans="1:10" ht="12.75" customHeight="1" x14ac:dyDescent="0.2">
      <c r="A231" s="155"/>
      <c r="B231" s="155"/>
      <c r="C231" s="155"/>
      <c r="D231" s="157"/>
      <c r="E231" s="157"/>
      <c r="F231" s="157"/>
      <c r="G231" s="155"/>
      <c r="H231" s="155"/>
      <c r="I231" s="157"/>
      <c r="J231" s="157"/>
    </row>
    <row r="232" spans="1:10" ht="12.75" customHeight="1" x14ac:dyDescent="0.2">
      <c r="A232" s="155"/>
      <c r="B232" s="155"/>
      <c r="C232" s="155"/>
      <c r="D232" s="157"/>
      <c r="E232" s="157"/>
      <c r="F232" s="156"/>
      <c r="G232" s="155"/>
      <c r="H232" s="155"/>
      <c r="I232" s="157"/>
      <c r="J232" s="157"/>
    </row>
    <row r="233" spans="1:10" ht="12.75" customHeight="1" x14ac:dyDescent="0.2">
      <c r="A233" s="155"/>
      <c r="B233" s="155"/>
      <c r="C233" s="155"/>
      <c r="D233" s="157"/>
      <c r="E233" s="157"/>
      <c r="F233" s="156"/>
      <c r="G233" s="155"/>
      <c r="H233" s="155"/>
      <c r="I233" s="157"/>
      <c r="J233" s="157"/>
    </row>
    <row r="234" spans="1:10" ht="12.75" customHeight="1" x14ac:dyDescent="0.2">
      <c r="A234" s="155"/>
      <c r="B234" s="155"/>
      <c r="C234" s="155"/>
      <c r="D234" s="157"/>
      <c r="E234" s="157"/>
      <c r="F234" s="157"/>
      <c r="G234" s="155"/>
      <c r="H234" s="155"/>
      <c r="I234" s="157"/>
      <c r="J234" s="157"/>
    </row>
    <row r="235" spans="1:10" ht="12.75" customHeight="1" x14ac:dyDescent="0.2">
      <c r="A235" s="155"/>
      <c r="B235" s="155"/>
      <c r="C235" s="155"/>
      <c r="D235" s="157"/>
      <c r="E235" s="157"/>
      <c r="F235" s="156"/>
      <c r="G235" s="155"/>
      <c r="H235" s="155"/>
      <c r="I235" s="157"/>
      <c r="J235" s="157"/>
    </row>
    <row r="236" spans="1:10" ht="12.75" customHeight="1" x14ac:dyDescent="0.2">
      <c r="A236" s="155"/>
      <c r="B236" s="155"/>
      <c r="C236" s="155"/>
      <c r="D236" s="157"/>
      <c r="E236" s="157"/>
      <c r="F236" s="156"/>
      <c r="G236" s="155"/>
      <c r="H236" s="155"/>
      <c r="I236" s="157"/>
      <c r="J236" s="157"/>
    </row>
    <row r="237" spans="1:10" ht="12.75" customHeight="1" x14ac:dyDescent="0.2">
      <c r="A237" s="155"/>
      <c r="B237" s="155"/>
      <c r="C237" s="155"/>
      <c r="D237" s="157"/>
      <c r="E237" s="157"/>
      <c r="F237" s="157"/>
      <c r="G237" s="155"/>
      <c r="H237" s="155"/>
      <c r="I237" s="157"/>
      <c r="J237" s="157"/>
    </row>
    <row r="238" spans="1:10" ht="12.75" customHeight="1" x14ac:dyDescent="0.2">
      <c r="A238" s="155"/>
      <c r="B238" s="155"/>
      <c r="C238" s="155"/>
      <c r="D238" s="157"/>
      <c r="E238" s="157"/>
      <c r="F238" s="156"/>
      <c r="G238" s="155"/>
      <c r="H238" s="155"/>
      <c r="I238" s="157"/>
      <c r="J238" s="157"/>
    </row>
    <row r="239" spans="1:10" ht="12.75" customHeight="1" x14ac:dyDescent="0.2">
      <c r="A239" s="155"/>
      <c r="B239" s="155"/>
      <c r="C239" s="155"/>
      <c r="D239" s="157"/>
      <c r="E239" s="157"/>
      <c r="F239" s="156"/>
      <c r="G239" s="155"/>
      <c r="H239" s="155"/>
      <c r="I239" s="157"/>
      <c r="J239" s="157"/>
    </row>
    <row r="240" spans="1:10" ht="12.75" customHeight="1" x14ac:dyDescent="0.2">
      <c r="A240" s="155"/>
      <c r="B240" s="155"/>
      <c r="C240" s="155"/>
      <c r="D240" s="157"/>
      <c r="E240" s="157"/>
      <c r="F240" s="157"/>
      <c r="G240" s="155"/>
      <c r="H240" s="155"/>
      <c r="I240" s="157"/>
      <c r="J240" s="157"/>
    </row>
    <row r="241" spans="1:10" ht="12.75" customHeight="1" x14ac:dyDescent="0.2">
      <c r="A241" s="155"/>
      <c r="B241" s="155"/>
      <c r="C241" s="155"/>
      <c r="D241" s="157"/>
      <c r="E241" s="157"/>
      <c r="F241" s="156"/>
      <c r="G241" s="155"/>
      <c r="H241" s="155"/>
      <c r="I241" s="157"/>
      <c r="J241" s="157"/>
    </row>
    <row r="242" spans="1:10" ht="12.75" customHeight="1" x14ac:dyDescent="0.2">
      <c r="A242" s="155"/>
      <c r="B242" s="155"/>
      <c r="C242" s="155"/>
      <c r="D242" s="157"/>
      <c r="E242" s="157"/>
      <c r="F242" s="156"/>
      <c r="G242" s="155"/>
      <c r="H242" s="155"/>
      <c r="I242" s="157"/>
      <c r="J242" s="157"/>
    </row>
    <row r="243" spans="1:10" ht="12.75" customHeight="1" x14ac:dyDescent="0.2">
      <c r="A243" s="155"/>
      <c r="B243" s="155"/>
      <c r="C243" s="155"/>
      <c r="D243" s="157"/>
      <c r="E243" s="157"/>
      <c r="F243" s="157"/>
      <c r="G243" s="155"/>
      <c r="H243" s="155"/>
      <c r="I243" s="157"/>
      <c r="J243" s="157"/>
    </row>
    <row r="244" spans="1:10" ht="12.75" customHeight="1" x14ac:dyDescent="0.2">
      <c r="A244" s="155"/>
      <c r="B244" s="155"/>
      <c r="C244" s="155"/>
      <c r="D244" s="157"/>
      <c r="E244" s="157"/>
      <c r="F244" s="156"/>
      <c r="G244" s="155"/>
      <c r="H244" s="155"/>
      <c r="I244" s="157"/>
      <c r="J244" s="157"/>
    </row>
    <row r="245" spans="1:10" ht="12.75" customHeight="1" x14ac:dyDescent="0.2">
      <c r="A245" s="155"/>
      <c r="B245" s="155"/>
      <c r="C245" s="155"/>
      <c r="D245" s="157"/>
      <c r="E245" s="157"/>
      <c r="F245" s="156"/>
      <c r="G245" s="155"/>
      <c r="H245" s="155"/>
      <c r="I245" s="157"/>
      <c r="J245" s="157"/>
    </row>
    <row r="246" spans="1:10" ht="12.75" customHeight="1" x14ac:dyDescent="0.2">
      <c r="A246" s="155"/>
      <c r="B246" s="155"/>
      <c r="C246" s="155"/>
      <c r="D246" s="157"/>
      <c r="E246" s="157"/>
      <c r="F246" s="157"/>
      <c r="G246" s="155"/>
      <c r="H246" s="155"/>
      <c r="I246" s="157"/>
      <c r="J246" s="157"/>
    </row>
    <row r="247" spans="1:10" ht="12.75" customHeight="1" x14ac:dyDescent="0.2">
      <c r="A247" s="155"/>
      <c r="B247" s="155"/>
      <c r="C247" s="155"/>
      <c r="D247" s="157"/>
      <c r="E247" s="157"/>
      <c r="F247" s="156"/>
      <c r="G247" s="155"/>
      <c r="H247" s="155"/>
      <c r="I247" s="157"/>
      <c r="J247" s="157"/>
    </row>
    <row r="248" spans="1:10" ht="12.75" customHeight="1" x14ac:dyDescent="0.2">
      <c r="A248" s="155"/>
      <c r="B248" s="155"/>
      <c r="C248" s="155"/>
      <c r="D248" s="157"/>
      <c r="E248" s="157"/>
      <c r="F248" s="156"/>
      <c r="G248" s="155"/>
      <c r="H248" s="155"/>
      <c r="I248" s="157"/>
      <c r="J248" s="157"/>
    </row>
    <row r="249" spans="1:10" ht="12.75" customHeight="1" x14ac:dyDescent="0.2">
      <c r="A249" s="155"/>
      <c r="B249" s="155"/>
      <c r="C249" s="155"/>
      <c r="D249" s="157"/>
      <c r="E249" s="157"/>
      <c r="F249" s="157"/>
      <c r="G249" s="155"/>
      <c r="H249" s="155"/>
      <c r="I249" s="157"/>
      <c r="J249" s="157"/>
    </row>
    <row r="250" spans="1:10" ht="12.75" customHeight="1" x14ac:dyDescent="0.2">
      <c r="A250" s="155"/>
      <c r="B250" s="155"/>
      <c r="C250" s="155"/>
      <c r="D250" s="157"/>
      <c r="E250" s="157"/>
      <c r="F250" s="156"/>
      <c r="G250" s="155"/>
      <c r="H250" s="155"/>
      <c r="I250" s="157"/>
      <c r="J250" s="157"/>
    </row>
    <row r="251" spans="1:10" ht="12.75" customHeight="1" x14ac:dyDescent="0.2">
      <c r="A251" s="155"/>
      <c r="B251" s="155"/>
      <c r="C251" s="155"/>
      <c r="D251" s="157"/>
      <c r="E251" s="157"/>
      <c r="F251" s="156"/>
      <c r="G251" s="155"/>
      <c r="H251" s="155"/>
      <c r="I251" s="157"/>
      <c r="J251" s="157"/>
    </row>
    <row r="252" spans="1:10" ht="12.75" customHeight="1" x14ac:dyDescent="0.2">
      <c r="A252" s="155"/>
      <c r="B252" s="155"/>
      <c r="C252" s="155"/>
      <c r="D252" s="157"/>
      <c r="E252" s="157"/>
      <c r="F252" s="157"/>
      <c r="G252" s="155"/>
      <c r="H252" s="155"/>
      <c r="I252" s="157"/>
      <c r="J252" s="157"/>
    </row>
    <row r="253" spans="1:10" ht="12.75" customHeight="1" x14ac:dyDescent="0.2">
      <c r="A253" s="155"/>
      <c r="B253" s="155"/>
      <c r="C253" s="155"/>
      <c r="D253" s="157"/>
      <c r="E253" s="157"/>
      <c r="F253" s="156"/>
      <c r="G253" s="155"/>
      <c r="H253" s="155"/>
      <c r="I253" s="157"/>
      <c r="J253" s="157"/>
    </row>
    <row r="254" spans="1:10" ht="12.75" customHeight="1" x14ac:dyDescent="0.2">
      <c r="A254" s="155"/>
      <c r="B254" s="155"/>
      <c r="C254" s="155"/>
      <c r="D254" s="157"/>
      <c r="E254" s="157"/>
      <c r="F254" s="156"/>
      <c r="G254" s="155"/>
      <c r="H254" s="155"/>
      <c r="I254" s="157"/>
      <c r="J254" s="157"/>
    </row>
    <row r="255" spans="1:10" ht="12.75" customHeight="1" x14ac:dyDescent="0.2">
      <c r="A255" s="155"/>
      <c r="B255" s="155"/>
      <c r="C255" s="155"/>
      <c r="D255" s="157"/>
      <c r="E255" s="157"/>
      <c r="F255" s="157"/>
      <c r="G255" s="155"/>
      <c r="H255" s="155"/>
      <c r="I255" s="157"/>
      <c r="J255" s="157"/>
    </row>
    <row r="256" spans="1:10" ht="12.75" customHeight="1" x14ac:dyDescent="0.2">
      <c r="A256" s="155"/>
      <c r="B256" s="155"/>
      <c r="C256" s="155"/>
      <c r="D256" s="157"/>
      <c r="E256" s="157"/>
      <c r="F256" s="156"/>
      <c r="G256" s="155"/>
      <c r="H256" s="155"/>
      <c r="I256" s="157"/>
      <c r="J256" s="157"/>
    </row>
    <row r="257" spans="1:10" ht="12.75" customHeight="1" x14ac:dyDescent="0.2">
      <c r="A257" s="155"/>
      <c r="B257" s="155"/>
      <c r="C257" s="155"/>
      <c r="D257" s="157"/>
      <c r="E257" s="157"/>
      <c r="F257" s="156"/>
      <c r="G257" s="155"/>
      <c r="H257" s="155"/>
      <c r="I257" s="157"/>
      <c r="J257" s="157"/>
    </row>
    <row r="258" spans="1:10" ht="12.75" customHeight="1" x14ac:dyDescent="0.2">
      <c r="A258" s="155"/>
      <c r="B258" s="155"/>
      <c r="C258" s="155"/>
      <c r="D258" s="157"/>
      <c r="E258" s="157"/>
      <c r="F258" s="157"/>
      <c r="G258" s="155"/>
      <c r="H258" s="155"/>
      <c r="I258" s="157"/>
      <c r="J258" s="157"/>
    </row>
    <row r="259" spans="1:10" ht="12.75" customHeight="1" x14ac:dyDescent="0.2">
      <c r="A259" s="155"/>
      <c r="B259" s="155"/>
      <c r="C259" s="155"/>
      <c r="D259" s="157"/>
      <c r="E259" s="157"/>
      <c r="F259" s="156"/>
      <c r="G259" s="155"/>
      <c r="H259" s="155"/>
      <c r="I259" s="157"/>
      <c r="J259" s="157"/>
    </row>
    <row r="260" spans="1:10" ht="12.75" customHeight="1" x14ac:dyDescent="0.2">
      <c r="A260" s="155"/>
      <c r="B260" s="155"/>
      <c r="C260" s="155"/>
      <c r="D260" s="157"/>
      <c r="E260" s="157"/>
      <c r="F260" s="156"/>
      <c r="G260" s="155"/>
      <c r="H260" s="155"/>
      <c r="I260" s="157"/>
      <c r="J260" s="157"/>
    </row>
    <row r="261" spans="1:10" ht="12.75" customHeight="1" x14ac:dyDescent="0.2">
      <c r="A261" s="155"/>
      <c r="B261" s="155"/>
      <c r="C261" s="155"/>
      <c r="D261" s="157"/>
      <c r="E261" s="157"/>
      <c r="F261" s="157"/>
      <c r="G261" s="155"/>
      <c r="H261" s="155"/>
      <c r="I261" s="157"/>
      <c r="J261" s="157"/>
    </row>
    <row r="262" spans="1:10" ht="12.75" customHeight="1" x14ac:dyDescent="0.2">
      <c r="A262" s="155"/>
      <c r="B262" s="155"/>
      <c r="C262" s="155"/>
      <c r="D262" s="157"/>
      <c r="E262" s="157"/>
      <c r="F262" s="156"/>
      <c r="G262" s="155"/>
      <c r="H262" s="155"/>
      <c r="I262" s="157"/>
      <c r="J262" s="157"/>
    </row>
    <row r="263" spans="1:10" ht="12.75" customHeight="1" x14ac:dyDescent="0.2">
      <c r="A263" s="155"/>
      <c r="B263" s="155"/>
      <c r="C263" s="155"/>
      <c r="D263" s="157"/>
      <c r="E263" s="157"/>
      <c r="F263" s="156"/>
      <c r="G263" s="155"/>
      <c r="H263" s="155"/>
      <c r="I263" s="157"/>
      <c r="J263" s="157"/>
    </row>
    <row r="264" spans="1:10" ht="12.75" customHeight="1" x14ac:dyDescent="0.2">
      <c r="A264" s="155"/>
      <c r="B264" s="155"/>
      <c r="C264" s="155"/>
      <c r="D264" s="157"/>
      <c r="E264" s="157"/>
      <c r="F264" s="157"/>
      <c r="G264" s="155"/>
      <c r="H264" s="155"/>
      <c r="I264" s="157"/>
      <c r="J264" s="157"/>
    </row>
    <row r="265" spans="1:10" ht="12.75" customHeight="1" x14ac:dyDescent="0.2">
      <c r="A265" s="155"/>
      <c r="B265" s="155"/>
      <c r="C265" s="155"/>
      <c r="D265" s="157"/>
      <c r="E265" s="157"/>
      <c r="F265" s="156"/>
      <c r="G265" s="155"/>
      <c r="H265" s="155"/>
      <c r="I265" s="157"/>
      <c r="J265" s="157"/>
    </row>
    <row r="266" spans="1:10" ht="12.75" customHeight="1" x14ac:dyDescent="0.2">
      <c r="A266" s="155"/>
      <c r="B266" s="155"/>
      <c r="C266" s="155"/>
      <c r="D266" s="157"/>
      <c r="E266" s="157"/>
      <c r="F266" s="156"/>
      <c r="G266" s="155"/>
      <c r="H266" s="155"/>
      <c r="I266" s="157"/>
      <c r="J266" s="157"/>
    </row>
    <row r="267" spans="1:10" ht="12.75" customHeight="1" x14ac:dyDescent="0.2">
      <c r="A267" s="155"/>
      <c r="B267" s="155"/>
      <c r="C267" s="155"/>
      <c r="D267" s="157"/>
      <c r="E267" s="157"/>
      <c r="F267" s="157"/>
      <c r="G267" s="155"/>
      <c r="H267" s="155"/>
      <c r="I267" s="157"/>
      <c r="J267" s="157"/>
    </row>
    <row r="268" spans="1:10" ht="12.75" customHeight="1" x14ac:dyDescent="0.2">
      <c r="A268" s="155"/>
      <c r="B268" s="155"/>
      <c r="C268" s="155"/>
      <c r="D268" s="157"/>
      <c r="E268" s="157"/>
      <c r="F268" s="156"/>
      <c r="G268" s="155"/>
      <c r="H268" s="155"/>
      <c r="I268" s="157"/>
      <c r="J268" s="157"/>
    </row>
    <row r="269" spans="1:10" ht="12.75" customHeight="1" x14ac:dyDescent="0.2">
      <c r="A269" s="155"/>
      <c r="B269" s="155"/>
      <c r="C269" s="155"/>
      <c r="D269" s="157"/>
      <c r="E269" s="157"/>
      <c r="F269" s="156"/>
      <c r="G269" s="155"/>
      <c r="H269" s="155"/>
      <c r="I269" s="157"/>
      <c r="J269" s="157"/>
    </row>
    <row r="270" spans="1:10" ht="12.75" customHeight="1" x14ac:dyDescent="0.2">
      <c r="A270" s="155"/>
      <c r="B270" s="155"/>
      <c r="C270" s="155"/>
      <c r="D270" s="157"/>
      <c r="E270" s="157"/>
      <c r="F270" s="157"/>
      <c r="G270" s="155"/>
      <c r="H270" s="155"/>
      <c r="I270" s="157"/>
      <c r="J270" s="157"/>
    </row>
    <row r="271" spans="1:10" ht="12.75" customHeight="1" x14ac:dyDescent="0.2">
      <c r="A271" s="155"/>
      <c r="B271" s="155"/>
      <c r="C271" s="155"/>
      <c r="D271" s="157"/>
      <c r="E271" s="157"/>
      <c r="F271" s="156"/>
      <c r="G271" s="155"/>
      <c r="H271" s="155"/>
      <c r="I271" s="157"/>
      <c r="J271" s="157"/>
    </row>
    <row r="272" spans="1:10" ht="12.75" customHeight="1" x14ac:dyDescent="0.2">
      <c r="A272" s="155"/>
      <c r="B272" s="155"/>
      <c r="C272" s="155"/>
      <c r="D272" s="157"/>
      <c r="E272" s="157"/>
      <c r="F272" s="156"/>
      <c r="G272" s="155"/>
      <c r="H272" s="155"/>
      <c r="I272" s="157"/>
      <c r="J272" s="157"/>
    </row>
    <row r="273" spans="1:10" ht="12.75" customHeight="1" x14ac:dyDescent="0.2">
      <c r="A273" s="155"/>
      <c r="B273" s="155"/>
      <c r="C273" s="155"/>
      <c r="D273" s="157"/>
      <c r="E273" s="157"/>
      <c r="F273" s="157"/>
      <c r="G273" s="155"/>
      <c r="H273" s="155"/>
      <c r="I273" s="157"/>
      <c r="J273" s="157"/>
    </row>
    <row r="274" spans="1:10" ht="12.75" customHeight="1" x14ac:dyDescent="0.2">
      <c r="A274" s="155"/>
      <c r="B274" s="155"/>
      <c r="C274" s="155"/>
      <c r="D274" s="157"/>
      <c r="E274" s="157"/>
      <c r="F274" s="156"/>
      <c r="G274" s="155"/>
      <c r="H274" s="155"/>
      <c r="I274" s="157"/>
      <c r="J274" s="157"/>
    </row>
    <row r="275" spans="1:10" ht="12.75" customHeight="1" x14ac:dyDescent="0.2">
      <c r="A275" s="155"/>
      <c r="B275" s="155"/>
      <c r="C275" s="155"/>
      <c r="D275" s="157"/>
      <c r="E275" s="157"/>
      <c r="F275" s="156"/>
      <c r="G275" s="155"/>
      <c r="H275" s="155"/>
      <c r="I275" s="157"/>
      <c r="J275" s="157"/>
    </row>
    <row r="276" spans="1:10" ht="12.75" customHeight="1" x14ac:dyDescent="0.2">
      <c r="A276" s="155"/>
      <c r="B276" s="155"/>
      <c r="C276" s="155"/>
      <c r="D276" s="157"/>
      <c r="E276" s="157"/>
      <c r="F276" s="157"/>
      <c r="G276" s="155"/>
      <c r="H276" s="155"/>
      <c r="I276" s="157"/>
      <c r="J276" s="157"/>
    </row>
    <row r="277" spans="1:10" ht="12.75" customHeight="1" x14ac:dyDescent="0.2">
      <c r="A277" s="155"/>
      <c r="B277" s="155"/>
      <c r="C277" s="155"/>
      <c r="D277" s="157"/>
      <c r="E277" s="157"/>
      <c r="F277" s="156"/>
      <c r="G277" s="155"/>
      <c r="H277" s="155"/>
      <c r="I277" s="157"/>
      <c r="J277" s="157"/>
    </row>
    <row r="278" spans="1:10" ht="12.75" customHeight="1" x14ac:dyDescent="0.2">
      <c r="A278" s="155"/>
      <c r="B278" s="155"/>
      <c r="C278" s="155"/>
      <c r="D278" s="157"/>
      <c r="E278" s="157"/>
      <c r="F278" s="156"/>
      <c r="G278" s="155"/>
      <c r="H278" s="155"/>
      <c r="I278" s="157"/>
      <c r="J278" s="157"/>
    </row>
    <row r="279" spans="1:10" ht="12.75" customHeight="1" x14ac:dyDescent="0.2">
      <c r="A279" s="155"/>
      <c r="B279" s="155"/>
      <c r="C279" s="155"/>
      <c r="D279" s="157"/>
      <c r="E279" s="157"/>
      <c r="F279" s="157"/>
      <c r="G279" s="155"/>
      <c r="H279" s="155"/>
      <c r="I279" s="157"/>
      <c r="J279" s="157"/>
    </row>
    <row r="280" spans="1:10" ht="12.75" customHeight="1" x14ac:dyDescent="0.2">
      <c r="A280" s="155"/>
      <c r="B280" s="155"/>
      <c r="C280" s="155"/>
      <c r="D280" s="157"/>
      <c r="E280" s="157"/>
      <c r="F280" s="156"/>
      <c r="G280" s="155"/>
      <c r="H280" s="155"/>
      <c r="I280" s="157"/>
      <c r="J280" s="157"/>
    </row>
    <row r="281" spans="1:10" ht="12.75" customHeight="1" x14ac:dyDescent="0.2">
      <c r="A281" s="155"/>
      <c r="B281" s="155"/>
      <c r="C281" s="155"/>
      <c r="D281" s="157"/>
      <c r="E281" s="157"/>
      <c r="F281" s="156"/>
      <c r="G281" s="155"/>
      <c r="H281" s="155"/>
      <c r="I281" s="157"/>
      <c r="J281" s="157"/>
    </row>
    <row r="282" spans="1:10" ht="12.75" customHeight="1" x14ac:dyDescent="0.2">
      <c r="A282" s="155"/>
      <c r="B282" s="155"/>
      <c r="C282" s="155"/>
      <c r="D282" s="157"/>
      <c r="E282" s="157"/>
      <c r="F282" s="157"/>
      <c r="G282" s="155"/>
      <c r="H282" s="155"/>
      <c r="I282" s="157"/>
      <c r="J282" s="157"/>
    </row>
    <row r="283" spans="1:10" ht="12.75" customHeight="1" x14ac:dyDescent="0.2">
      <c r="A283" s="155"/>
      <c r="B283" s="155"/>
      <c r="C283" s="155"/>
      <c r="D283" s="157"/>
      <c r="E283" s="157"/>
      <c r="F283" s="156"/>
      <c r="G283" s="155"/>
      <c r="H283" s="155"/>
      <c r="I283" s="157"/>
      <c r="J283" s="157"/>
    </row>
    <row r="284" spans="1:10" ht="12.75" customHeight="1" x14ac:dyDescent="0.2">
      <c r="A284" s="155"/>
      <c r="B284" s="155"/>
      <c r="C284" s="155"/>
      <c r="D284" s="157"/>
      <c r="E284" s="157"/>
      <c r="F284" s="156"/>
      <c r="G284" s="155"/>
      <c r="H284" s="155"/>
      <c r="I284" s="157"/>
      <c r="J284" s="157"/>
    </row>
    <row r="285" spans="1:10" ht="12.75" customHeight="1" x14ac:dyDescent="0.2">
      <c r="A285" s="155"/>
      <c r="B285" s="155"/>
      <c r="C285" s="155"/>
      <c r="D285" s="157"/>
      <c r="E285" s="157"/>
      <c r="F285" s="157"/>
      <c r="G285" s="155"/>
      <c r="H285" s="155"/>
      <c r="I285" s="157"/>
      <c r="J285" s="157"/>
    </row>
    <row r="286" spans="1:10" ht="12.75" customHeight="1" x14ac:dyDescent="0.2">
      <c r="A286" s="155"/>
      <c r="B286" s="155"/>
      <c r="C286" s="155"/>
      <c r="D286" s="157"/>
      <c r="E286" s="157"/>
      <c r="F286" s="156"/>
      <c r="G286" s="155"/>
      <c r="H286" s="155"/>
      <c r="I286" s="157"/>
      <c r="J286" s="157"/>
    </row>
    <row r="287" spans="1:10" ht="12.75" customHeight="1" x14ac:dyDescent="0.2">
      <c r="A287" s="155"/>
      <c r="B287" s="155"/>
      <c r="C287" s="155"/>
      <c r="D287" s="157"/>
      <c r="E287" s="157"/>
      <c r="F287" s="156"/>
      <c r="G287" s="155"/>
      <c r="H287" s="155"/>
      <c r="I287" s="157"/>
      <c r="J287" s="157"/>
    </row>
    <row r="288" spans="1:10" ht="12.75" customHeight="1" x14ac:dyDescent="0.2">
      <c r="A288" s="155"/>
      <c r="B288" s="155"/>
      <c r="C288" s="155"/>
      <c r="D288" s="157"/>
      <c r="E288" s="157"/>
      <c r="F288" s="157"/>
      <c r="G288" s="155"/>
      <c r="H288" s="155"/>
      <c r="I288" s="157"/>
      <c r="J288" s="157"/>
    </row>
    <row r="289" spans="1:10" ht="12.75" customHeight="1" x14ac:dyDescent="0.2">
      <c r="A289" s="155"/>
      <c r="B289" s="155"/>
      <c r="C289" s="155"/>
      <c r="D289" s="157"/>
      <c r="E289" s="157"/>
      <c r="F289" s="156"/>
      <c r="G289" s="155"/>
      <c r="H289" s="155"/>
      <c r="I289" s="157"/>
      <c r="J289" s="157"/>
    </row>
    <row r="290" spans="1:10" ht="12.75" customHeight="1" x14ac:dyDescent="0.2">
      <c r="A290" s="155"/>
      <c r="B290" s="155"/>
      <c r="C290" s="155"/>
      <c r="D290" s="157"/>
      <c r="E290" s="157"/>
      <c r="F290" s="156"/>
      <c r="G290" s="155"/>
      <c r="H290" s="155"/>
      <c r="I290" s="157"/>
      <c r="J290" s="157"/>
    </row>
    <row r="291" spans="1:10" ht="12.75" customHeight="1" x14ac:dyDescent="0.2">
      <c r="A291" s="155"/>
      <c r="B291" s="155"/>
      <c r="C291" s="155"/>
      <c r="D291" s="157"/>
      <c r="E291" s="157"/>
      <c r="F291" s="157"/>
      <c r="G291" s="155"/>
      <c r="H291" s="155"/>
      <c r="I291" s="157"/>
      <c r="J291" s="157"/>
    </row>
    <row r="292" spans="1:10" ht="12.75" customHeight="1" x14ac:dyDescent="0.2">
      <c r="A292" s="155"/>
      <c r="B292" s="155"/>
      <c r="C292" s="155"/>
      <c r="D292" s="157"/>
      <c r="E292" s="157"/>
      <c r="F292" s="156"/>
      <c r="G292" s="155"/>
      <c r="H292" s="155"/>
      <c r="I292" s="157"/>
      <c r="J292" s="157"/>
    </row>
    <row r="293" spans="1:10" ht="12.75" customHeight="1" x14ac:dyDescent="0.2">
      <c r="A293" s="155"/>
      <c r="B293" s="155"/>
      <c r="C293" s="155"/>
      <c r="D293" s="157"/>
      <c r="E293" s="157"/>
      <c r="F293" s="156"/>
      <c r="G293" s="155"/>
      <c r="H293" s="155"/>
      <c r="I293" s="157"/>
      <c r="J293" s="157"/>
    </row>
    <row r="294" spans="1:10" ht="12.75" customHeight="1" x14ac:dyDescent="0.2">
      <c r="A294" s="155"/>
      <c r="B294" s="155"/>
      <c r="C294" s="155"/>
      <c r="D294" s="157"/>
      <c r="E294" s="157"/>
      <c r="F294" s="157"/>
      <c r="G294" s="155"/>
      <c r="H294" s="155"/>
      <c r="I294" s="157"/>
      <c r="J294" s="157"/>
    </row>
    <row r="295" spans="1:10" ht="12.75" customHeight="1" x14ac:dyDescent="0.2">
      <c r="A295" s="155"/>
      <c r="B295" s="155"/>
      <c r="C295" s="155"/>
      <c r="D295" s="157"/>
      <c r="E295" s="157"/>
      <c r="F295" s="156"/>
      <c r="G295" s="155"/>
      <c r="H295" s="155"/>
      <c r="I295" s="157"/>
      <c r="J295" s="157"/>
    </row>
    <row r="296" spans="1:10" ht="12.75" customHeight="1" x14ac:dyDescent="0.2">
      <c r="A296" s="155"/>
      <c r="B296" s="155"/>
      <c r="C296" s="155"/>
      <c r="D296" s="157"/>
      <c r="E296" s="157"/>
      <c r="F296" s="156"/>
      <c r="G296" s="155"/>
      <c r="H296" s="155"/>
      <c r="I296" s="157"/>
      <c r="J296" s="157"/>
    </row>
    <row r="297" spans="1:10" ht="12.75" customHeight="1" x14ac:dyDescent="0.2">
      <c r="A297" s="155"/>
      <c r="B297" s="155"/>
      <c r="C297" s="155"/>
      <c r="D297" s="157"/>
      <c r="E297" s="157"/>
      <c r="F297" s="157"/>
      <c r="G297" s="155"/>
      <c r="H297" s="155"/>
      <c r="I297" s="157"/>
      <c r="J297" s="157"/>
    </row>
    <row r="298" spans="1:10" ht="12.75" customHeight="1" x14ac:dyDescent="0.2">
      <c r="A298" s="155"/>
      <c r="B298" s="155"/>
      <c r="C298" s="155"/>
      <c r="D298" s="157"/>
      <c r="E298" s="157"/>
      <c r="F298" s="156"/>
      <c r="G298" s="155"/>
      <c r="H298" s="155"/>
      <c r="I298" s="157"/>
      <c r="J298" s="157"/>
    </row>
    <row r="299" spans="1:10" ht="12.75" customHeight="1" x14ac:dyDescent="0.2">
      <c r="A299" s="155"/>
      <c r="B299" s="155"/>
      <c r="C299" s="155"/>
      <c r="D299" s="157"/>
      <c r="E299" s="157"/>
      <c r="F299" s="156"/>
      <c r="G299" s="155"/>
      <c r="H299" s="155"/>
      <c r="I299" s="157"/>
      <c r="J299" s="157"/>
    </row>
    <row r="300" spans="1:10" ht="12.75" customHeight="1" x14ac:dyDescent="0.2">
      <c r="A300" s="155"/>
      <c r="B300" s="155"/>
      <c r="C300" s="155"/>
      <c r="D300" s="157"/>
      <c r="E300" s="157"/>
      <c r="F300" s="157"/>
      <c r="G300" s="155"/>
      <c r="H300" s="155"/>
      <c r="I300" s="157"/>
      <c r="J300" s="157"/>
    </row>
    <row r="301" spans="1:10" ht="12.75" customHeight="1" x14ac:dyDescent="0.2">
      <c r="A301" s="155"/>
      <c r="B301" s="155"/>
      <c r="C301" s="155"/>
      <c r="D301" s="157"/>
      <c r="E301" s="157"/>
      <c r="F301" s="156"/>
      <c r="G301" s="155"/>
      <c r="H301" s="155"/>
      <c r="I301" s="157"/>
      <c r="J301" s="157"/>
    </row>
    <row r="302" spans="1:10" ht="12.75" customHeight="1" x14ac:dyDescent="0.2">
      <c r="A302" s="155"/>
      <c r="B302" s="155"/>
      <c r="C302" s="155"/>
      <c r="D302" s="157"/>
      <c r="E302" s="157"/>
      <c r="F302" s="156"/>
      <c r="G302" s="155"/>
      <c r="H302" s="155"/>
      <c r="I302" s="157"/>
      <c r="J302" s="157"/>
    </row>
    <row r="303" spans="1:10" ht="12.75" customHeight="1" x14ac:dyDescent="0.2">
      <c r="A303" s="155"/>
      <c r="B303" s="155"/>
      <c r="C303" s="155"/>
      <c r="D303" s="157"/>
      <c r="E303" s="157"/>
      <c r="F303" s="157"/>
      <c r="G303" s="155"/>
      <c r="H303" s="155"/>
      <c r="I303" s="157"/>
      <c r="J303" s="157"/>
    </row>
    <row r="304" spans="1:10" ht="12.75" customHeight="1" x14ac:dyDescent="0.2">
      <c r="A304" s="155"/>
      <c r="B304" s="155"/>
      <c r="C304" s="155"/>
      <c r="D304" s="157"/>
      <c r="E304" s="157"/>
      <c r="F304" s="156"/>
      <c r="G304" s="155"/>
      <c r="H304" s="155"/>
      <c r="I304" s="157"/>
      <c r="J304" s="157"/>
    </row>
    <row r="305" spans="1:10" ht="12.75" customHeight="1" x14ac:dyDescent="0.2">
      <c r="A305" s="155"/>
      <c r="B305" s="155"/>
      <c r="C305" s="155"/>
      <c r="D305" s="157"/>
      <c r="E305" s="157"/>
      <c r="F305" s="156"/>
      <c r="G305" s="155"/>
      <c r="H305" s="155"/>
      <c r="I305" s="157"/>
      <c r="J305" s="157"/>
    </row>
    <row r="306" spans="1:10" ht="12.75" customHeight="1" x14ac:dyDescent="0.2">
      <c r="A306" s="155"/>
      <c r="B306" s="155"/>
      <c r="C306" s="155"/>
      <c r="D306" s="157"/>
      <c r="E306" s="157"/>
      <c r="F306" s="157"/>
      <c r="G306" s="155"/>
      <c r="H306" s="155"/>
      <c r="I306" s="157"/>
      <c r="J306" s="157"/>
    </row>
    <row r="307" spans="1:10" ht="12.75" customHeight="1" x14ac:dyDescent="0.2">
      <c r="A307" s="155"/>
      <c r="B307" s="155"/>
      <c r="C307" s="155"/>
      <c r="D307" s="157"/>
      <c r="E307" s="157"/>
      <c r="F307" s="156"/>
      <c r="G307" s="155"/>
      <c r="H307" s="155"/>
      <c r="I307" s="157"/>
      <c r="J307" s="157"/>
    </row>
    <row r="308" spans="1:10" ht="12.75" customHeight="1" x14ac:dyDescent="0.2">
      <c r="A308" s="155"/>
      <c r="B308" s="155"/>
      <c r="C308" s="155"/>
      <c r="D308" s="157"/>
      <c r="E308" s="157"/>
      <c r="F308" s="156"/>
      <c r="G308" s="155"/>
      <c r="H308" s="155"/>
      <c r="I308" s="157"/>
      <c r="J308" s="157"/>
    </row>
    <row r="309" spans="1:10" ht="12.75" customHeight="1" x14ac:dyDescent="0.2">
      <c r="A309" s="155"/>
      <c r="B309" s="155"/>
      <c r="C309" s="155"/>
      <c r="D309" s="157"/>
      <c r="E309" s="157"/>
      <c r="F309" s="157"/>
      <c r="G309" s="155"/>
      <c r="H309" s="155"/>
      <c r="I309" s="157"/>
      <c r="J309" s="157"/>
    </row>
    <row r="310" spans="1:10" ht="12.75" customHeight="1" x14ac:dyDescent="0.2">
      <c r="A310" s="155"/>
      <c r="B310" s="155"/>
      <c r="C310" s="155"/>
      <c r="D310" s="157"/>
      <c r="E310" s="157"/>
      <c r="F310" s="156"/>
      <c r="G310" s="155"/>
      <c r="H310" s="155"/>
      <c r="I310" s="157"/>
      <c r="J310" s="157"/>
    </row>
    <row r="311" spans="1:10" ht="12.75" customHeight="1" x14ac:dyDescent="0.2">
      <c r="A311" s="155"/>
      <c r="B311" s="155"/>
      <c r="C311" s="155"/>
      <c r="D311" s="157"/>
      <c r="E311" s="157"/>
      <c r="F311" s="156"/>
      <c r="G311" s="155"/>
      <c r="H311" s="155"/>
      <c r="I311" s="157"/>
      <c r="J311" s="157"/>
    </row>
    <row r="312" spans="1:10" ht="12.75" customHeight="1" x14ac:dyDescent="0.2">
      <c r="A312" s="155"/>
      <c r="B312" s="155"/>
      <c r="C312" s="155"/>
      <c r="D312" s="157"/>
      <c r="E312" s="157"/>
      <c r="F312" s="157"/>
      <c r="G312" s="155"/>
      <c r="H312" s="155"/>
      <c r="I312" s="157"/>
      <c r="J312" s="157"/>
    </row>
    <row r="313" spans="1:10" ht="12.75" customHeight="1" x14ac:dyDescent="0.2">
      <c r="A313" s="155"/>
      <c r="B313" s="155"/>
      <c r="C313" s="155"/>
      <c r="D313" s="157"/>
      <c r="E313" s="157"/>
      <c r="F313" s="156"/>
      <c r="G313" s="155"/>
      <c r="H313" s="155"/>
      <c r="I313" s="157"/>
      <c r="J313" s="157"/>
    </row>
    <row r="314" spans="1:10" ht="12.75" customHeight="1" x14ac:dyDescent="0.2">
      <c r="A314" s="155"/>
      <c r="B314" s="155"/>
      <c r="C314" s="155"/>
      <c r="D314" s="157"/>
      <c r="E314" s="157"/>
      <c r="F314" s="156"/>
      <c r="G314" s="155"/>
      <c r="H314" s="155"/>
      <c r="I314" s="157"/>
      <c r="J314" s="157"/>
    </row>
    <row r="315" spans="1:10" ht="12.75" customHeight="1" x14ac:dyDescent="0.2">
      <c r="A315" s="155"/>
      <c r="B315" s="155"/>
      <c r="C315" s="155"/>
      <c r="D315" s="157"/>
      <c r="E315" s="157"/>
      <c r="F315" s="157"/>
      <c r="G315" s="155"/>
      <c r="H315" s="155"/>
      <c r="I315" s="157"/>
      <c r="J315" s="157"/>
    </row>
    <row r="316" spans="1:10" x14ac:dyDescent="0.2">
      <c r="A316" s="155"/>
      <c r="B316" s="155"/>
      <c r="C316" s="155"/>
      <c r="D316" s="157"/>
      <c r="E316" s="157"/>
      <c r="F316" s="156"/>
      <c r="G316" s="155"/>
      <c r="H316" s="155"/>
      <c r="I316" s="157"/>
      <c r="J316" s="157"/>
    </row>
    <row r="317" spans="1:10" x14ac:dyDescent="0.2">
      <c r="A317" s="155"/>
      <c r="B317" s="155"/>
      <c r="C317" s="155"/>
      <c r="D317" s="157"/>
      <c r="E317" s="157"/>
      <c r="F317" s="156"/>
      <c r="G317" s="155"/>
      <c r="H317" s="155"/>
      <c r="I317" s="157"/>
      <c r="J317" s="157"/>
    </row>
    <row r="318" spans="1:10" x14ac:dyDescent="0.2">
      <c r="A318" s="155"/>
      <c r="B318" s="155"/>
      <c r="C318" s="155"/>
      <c r="D318" s="157"/>
      <c r="E318" s="157"/>
      <c r="F318" s="157"/>
      <c r="G318" s="155"/>
      <c r="H318" s="155"/>
      <c r="I318" s="157"/>
      <c r="J318" s="157"/>
    </row>
    <row r="319" spans="1:10" x14ac:dyDescent="0.2">
      <c r="A319" s="155"/>
      <c r="B319" s="155"/>
      <c r="C319" s="155"/>
      <c r="D319" s="157"/>
      <c r="E319" s="157"/>
      <c r="F319" s="156"/>
      <c r="G319" s="155"/>
      <c r="H319" s="155"/>
      <c r="I319" s="157"/>
      <c r="J319" s="157"/>
    </row>
    <row r="320" spans="1:10" x14ac:dyDescent="0.2">
      <c r="A320" s="155"/>
      <c r="B320" s="155"/>
      <c r="C320" s="155"/>
      <c r="D320" s="157"/>
      <c r="E320" s="157"/>
      <c r="F320" s="156"/>
      <c r="G320" s="155"/>
      <c r="H320" s="155"/>
      <c r="I320" s="157"/>
      <c r="J320" s="157"/>
    </row>
    <row r="321" spans="1:10" ht="12.75" customHeight="1" x14ac:dyDescent="0.2">
      <c r="A321" s="155"/>
      <c r="B321" s="155"/>
      <c r="C321" s="155"/>
      <c r="D321" s="157"/>
      <c r="E321" s="157"/>
      <c r="F321" s="157"/>
      <c r="G321" s="155"/>
      <c r="H321" s="155"/>
      <c r="I321" s="157"/>
      <c r="J321" s="157"/>
    </row>
    <row r="322" spans="1:10" ht="12.75" customHeight="1" x14ac:dyDescent="0.2">
      <c r="A322" s="155"/>
      <c r="B322" s="155"/>
      <c r="C322" s="155"/>
      <c r="D322" s="157"/>
      <c r="E322" s="157"/>
      <c r="F322" s="156"/>
      <c r="G322" s="155"/>
      <c r="H322" s="155"/>
      <c r="I322" s="157"/>
      <c r="J322" s="157"/>
    </row>
    <row r="323" spans="1:10" x14ac:dyDescent="0.2">
      <c r="A323" s="155"/>
      <c r="B323" s="155"/>
      <c r="C323" s="155"/>
      <c r="D323" s="157"/>
      <c r="E323" s="157"/>
      <c r="F323" s="156"/>
      <c r="G323" s="155"/>
      <c r="H323" s="155"/>
      <c r="I323" s="157"/>
      <c r="J323" s="157"/>
    </row>
    <row r="324" spans="1:10" x14ac:dyDescent="0.2">
      <c r="A324" s="155"/>
      <c r="B324" s="155"/>
      <c r="C324" s="155"/>
      <c r="D324" s="157"/>
      <c r="E324" s="157"/>
      <c r="F324" s="157"/>
      <c r="G324" s="155"/>
      <c r="H324" s="155"/>
      <c r="I324" s="157"/>
      <c r="J324" s="157"/>
    </row>
    <row r="325" spans="1:10" x14ac:dyDescent="0.2">
      <c r="A325" s="155"/>
      <c r="B325" s="155"/>
      <c r="C325" s="155"/>
      <c r="D325" s="157"/>
      <c r="E325" s="157"/>
      <c r="F325" s="156"/>
      <c r="G325" s="155"/>
      <c r="H325" s="155"/>
      <c r="I325" s="157"/>
      <c r="J325" s="157"/>
    </row>
    <row r="326" spans="1:10" x14ac:dyDescent="0.2">
      <c r="A326" s="155"/>
      <c r="B326" s="155"/>
      <c r="C326" s="155"/>
      <c r="D326" s="157"/>
      <c r="E326" s="157"/>
      <c r="F326" s="156"/>
      <c r="G326" s="155"/>
      <c r="H326" s="155"/>
      <c r="I326" s="157"/>
      <c r="J326" s="157"/>
    </row>
    <row r="327" spans="1:10" x14ac:dyDescent="0.2">
      <c r="A327" s="155"/>
      <c r="B327" s="155"/>
      <c r="C327" s="155"/>
      <c r="D327" s="157"/>
      <c r="E327" s="157"/>
      <c r="F327" s="157"/>
      <c r="G327" s="155"/>
      <c r="H327" s="155"/>
      <c r="I327" s="157"/>
      <c r="J327" s="157"/>
    </row>
    <row r="328" spans="1:10" ht="12.75" customHeight="1" x14ac:dyDescent="0.2">
      <c r="A328" s="155"/>
      <c r="B328" s="155"/>
      <c r="C328" s="155"/>
      <c r="D328" s="157"/>
      <c r="E328" s="157"/>
      <c r="F328" s="156"/>
      <c r="G328" s="155"/>
      <c r="H328" s="155"/>
      <c r="I328" s="157"/>
      <c r="J328" s="157"/>
    </row>
    <row r="329" spans="1:10" ht="12.75" customHeight="1" x14ac:dyDescent="0.2">
      <c r="A329" s="155"/>
      <c r="B329" s="155"/>
      <c r="C329" s="155"/>
      <c r="D329" s="157"/>
      <c r="E329" s="157"/>
      <c r="F329" s="156"/>
      <c r="G329" s="155"/>
      <c r="H329" s="155"/>
      <c r="I329" s="157"/>
      <c r="J329" s="157"/>
    </row>
    <row r="330" spans="1:10" x14ac:dyDescent="0.2">
      <c r="A330" s="155"/>
      <c r="B330" s="155"/>
      <c r="C330" s="155"/>
      <c r="D330" s="157"/>
      <c r="E330" s="157"/>
      <c r="F330" s="157"/>
      <c r="G330" s="155"/>
      <c r="H330" s="155"/>
      <c r="I330" s="157"/>
      <c r="J330" s="157"/>
    </row>
    <row r="331" spans="1:10" x14ac:dyDescent="0.2">
      <c r="A331" s="155"/>
      <c r="B331" s="155"/>
      <c r="C331" s="155"/>
      <c r="D331" s="157"/>
      <c r="E331" s="157"/>
      <c r="F331" s="156"/>
      <c r="G331" s="155"/>
      <c r="H331" s="155"/>
      <c r="I331" s="157"/>
      <c r="J331" s="157"/>
    </row>
    <row r="332" spans="1:10" x14ac:dyDescent="0.2">
      <c r="A332" s="155"/>
      <c r="B332" s="155"/>
      <c r="C332" s="155"/>
      <c r="D332" s="157"/>
      <c r="E332" s="157"/>
      <c r="F332" s="156"/>
      <c r="G332" s="155"/>
      <c r="H332" s="155"/>
      <c r="I332" s="157"/>
      <c r="J332" s="157"/>
    </row>
    <row r="333" spans="1:10" x14ac:dyDescent="0.2">
      <c r="A333" s="155"/>
      <c r="B333" s="155"/>
      <c r="C333" s="155"/>
      <c r="D333" s="157"/>
      <c r="E333" s="157"/>
      <c r="F333" s="157"/>
      <c r="G333" s="155"/>
      <c r="H333" s="155"/>
      <c r="I333" s="157"/>
      <c r="J333" s="157"/>
    </row>
    <row r="334" spans="1:10" x14ac:dyDescent="0.2">
      <c r="A334" s="155"/>
      <c r="B334" s="155"/>
      <c r="C334" s="155"/>
      <c r="D334" s="157"/>
      <c r="E334" s="157"/>
      <c r="F334" s="156"/>
      <c r="G334" s="155"/>
      <c r="H334" s="155"/>
      <c r="I334" s="157"/>
      <c r="J334" s="157"/>
    </row>
    <row r="335" spans="1:10" ht="12.75" customHeight="1" x14ac:dyDescent="0.2">
      <c r="A335" s="155"/>
      <c r="B335" s="155"/>
      <c r="C335" s="155"/>
      <c r="D335" s="157"/>
      <c r="E335" s="157"/>
      <c r="F335" s="156"/>
      <c r="G335" s="155"/>
      <c r="H335" s="155"/>
      <c r="I335" s="157"/>
      <c r="J335" s="157"/>
    </row>
    <row r="336" spans="1:10" ht="12.75" customHeight="1" x14ac:dyDescent="0.2">
      <c r="A336" s="155"/>
      <c r="B336" s="155"/>
      <c r="C336" s="155"/>
      <c r="D336" s="157"/>
      <c r="E336" s="157"/>
      <c r="F336" s="157"/>
      <c r="G336" s="155"/>
      <c r="H336" s="155"/>
      <c r="I336" s="157"/>
      <c r="J336" s="157"/>
    </row>
    <row r="337" spans="1:10" x14ac:dyDescent="0.2">
      <c r="A337" s="155"/>
      <c r="B337" s="155"/>
      <c r="C337" s="155"/>
      <c r="D337" s="157"/>
      <c r="E337" s="157"/>
      <c r="F337" s="156"/>
      <c r="G337" s="155"/>
      <c r="H337" s="155"/>
      <c r="I337" s="157"/>
      <c r="J337" s="157"/>
    </row>
    <row r="338" spans="1:10" x14ac:dyDescent="0.2">
      <c r="A338" s="155"/>
      <c r="B338" s="155"/>
      <c r="C338" s="155"/>
      <c r="D338" s="157"/>
      <c r="E338" s="157"/>
      <c r="F338" s="156"/>
      <c r="G338" s="155"/>
      <c r="H338" s="155"/>
      <c r="I338" s="157"/>
      <c r="J338" s="157"/>
    </row>
    <row r="339" spans="1:10" x14ac:dyDescent="0.2">
      <c r="A339" s="155"/>
      <c r="B339" s="155"/>
      <c r="C339" s="155"/>
      <c r="D339" s="157"/>
      <c r="E339" s="157"/>
      <c r="F339" s="157"/>
      <c r="G339" s="155"/>
      <c r="H339" s="155"/>
      <c r="I339" s="157"/>
      <c r="J339" s="157"/>
    </row>
    <row r="340" spans="1:10" x14ac:dyDescent="0.2">
      <c r="A340" s="155"/>
      <c r="B340" s="155"/>
      <c r="C340" s="155"/>
      <c r="D340" s="157"/>
      <c r="E340" s="157"/>
      <c r="F340" s="156"/>
      <c r="G340" s="155"/>
      <c r="H340" s="155"/>
      <c r="I340" s="157"/>
      <c r="J340" s="157"/>
    </row>
    <row r="341" spans="1:10" x14ac:dyDescent="0.2">
      <c r="A341" s="155"/>
      <c r="B341" s="155"/>
      <c r="C341" s="155"/>
      <c r="D341" s="157"/>
      <c r="E341" s="157"/>
      <c r="F341" s="156"/>
      <c r="G341" s="155"/>
      <c r="H341" s="155"/>
      <c r="I341" s="157"/>
      <c r="J341" s="157"/>
    </row>
    <row r="342" spans="1:10" ht="12.75" customHeight="1" x14ac:dyDescent="0.2">
      <c r="A342" s="155"/>
      <c r="B342" s="155"/>
      <c r="C342" s="155"/>
      <c r="D342" s="157"/>
      <c r="E342" s="157"/>
      <c r="F342" s="157"/>
      <c r="G342" s="155"/>
      <c r="H342" s="155"/>
      <c r="I342" s="157"/>
      <c r="J342" s="157"/>
    </row>
    <row r="343" spans="1:10" ht="12.75" customHeight="1" x14ac:dyDescent="0.2">
      <c r="A343" s="155"/>
      <c r="B343" s="155"/>
      <c r="C343" s="155"/>
      <c r="D343" s="157"/>
      <c r="E343" s="157"/>
      <c r="F343" s="156"/>
      <c r="G343" s="155"/>
      <c r="H343" s="155"/>
      <c r="I343" s="157"/>
      <c r="J343" s="157"/>
    </row>
    <row r="344" spans="1:10" x14ac:dyDescent="0.2">
      <c r="A344" s="155"/>
      <c r="B344" s="155"/>
      <c r="C344" s="155"/>
      <c r="D344" s="157"/>
      <c r="E344" s="157"/>
      <c r="F344" s="156"/>
      <c r="G344" s="155"/>
      <c r="H344" s="155"/>
      <c r="I344" s="157"/>
      <c r="J344" s="157"/>
    </row>
    <row r="345" spans="1:10" x14ac:dyDescent="0.2">
      <c r="A345" s="155"/>
      <c r="B345" s="155"/>
      <c r="C345" s="155"/>
      <c r="D345" s="157"/>
      <c r="E345" s="157"/>
      <c r="F345" s="157"/>
      <c r="G345" s="155"/>
      <c r="H345" s="155"/>
      <c r="I345" s="157"/>
      <c r="J345" s="157"/>
    </row>
    <row r="346" spans="1:10" x14ac:dyDescent="0.2">
      <c r="A346" s="155"/>
      <c r="B346" s="155"/>
      <c r="C346" s="155"/>
      <c r="D346" s="157"/>
      <c r="E346" s="157"/>
      <c r="F346" s="156"/>
      <c r="G346" s="155"/>
      <c r="H346" s="155"/>
      <c r="I346" s="157"/>
      <c r="J346" s="157"/>
    </row>
    <row r="347" spans="1:10" x14ac:dyDescent="0.2">
      <c r="A347" s="155"/>
      <c r="B347" s="155"/>
      <c r="C347" s="155"/>
      <c r="D347" s="157"/>
      <c r="E347" s="157"/>
      <c r="F347" s="156"/>
      <c r="G347" s="155"/>
      <c r="H347" s="155"/>
      <c r="I347" s="157"/>
      <c r="J347" s="157"/>
    </row>
    <row r="348" spans="1:10" x14ac:dyDescent="0.2">
      <c r="A348" s="155"/>
      <c r="B348" s="155"/>
      <c r="C348" s="155"/>
      <c r="D348" s="157"/>
      <c r="E348" s="157"/>
      <c r="F348" s="157"/>
      <c r="G348" s="155"/>
      <c r="H348" s="155"/>
      <c r="I348" s="157"/>
      <c r="J348" s="157"/>
    </row>
    <row r="349" spans="1:10" ht="12.75" customHeight="1" x14ac:dyDescent="0.2">
      <c r="A349" s="155"/>
      <c r="B349" s="155"/>
      <c r="C349" s="155"/>
      <c r="D349" s="157"/>
      <c r="E349" s="157"/>
      <c r="F349" s="156"/>
      <c r="G349" s="155"/>
      <c r="H349" s="155"/>
      <c r="I349" s="157"/>
      <c r="J349" s="157"/>
    </row>
    <row r="350" spans="1:10" ht="12.75" customHeight="1" x14ac:dyDescent="0.2">
      <c r="A350" s="155"/>
      <c r="B350" s="155"/>
      <c r="C350" s="155"/>
      <c r="D350" s="157"/>
      <c r="E350" s="157"/>
      <c r="F350" s="156"/>
      <c r="G350" s="155"/>
      <c r="H350" s="155"/>
      <c r="I350" s="157"/>
      <c r="J350" s="157"/>
    </row>
    <row r="351" spans="1:10" x14ac:dyDescent="0.2">
      <c r="A351" s="155"/>
      <c r="B351" s="155"/>
      <c r="C351" s="155"/>
      <c r="D351" s="157"/>
      <c r="E351" s="157"/>
      <c r="F351" s="157"/>
      <c r="G351" s="155"/>
      <c r="H351" s="155"/>
      <c r="I351" s="157"/>
      <c r="J351" s="157"/>
    </row>
    <row r="352" spans="1:10" x14ac:dyDescent="0.2">
      <c r="A352" s="155"/>
      <c r="B352" s="155"/>
      <c r="C352" s="155"/>
      <c r="D352" s="157"/>
      <c r="E352" s="157"/>
      <c r="F352" s="156"/>
      <c r="G352" s="155"/>
      <c r="H352" s="155"/>
      <c r="I352" s="157"/>
      <c r="J352" s="157"/>
    </row>
    <row r="353" spans="1:10" x14ac:dyDescent="0.2">
      <c r="A353" s="155"/>
      <c r="B353" s="155"/>
      <c r="C353" s="155"/>
      <c r="D353" s="157"/>
      <c r="E353" s="157"/>
      <c r="F353" s="156"/>
      <c r="G353" s="155"/>
      <c r="H353" s="155"/>
      <c r="I353" s="157"/>
      <c r="J353" s="157"/>
    </row>
    <row r="354" spans="1:10" x14ac:dyDescent="0.2">
      <c r="A354" s="155"/>
      <c r="B354" s="155"/>
      <c r="C354" s="155"/>
      <c r="D354" s="157"/>
      <c r="E354" s="157"/>
      <c r="F354" s="157"/>
      <c r="G354" s="155"/>
      <c r="H354" s="155"/>
      <c r="I354" s="157"/>
      <c r="J354" s="157"/>
    </row>
    <row r="355" spans="1:10" x14ac:dyDescent="0.2">
      <c r="A355" s="155"/>
      <c r="B355" s="155"/>
      <c r="C355" s="155"/>
      <c r="D355" s="157"/>
      <c r="E355" s="157"/>
      <c r="F355" s="156"/>
      <c r="G355" s="155"/>
      <c r="H355" s="155"/>
      <c r="I355" s="157"/>
      <c r="J355" s="157"/>
    </row>
    <row r="356" spans="1:10" ht="12.75" customHeight="1" x14ac:dyDescent="0.2">
      <c r="A356" s="155"/>
      <c r="B356" s="155"/>
      <c r="C356" s="155"/>
      <c r="D356" s="157"/>
      <c r="E356" s="157"/>
      <c r="F356" s="156"/>
      <c r="G356" s="155"/>
      <c r="H356" s="155"/>
      <c r="I356" s="157"/>
      <c r="J356" s="157"/>
    </row>
    <row r="357" spans="1:10" ht="12.75" customHeight="1" x14ac:dyDescent="0.2">
      <c r="A357" s="155"/>
      <c r="B357" s="155"/>
      <c r="C357" s="155"/>
      <c r="D357" s="157"/>
      <c r="E357" s="157"/>
      <c r="F357" s="157"/>
      <c r="G357" s="155"/>
      <c r="H357" s="155"/>
      <c r="I357" s="157"/>
      <c r="J357" s="157"/>
    </row>
    <row r="358" spans="1:10" x14ac:dyDescent="0.2">
      <c r="A358" s="155"/>
      <c r="B358" s="155"/>
      <c r="C358" s="155"/>
      <c r="D358" s="157"/>
      <c r="E358" s="157"/>
      <c r="F358" s="156"/>
      <c r="G358" s="155"/>
      <c r="H358" s="155"/>
      <c r="I358" s="157"/>
      <c r="J358" s="157"/>
    </row>
    <row r="359" spans="1:10" x14ac:dyDescent="0.2">
      <c r="A359" s="155"/>
      <c r="B359" s="155"/>
      <c r="C359" s="155"/>
      <c r="D359" s="157"/>
      <c r="E359" s="157"/>
      <c r="F359" s="156"/>
      <c r="G359" s="155"/>
      <c r="H359" s="155"/>
      <c r="I359" s="157"/>
      <c r="J359" s="157"/>
    </row>
    <row r="360" spans="1:10" x14ac:dyDescent="0.2">
      <c r="A360" s="155"/>
      <c r="B360" s="155"/>
      <c r="C360" s="155"/>
      <c r="D360" s="157"/>
      <c r="E360" s="157"/>
      <c r="F360" s="157"/>
      <c r="G360" s="155"/>
      <c r="H360" s="155"/>
      <c r="I360" s="157"/>
      <c r="J360" s="157"/>
    </row>
    <row r="361" spans="1:10" x14ac:dyDescent="0.2">
      <c r="A361" s="155"/>
      <c r="B361" s="155"/>
      <c r="C361" s="155"/>
      <c r="D361" s="157"/>
      <c r="E361" s="157"/>
      <c r="F361" s="156"/>
      <c r="G361" s="155"/>
      <c r="H361" s="155"/>
      <c r="I361" s="157"/>
      <c r="J361" s="157"/>
    </row>
    <row r="362" spans="1:10" x14ac:dyDescent="0.2">
      <c r="A362" s="155"/>
      <c r="B362" s="155"/>
      <c r="C362" s="155"/>
      <c r="D362" s="157"/>
      <c r="E362" s="157"/>
      <c r="F362" s="156"/>
      <c r="G362" s="155"/>
      <c r="H362" s="155"/>
      <c r="I362" s="157"/>
      <c r="J362" s="157"/>
    </row>
    <row r="363" spans="1:10" ht="12.75" customHeight="1" x14ac:dyDescent="0.2">
      <c r="A363" s="155"/>
      <c r="B363" s="155"/>
      <c r="C363" s="155"/>
      <c r="D363" s="157"/>
      <c r="E363" s="157"/>
      <c r="F363" s="157"/>
      <c r="G363" s="155"/>
      <c r="H363" s="155"/>
      <c r="I363" s="157"/>
      <c r="J363" s="157"/>
    </row>
    <row r="364" spans="1:10" ht="12.75" customHeight="1" x14ac:dyDescent="0.2">
      <c r="A364" s="155"/>
      <c r="B364" s="155"/>
      <c r="C364" s="155"/>
      <c r="D364" s="157"/>
      <c r="E364" s="157"/>
      <c r="F364" s="156"/>
      <c r="G364" s="155"/>
      <c r="H364" s="155"/>
      <c r="I364" s="157"/>
      <c r="J364" s="157"/>
    </row>
    <row r="365" spans="1:10" x14ac:dyDescent="0.2">
      <c r="A365" s="155"/>
      <c r="B365" s="155"/>
      <c r="C365" s="155"/>
      <c r="D365" s="157"/>
      <c r="E365" s="157"/>
      <c r="F365" s="156"/>
      <c r="G365" s="155"/>
      <c r="H365" s="155"/>
      <c r="I365" s="157"/>
      <c r="J365" s="157"/>
    </row>
    <row r="366" spans="1:10" x14ac:dyDescent="0.2">
      <c r="A366" s="155"/>
      <c r="B366" s="155"/>
      <c r="C366" s="155"/>
      <c r="D366" s="157"/>
      <c r="E366" s="157"/>
      <c r="F366" s="157"/>
      <c r="G366" s="155"/>
      <c r="H366" s="155"/>
      <c r="I366" s="157"/>
      <c r="J366" s="157"/>
    </row>
    <row r="367" spans="1:10" x14ac:dyDescent="0.2">
      <c r="A367" s="155"/>
      <c r="B367" s="155"/>
      <c r="C367" s="155"/>
      <c r="D367" s="157"/>
      <c r="E367" s="157"/>
      <c r="F367" s="156"/>
      <c r="G367" s="155"/>
      <c r="H367" s="155"/>
      <c r="I367" s="157"/>
      <c r="J367" s="157"/>
    </row>
    <row r="368" spans="1:10" x14ac:dyDescent="0.2">
      <c r="A368" s="155"/>
      <c r="B368" s="155"/>
      <c r="C368" s="155"/>
      <c r="D368" s="157"/>
      <c r="E368" s="157"/>
      <c r="F368" s="156"/>
      <c r="G368" s="155"/>
      <c r="H368" s="155"/>
      <c r="I368" s="157"/>
      <c r="J368" s="157"/>
    </row>
    <row r="369" spans="1:10" x14ac:dyDescent="0.2">
      <c r="A369" s="155"/>
      <c r="B369" s="155"/>
      <c r="C369" s="155"/>
      <c r="D369" s="157"/>
      <c r="E369" s="157"/>
      <c r="F369" s="157"/>
      <c r="G369" s="155"/>
      <c r="H369" s="155"/>
      <c r="I369" s="157"/>
      <c r="J369" s="157"/>
    </row>
    <row r="370" spans="1:10" ht="12.75" customHeight="1" x14ac:dyDescent="0.2">
      <c r="A370" s="155"/>
      <c r="B370" s="155"/>
      <c r="C370" s="155"/>
      <c r="D370" s="157"/>
      <c r="E370" s="157"/>
      <c r="F370" s="156"/>
      <c r="G370" s="155"/>
      <c r="H370" s="155"/>
      <c r="I370" s="157"/>
      <c r="J370" s="157"/>
    </row>
    <row r="371" spans="1:10" ht="12.75" customHeight="1" x14ac:dyDescent="0.2">
      <c r="A371" s="155"/>
      <c r="B371" s="155"/>
      <c r="C371" s="155"/>
      <c r="D371" s="157"/>
      <c r="E371" s="157"/>
      <c r="F371" s="156"/>
      <c r="G371" s="155"/>
      <c r="H371" s="155"/>
      <c r="I371" s="157"/>
      <c r="J371" s="157"/>
    </row>
    <row r="372" spans="1:10" x14ac:dyDescent="0.2">
      <c r="A372" s="155"/>
      <c r="B372" s="155"/>
      <c r="C372" s="155"/>
      <c r="D372" s="157"/>
      <c r="E372" s="157"/>
      <c r="F372" s="157"/>
      <c r="G372" s="155"/>
      <c r="H372" s="155"/>
      <c r="I372" s="157"/>
      <c r="J372" s="157"/>
    </row>
    <row r="373" spans="1:10" x14ac:dyDescent="0.2">
      <c r="A373" s="155"/>
      <c r="B373" s="155"/>
      <c r="C373" s="155"/>
      <c r="D373" s="157"/>
      <c r="E373" s="157"/>
      <c r="F373" s="156"/>
      <c r="G373" s="155"/>
      <c r="H373" s="155"/>
      <c r="I373" s="157"/>
      <c r="J373" s="157"/>
    </row>
    <row r="374" spans="1:10" x14ac:dyDescent="0.2">
      <c r="A374" s="155"/>
      <c r="B374" s="155"/>
      <c r="C374" s="155"/>
      <c r="D374" s="157"/>
      <c r="E374" s="157"/>
      <c r="F374" s="156"/>
      <c r="G374" s="155"/>
      <c r="H374" s="155"/>
      <c r="I374" s="157"/>
      <c r="J374" s="157"/>
    </row>
    <row r="375" spans="1:10" x14ac:dyDescent="0.2">
      <c r="A375" s="155"/>
      <c r="B375" s="155"/>
      <c r="C375" s="155"/>
      <c r="D375" s="157"/>
      <c r="E375" s="157"/>
      <c r="F375" s="157"/>
      <c r="G375" s="155"/>
      <c r="H375" s="155"/>
      <c r="I375" s="157"/>
      <c r="J375" s="157"/>
    </row>
    <row r="376" spans="1:10" x14ac:dyDescent="0.2">
      <c r="A376" s="155"/>
      <c r="B376" s="155"/>
      <c r="C376" s="155"/>
      <c r="D376" s="157"/>
      <c r="E376" s="157"/>
      <c r="F376" s="156"/>
      <c r="G376" s="155"/>
      <c r="H376" s="155"/>
      <c r="I376" s="157"/>
      <c r="J376" s="157"/>
    </row>
    <row r="377" spans="1:10" ht="12.75" customHeight="1" x14ac:dyDescent="0.2">
      <c r="A377" s="155"/>
      <c r="B377" s="155"/>
      <c r="C377" s="155"/>
      <c r="D377" s="157"/>
      <c r="E377" s="157"/>
      <c r="F377" s="156"/>
      <c r="G377" s="155"/>
      <c r="H377" s="155"/>
      <c r="I377" s="157"/>
      <c r="J377" s="157"/>
    </row>
    <row r="378" spans="1:10" ht="12.75" customHeight="1" x14ac:dyDescent="0.2">
      <c r="A378" s="155"/>
      <c r="B378" s="155"/>
      <c r="C378" s="155"/>
      <c r="D378" s="157"/>
      <c r="E378" s="157"/>
      <c r="F378" s="157"/>
      <c r="G378" s="155"/>
      <c r="H378" s="155"/>
      <c r="I378" s="157"/>
      <c r="J378" s="157"/>
    </row>
    <row r="379" spans="1:10" x14ac:dyDescent="0.2">
      <c r="A379" s="155"/>
      <c r="B379" s="155"/>
      <c r="C379" s="155"/>
      <c r="D379" s="157"/>
      <c r="E379" s="157"/>
      <c r="F379" s="156"/>
      <c r="G379" s="155"/>
      <c r="H379" s="155"/>
      <c r="I379" s="157"/>
      <c r="J379" s="157"/>
    </row>
    <row r="380" spans="1:10" x14ac:dyDescent="0.2">
      <c r="A380" s="155"/>
      <c r="B380" s="155"/>
      <c r="C380" s="155"/>
      <c r="D380" s="157"/>
      <c r="E380" s="157"/>
      <c r="F380" s="156"/>
      <c r="G380" s="155"/>
      <c r="H380" s="155"/>
      <c r="I380" s="157"/>
      <c r="J380" s="157"/>
    </row>
    <row r="381" spans="1:10" x14ac:dyDescent="0.2">
      <c r="A381" s="155"/>
      <c r="B381" s="155"/>
      <c r="C381" s="155"/>
      <c r="D381" s="157"/>
      <c r="E381" s="157"/>
      <c r="F381" s="157"/>
      <c r="G381" s="155"/>
      <c r="H381" s="155"/>
      <c r="I381" s="157"/>
      <c r="J381" s="157"/>
    </row>
    <row r="382" spans="1:10" x14ac:dyDescent="0.2">
      <c r="A382" s="155"/>
      <c r="B382" s="155"/>
      <c r="C382" s="155"/>
      <c r="D382" s="157"/>
      <c r="E382" s="157"/>
      <c r="F382" s="156"/>
      <c r="G382" s="155"/>
      <c r="H382" s="155"/>
      <c r="I382" s="157"/>
      <c r="J382" s="157"/>
    </row>
    <row r="383" spans="1:10" x14ac:dyDescent="0.2">
      <c r="A383" s="155"/>
      <c r="B383" s="155"/>
      <c r="C383" s="155"/>
      <c r="D383" s="157"/>
      <c r="E383" s="157"/>
      <c r="F383" s="156"/>
      <c r="G383" s="155"/>
      <c r="H383" s="155"/>
      <c r="I383" s="157"/>
      <c r="J383" s="157"/>
    </row>
    <row r="384" spans="1:10" ht="12.75" customHeight="1" x14ac:dyDescent="0.2">
      <c r="A384" s="155"/>
      <c r="B384" s="155"/>
      <c r="C384" s="155"/>
      <c r="D384" s="157"/>
      <c r="E384" s="157"/>
      <c r="F384" s="157"/>
      <c r="G384" s="155"/>
      <c r="H384" s="155"/>
      <c r="I384" s="157"/>
      <c r="J384" s="157"/>
    </row>
    <row r="385" spans="1:10" ht="12.75" customHeight="1" x14ac:dyDescent="0.2">
      <c r="A385" s="155"/>
      <c r="B385" s="155"/>
      <c r="C385" s="155"/>
      <c r="D385" s="157"/>
      <c r="E385" s="157"/>
      <c r="F385" s="156"/>
      <c r="G385" s="155"/>
      <c r="H385" s="155"/>
      <c r="I385" s="157"/>
      <c r="J385" s="157"/>
    </row>
    <row r="386" spans="1:10" x14ac:dyDescent="0.2">
      <c r="A386" s="155"/>
      <c r="B386" s="155"/>
      <c r="C386" s="155"/>
      <c r="D386" s="157"/>
      <c r="E386" s="157"/>
      <c r="F386" s="156"/>
      <c r="G386" s="155"/>
      <c r="H386" s="155"/>
      <c r="I386" s="157"/>
      <c r="J386" s="157"/>
    </row>
    <row r="387" spans="1:10" x14ac:dyDescent="0.2">
      <c r="A387" s="155"/>
      <c r="B387" s="155"/>
      <c r="C387" s="155"/>
      <c r="D387" s="157"/>
      <c r="E387" s="157"/>
      <c r="F387" s="157"/>
      <c r="G387" s="155"/>
      <c r="H387" s="155"/>
      <c r="I387" s="157"/>
      <c r="J387" s="157"/>
    </row>
    <row r="388" spans="1:10" x14ac:dyDescent="0.2">
      <c r="A388" s="155"/>
      <c r="B388" s="155"/>
      <c r="C388" s="155"/>
      <c r="D388" s="157"/>
      <c r="E388" s="157"/>
      <c r="F388" s="156"/>
      <c r="G388" s="155"/>
      <c r="H388" s="155"/>
      <c r="I388" s="157"/>
      <c r="J388" s="157"/>
    </row>
    <row r="389" spans="1:10" x14ac:dyDescent="0.2">
      <c r="A389" s="155"/>
      <c r="B389" s="155"/>
      <c r="C389" s="155"/>
      <c r="D389" s="157"/>
      <c r="E389" s="157"/>
      <c r="F389" s="156"/>
      <c r="G389" s="155"/>
      <c r="H389" s="155"/>
      <c r="I389" s="157"/>
      <c r="J389" s="157"/>
    </row>
    <row r="390" spans="1:10" x14ac:dyDescent="0.2">
      <c r="A390" s="155"/>
      <c r="B390" s="155"/>
      <c r="C390" s="155"/>
      <c r="D390" s="157"/>
      <c r="E390" s="157"/>
      <c r="F390" s="157"/>
      <c r="G390" s="155"/>
      <c r="H390" s="155"/>
      <c r="I390" s="157"/>
      <c r="J390" s="157"/>
    </row>
    <row r="391" spans="1:10" ht="12.75" customHeight="1" x14ac:dyDescent="0.2">
      <c r="A391" s="155"/>
      <c r="B391" s="155"/>
      <c r="C391" s="155"/>
      <c r="D391" s="157"/>
      <c r="E391" s="157"/>
      <c r="F391" s="156"/>
      <c r="G391" s="155"/>
      <c r="H391" s="155"/>
      <c r="I391" s="157"/>
      <c r="J391" s="157"/>
    </row>
    <row r="392" spans="1:10" ht="12.75" customHeight="1" x14ac:dyDescent="0.2">
      <c r="A392" s="155"/>
      <c r="B392" s="155"/>
      <c r="C392" s="155"/>
      <c r="D392" s="157"/>
      <c r="E392" s="157"/>
      <c r="F392" s="156"/>
      <c r="G392" s="155"/>
      <c r="H392" s="155"/>
      <c r="I392" s="157"/>
      <c r="J392" s="157"/>
    </row>
    <row r="393" spans="1:10" x14ac:dyDescent="0.2">
      <c r="A393" s="155"/>
      <c r="B393" s="155"/>
      <c r="C393" s="155"/>
      <c r="D393" s="157"/>
      <c r="E393" s="157"/>
      <c r="F393" s="157"/>
      <c r="G393" s="155"/>
      <c r="H393" s="155"/>
      <c r="I393" s="157"/>
      <c r="J393" s="157"/>
    </row>
    <row r="394" spans="1:10" x14ac:dyDescent="0.2">
      <c r="A394" s="155"/>
      <c r="B394" s="155"/>
      <c r="C394" s="155"/>
      <c r="D394" s="157"/>
      <c r="E394" s="157"/>
      <c r="F394" s="156"/>
      <c r="G394" s="155"/>
      <c r="H394" s="155"/>
      <c r="I394" s="157"/>
      <c r="J394" s="157"/>
    </row>
    <row r="395" spans="1:10" x14ac:dyDescent="0.2">
      <c r="A395" s="155"/>
      <c r="B395" s="155"/>
      <c r="C395" s="155"/>
      <c r="D395" s="157"/>
      <c r="E395" s="157"/>
      <c r="F395" s="156"/>
      <c r="G395" s="155"/>
      <c r="H395" s="155"/>
      <c r="I395" s="157"/>
      <c r="J395" s="157"/>
    </row>
    <row r="396" spans="1:10" x14ac:dyDescent="0.2">
      <c r="A396" s="155"/>
      <c r="B396" s="155"/>
      <c r="C396" s="155"/>
      <c r="D396" s="157"/>
      <c r="E396" s="157"/>
      <c r="F396" s="157"/>
      <c r="G396" s="155"/>
      <c r="H396" s="155"/>
      <c r="I396" s="157"/>
      <c r="J396" s="157"/>
    </row>
    <row r="397" spans="1:10" x14ac:dyDescent="0.2">
      <c r="A397" s="155"/>
      <c r="B397" s="155"/>
      <c r="C397" s="155"/>
      <c r="D397" s="157"/>
      <c r="E397" s="157"/>
      <c r="F397" s="156"/>
      <c r="G397" s="155"/>
      <c r="H397" s="155"/>
      <c r="I397" s="157"/>
      <c r="J397" s="157"/>
    </row>
    <row r="398" spans="1:10" ht="12.75" customHeight="1" x14ac:dyDescent="0.2">
      <c r="A398" s="155"/>
      <c r="B398" s="155"/>
      <c r="C398" s="155"/>
      <c r="D398" s="157"/>
      <c r="E398" s="157"/>
      <c r="F398" s="156"/>
      <c r="G398" s="155"/>
      <c r="H398" s="155"/>
      <c r="I398" s="157"/>
      <c r="J398" s="157"/>
    </row>
    <row r="399" spans="1:10" ht="12.75" customHeight="1" x14ac:dyDescent="0.2">
      <c r="A399" s="155"/>
      <c r="B399" s="155"/>
      <c r="C399" s="155"/>
      <c r="D399" s="157"/>
      <c r="E399" s="157"/>
      <c r="F399" s="157"/>
      <c r="G399" s="155"/>
      <c r="H399" s="155"/>
      <c r="I399" s="157"/>
      <c r="J399" s="157"/>
    </row>
    <row r="400" spans="1:10" x14ac:dyDescent="0.2">
      <c r="A400" s="155"/>
      <c r="B400" s="155"/>
      <c r="C400" s="155"/>
      <c r="D400" s="157"/>
      <c r="E400" s="157"/>
      <c r="F400" s="156"/>
      <c r="G400" s="155"/>
      <c r="H400" s="155"/>
      <c r="I400" s="157"/>
      <c r="J400" s="157"/>
    </row>
    <row r="401" spans="1:10" x14ac:dyDescent="0.2">
      <c r="A401" s="155"/>
      <c r="B401" s="155"/>
      <c r="C401" s="155"/>
      <c r="D401" s="157"/>
      <c r="E401" s="157"/>
      <c r="F401" s="156"/>
      <c r="G401" s="155"/>
      <c r="H401" s="155"/>
      <c r="I401" s="157"/>
      <c r="J401" s="157"/>
    </row>
    <row r="402" spans="1:10" x14ac:dyDescent="0.2">
      <c r="A402" s="155"/>
      <c r="B402" s="155"/>
      <c r="C402" s="155"/>
      <c r="D402" s="157"/>
      <c r="E402" s="157"/>
      <c r="F402" s="157"/>
      <c r="G402" s="155"/>
      <c r="H402" s="155"/>
      <c r="I402" s="157"/>
      <c r="J402" s="157"/>
    </row>
    <row r="403" spans="1:10" x14ac:dyDescent="0.2">
      <c r="A403" s="155"/>
      <c r="B403" s="155"/>
      <c r="C403" s="155"/>
      <c r="D403" s="157"/>
      <c r="E403" s="157"/>
      <c r="F403" s="156"/>
      <c r="G403" s="155"/>
      <c r="H403" s="155"/>
      <c r="I403" s="157"/>
      <c r="J403" s="157"/>
    </row>
    <row r="404" spans="1:10" x14ac:dyDescent="0.2">
      <c r="A404" s="155"/>
      <c r="B404" s="155"/>
      <c r="C404" s="155"/>
      <c r="D404" s="157"/>
      <c r="E404" s="157"/>
      <c r="F404" s="156"/>
      <c r="G404" s="155"/>
      <c r="H404" s="155"/>
      <c r="I404" s="157"/>
      <c r="J404" s="157"/>
    </row>
    <row r="405" spans="1:10" ht="12.75" customHeight="1" x14ac:dyDescent="0.2">
      <c r="A405" s="155"/>
      <c r="B405" s="155"/>
      <c r="C405" s="155"/>
      <c r="D405" s="157"/>
      <c r="E405" s="157"/>
      <c r="F405" s="157"/>
      <c r="G405" s="155"/>
      <c r="H405" s="155"/>
      <c r="I405" s="157"/>
      <c r="J405" s="157"/>
    </row>
    <row r="406" spans="1:10" ht="12.75" customHeight="1" x14ac:dyDescent="0.2">
      <c r="A406" s="155"/>
      <c r="B406" s="155"/>
      <c r="C406" s="155"/>
      <c r="D406" s="157"/>
      <c r="E406" s="157"/>
      <c r="F406" s="156"/>
      <c r="G406" s="155"/>
      <c r="H406" s="155"/>
      <c r="I406" s="157"/>
      <c r="J406" s="157"/>
    </row>
    <row r="407" spans="1:10" x14ac:dyDescent="0.2">
      <c r="A407" s="155"/>
      <c r="B407" s="155"/>
      <c r="C407" s="155"/>
      <c r="D407" s="157"/>
      <c r="E407" s="157"/>
      <c r="F407" s="156"/>
      <c r="G407" s="155"/>
      <c r="H407" s="155"/>
      <c r="I407" s="157"/>
      <c r="J407" s="157"/>
    </row>
    <row r="408" spans="1:10" x14ac:dyDescent="0.2">
      <c r="A408" s="155"/>
      <c r="B408" s="155"/>
      <c r="C408" s="155"/>
      <c r="D408" s="157"/>
      <c r="E408" s="157"/>
      <c r="F408" s="157"/>
      <c r="G408" s="155"/>
      <c r="H408" s="155"/>
      <c r="I408" s="157"/>
      <c r="J408" s="157"/>
    </row>
    <row r="409" spans="1:10" x14ac:dyDescent="0.2">
      <c r="A409" s="155"/>
      <c r="B409" s="155"/>
      <c r="C409" s="155"/>
      <c r="D409" s="157"/>
      <c r="E409" s="157"/>
      <c r="F409" s="156"/>
      <c r="G409" s="155"/>
      <c r="H409" s="155"/>
      <c r="I409" s="157"/>
      <c r="J409" s="157"/>
    </row>
    <row r="410" spans="1:10" x14ac:dyDescent="0.2">
      <c r="A410" s="155"/>
      <c r="B410" s="155"/>
      <c r="C410" s="155"/>
      <c r="D410" s="157"/>
      <c r="E410" s="157"/>
      <c r="F410" s="156"/>
      <c r="G410" s="155"/>
      <c r="H410" s="155"/>
      <c r="I410" s="157"/>
      <c r="J410" s="157"/>
    </row>
    <row r="411" spans="1:10" x14ac:dyDescent="0.2">
      <c r="A411" s="155"/>
      <c r="B411" s="155"/>
      <c r="C411" s="155"/>
      <c r="D411" s="157"/>
      <c r="E411" s="157"/>
      <c r="F411" s="157"/>
      <c r="G411" s="155"/>
      <c r="H411" s="155"/>
      <c r="I411" s="157"/>
      <c r="J411" s="157"/>
    </row>
    <row r="412" spans="1:10" ht="12.75" customHeight="1" x14ac:dyDescent="0.2">
      <c r="A412" s="155"/>
      <c r="B412" s="155"/>
      <c r="C412" s="155"/>
      <c r="D412" s="157"/>
      <c r="E412" s="157"/>
      <c r="F412" s="156"/>
      <c r="G412" s="155"/>
      <c r="H412" s="155"/>
      <c r="I412" s="157"/>
      <c r="J412" s="157"/>
    </row>
    <row r="413" spans="1:10" ht="12.75" customHeight="1" x14ac:dyDescent="0.2">
      <c r="A413" s="155"/>
      <c r="B413" s="155"/>
      <c r="C413" s="155"/>
      <c r="D413" s="157"/>
      <c r="E413" s="157"/>
      <c r="F413" s="156"/>
      <c r="G413" s="155"/>
      <c r="H413" s="155"/>
      <c r="I413" s="157"/>
      <c r="J413" s="157"/>
    </row>
    <row r="414" spans="1:10" x14ac:dyDescent="0.2">
      <c r="A414" s="155"/>
      <c r="B414" s="155"/>
      <c r="C414" s="155"/>
      <c r="D414" s="157"/>
      <c r="E414" s="157"/>
      <c r="F414" s="157"/>
      <c r="G414" s="155"/>
      <c r="H414" s="155"/>
      <c r="I414" s="157"/>
      <c r="J414" s="157"/>
    </row>
    <row r="415" spans="1:10" x14ac:dyDescent="0.2">
      <c r="A415" s="155"/>
      <c r="B415" s="155"/>
      <c r="C415" s="155"/>
      <c r="D415" s="157"/>
      <c r="E415" s="157"/>
      <c r="F415" s="156"/>
      <c r="G415" s="155"/>
      <c r="H415" s="155"/>
      <c r="I415" s="157"/>
      <c r="J415" s="157"/>
    </row>
    <row r="416" spans="1:10" x14ac:dyDescent="0.2">
      <c r="A416" s="155"/>
      <c r="B416" s="155"/>
      <c r="C416" s="155"/>
      <c r="D416" s="157"/>
      <c r="E416" s="157"/>
      <c r="F416" s="156"/>
      <c r="G416" s="155"/>
      <c r="H416" s="155"/>
      <c r="I416" s="157"/>
      <c r="J416" s="157"/>
    </row>
    <row r="417" spans="1:10" x14ac:dyDescent="0.2">
      <c r="A417" s="155"/>
      <c r="B417" s="155"/>
      <c r="C417" s="155"/>
      <c r="D417" s="157"/>
      <c r="E417" s="157"/>
      <c r="F417" s="157"/>
      <c r="G417" s="155"/>
      <c r="H417" s="155"/>
      <c r="I417" s="157"/>
      <c r="J417" s="157"/>
    </row>
    <row r="418" spans="1:10" x14ac:dyDescent="0.2">
      <c r="A418" s="155"/>
      <c r="B418" s="155"/>
      <c r="C418" s="155"/>
      <c r="D418" s="157"/>
      <c r="E418" s="157"/>
      <c r="F418" s="156"/>
      <c r="G418" s="155"/>
      <c r="H418" s="155"/>
      <c r="I418" s="157"/>
      <c r="J418" s="157"/>
    </row>
    <row r="419" spans="1:10" ht="12.75" customHeight="1" x14ac:dyDescent="0.2">
      <c r="A419" s="155"/>
      <c r="B419" s="155"/>
      <c r="C419" s="155"/>
      <c r="D419" s="157"/>
      <c r="E419" s="157"/>
      <c r="F419" s="156"/>
      <c r="G419" s="155"/>
      <c r="H419" s="155"/>
      <c r="I419" s="157"/>
      <c r="J419" s="157"/>
    </row>
    <row r="420" spans="1:10" ht="12.75" customHeight="1" x14ac:dyDescent="0.2">
      <c r="A420" s="155"/>
      <c r="B420" s="155"/>
      <c r="C420" s="155"/>
      <c r="D420" s="157"/>
      <c r="E420" s="157"/>
      <c r="F420" s="157"/>
      <c r="G420" s="155"/>
      <c r="H420" s="155"/>
      <c r="I420" s="157"/>
      <c r="J420" s="157"/>
    </row>
    <row r="421" spans="1:10" x14ac:dyDescent="0.2">
      <c r="A421" s="155"/>
      <c r="B421" s="155"/>
      <c r="C421" s="155"/>
      <c r="D421" s="157"/>
      <c r="E421" s="157"/>
      <c r="F421" s="156"/>
      <c r="G421" s="155"/>
      <c r="H421" s="155"/>
      <c r="I421" s="157"/>
      <c r="J421" s="157"/>
    </row>
    <row r="422" spans="1:10" x14ac:dyDescent="0.2">
      <c r="A422" s="155"/>
      <c r="B422" s="155"/>
      <c r="C422" s="155"/>
      <c r="D422" s="157"/>
      <c r="E422" s="157"/>
      <c r="F422" s="156"/>
      <c r="G422" s="155"/>
      <c r="H422" s="155"/>
      <c r="I422" s="157"/>
      <c r="J422" s="157"/>
    </row>
    <row r="423" spans="1:10" x14ac:dyDescent="0.2">
      <c r="A423" s="155"/>
      <c r="B423" s="155"/>
      <c r="C423" s="155"/>
      <c r="D423" s="157"/>
      <c r="E423" s="157"/>
      <c r="F423" s="157"/>
      <c r="G423" s="155"/>
      <c r="H423" s="155"/>
      <c r="I423" s="157"/>
      <c r="J423" s="157"/>
    </row>
    <row r="424" spans="1:10" x14ac:dyDescent="0.2">
      <c r="A424" s="155"/>
      <c r="B424" s="155"/>
      <c r="C424" s="155"/>
      <c r="D424" s="157"/>
      <c r="E424" s="157"/>
      <c r="F424" s="156"/>
      <c r="G424" s="155"/>
      <c r="H424" s="155"/>
      <c r="I424" s="157"/>
      <c r="J424" s="157"/>
    </row>
    <row r="425" spans="1:10" x14ac:dyDescent="0.2">
      <c r="A425" s="155"/>
      <c r="B425" s="155"/>
      <c r="C425" s="155"/>
      <c r="D425" s="157"/>
      <c r="E425" s="157"/>
      <c r="F425" s="156"/>
      <c r="G425" s="155"/>
      <c r="H425" s="155"/>
      <c r="I425" s="157"/>
      <c r="J425" s="157"/>
    </row>
    <row r="426" spans="1:10" ht="12.75" customHeight="1" x14ac:dyDescent="0.2">
      <c r="A426" s="155"/>
      <c r="B426" s="155"/>
      <c r="C426" s="155"/>
      <c r="D426" s="157"/>
      <c r="E426" s="157"/>
      <c r="F426" s="157"/>
      <c r="G426" s="155"/>
      <c r="H426" s="155"/>
      <c r="I426" s="157"/>
      <c r="J426" s="157"/>
    </row>
    <row r="427" spans="1:10" ht="12.75" customHeight="1" x14ac:dyDescent="0.2">
      <c r="A427" s="155"/>
      <c r="B427" s="155"/>
      <c r="C427" s="155"/>
      <c r="D427" s="157"/>
      <c r="E427" s="157"/>
      <c r="F427" s="156"/>
      <c r="G427" s="155"/>
      <c r="H427" s="155"/>
      <c r="I427" s="157"/>
      <c r="J427" s="157"/>
    </row>
    <row r="428" spans="1:10" x14ac:dyDescent="0.2">
      <c r="A428" s="155"/>
      <c r="B428" s="155"/>
      <c r="C428" s="155"/>
      <c r="D428" s="157"/>
      <c r="E428" s="157"/>
      <c r="F428" s="156"/>
      <c r="G428" s="155"/>
      <c r="H428" s="155"/>
      <c r="I428" s="157"/>
      <c r="J428" s="157"/>
    </row>
    <row r="429" spans="1:10" x14ac:dyDescent="0.2">
      <c r="A429" s="155"/>
      <c r="B429" s="155"/>
      <c r="C429" s="155"/>
      <c r="D429" s="157"/>
      <c r="E429" s="157"/>
      <c r="F429" s="157"/>
      <c r="G429" s="155"/>
      <c r="H429" s="155"/>
      <c r="I429" s="157"/>
      <c r="J429" s="157"/>
    </row>
    <row r="430" spans="1:10" x14ac:dyDescent="0.2">
      <c r="A430" s="155"/>
      <c r="B430" s="155"/>
      <c r="C430" s="155"/>
      <c r="D430" s="157"/>
      <c r="E430" s="157"/>
      <c r="F430" s="156"/>
      <c r="G430" s="155"/>
      <c r="H430" s="155"/>
      <c r="I430" s="157"/>
      <c r="J430" s="157"/>
    </row>
    <row r="431" spans="1:10" x14ac:dyDescent="0.2">
      <c r="A431" s="155"/>
      <c r="B431" s="155"/>
      <c r="C431" s="155"/>
      <c r="D431" s="157"/>
      <c r="E431" s="157"/>
      <c r="F431" s="156"/>
      <c r="G431" s="155"/>
      <c r="H431" s="155"/>
      <c r="I431" s="157"/>
      <c r="J431" s="157"/>
    </row>
    <row r="432" spans="1:10" x14ac:dyDescent="0.2">
      <c r="A432" s="155"/>
      <c r="B432" s="155"/>
      <c r="C432" s="155"/>
      <c r="D432" s="157"/>
      <c r="E432" s="157"/>
      <c r="F432" s="157"/>
      <c r="G432" s="155"/>
      <c r="H432" s="155"/>
      <c r="I432" s="157"/>
      <c r="J432" s="157"/>
    </row>
    <row r="433" spans="1:10" ht="12.75" customHeight="1" x14ac:dyDescent="0.2">
      <c r="A433" s="155"/>
      <c r="B433" s="155"/>
      <c r="C433" s="155"/>
      <c r="D433" s="157"/>
      <c r="E433" s="157"/>
      <c r="F433" s="156"/>
      <c r="G433" s="155"/>
      <c r="H433" s="155"/>
      <c r="I433" s="157"/>
      <c r="J433" s="157"/>
    </row>
    <row r="434" spans="1:10" ht="12.75" customHeight="1" x14ac:dyDescent="0.2">
      <c r="A434" s="155"/>
      <c r="B434" s="155"/>
      <c r="C434" s="155"/>
      <c r="D434" s="157"/>
      <c r="E434" s="157"/>
      <c r="F434" s="156"/>
      <c r="G434" s="155"/>
      <c r="H434" s="155"/>
      <c r="I434" s="157"/>
      <c r="J434" s="157"/>
    </row>
    <row r="435" spans="1:10" x14ac:dyDescent="0.2">
      <c r="A435" s="155"/>
      <c r="B435" s="155"/>
      <c r="C435" s="155"/>
      <c r="D435" s="157"/>
      <c r="E435" s="157"/>
      <c r="F435" s="157"/>
      <c r="G435" s="155"/>
      <c r="H435" s="155"/>
      <c r="I435" s="157"/>
      <c r="J435" s="157"/>
    </row>
    <row r="436" spans="1:10" x14ac:dyDescent="0.2">
      <c r="A436" s="155"/>
      <c r="B436" s="155"/>
      <c r="C436" s="155"/>
      <c r="D436" s="157"/>
      <c r="E436" s="157"/>
      <c r="F436" s="156"/>
      <c r="G436" s="155"/>
      <c r="H436" s="155"/>
      <c r="I436" s="157"/>
      <c r="J436" s="157"/>
    </row>
    <row r="437" spans="1:10" x14ac:dyDescent="0.2">
      <c r="A437" s="155"/>
      <c r="B437" s="155"/>
      <c r="C437" s="155"/>
      <c r="D437" s="157"/>
      <c r="E437" s="157"/>
      <c r="F437" s="156"/>
      <c r="G437" s="155"/>
      <c r="H437" s="155"/>
      <c r="I437" s="157"/>
      <c r="J437" s="157"/>
    </row>
    <row r="438" spans="1:10" x14ac:dyDescent="0.2">
      <c r="A438" s="155"/>
      <c r="B438" s="155"/>
      <c r="C438" s="155"/>
      <c r="D438" s="157"/>
      <c r="E438" s="157"/>
      <c r="F438" s="157"/>
      <c r="G438" s="155"/>
      <c r="H438" s="155"/>
      <c r="I438" s="157"/>
      <c r="J438" s="157"/>
    </row>
    <row r="439" spans="1:10" x14ac:dyDescent="0.2">
      <c r="A439" s="155"/>
      <c r="B439" s="155"/>
      <c r="C439" s="155"/>
      <c r="D439" s="157"/>
      <c r="E439" s="157"/>
      <c r="F439" s="156"/>
      <c r="G439" s="155"/>
      <c r="H439" s="155"/>
      <c r="I439" s="157"/>
      <c r="J439" s="157"/>
    </row>
    <row r="440" spans="1:10" ht="12.75" customHeight="1" x14ac:dyDescent="0.2">
      <c r="A440" s="155"/>
      <c r="B440" s="155"/>
      <c r="C440" s="155"/>
      <c r="D440" s="157"/>
      <c r="E440" s="157"/>
      <c r="F440" s="156"/>
      <c r="G440" s="155"/>
      <c r="H440" s="155"/>
      <c r="I440" s="157"/>
      <c r="J440" s="157"/>
    </row>
    <row r="441" spans="1:10" ht="12.75" customHeight="1" x14ac:dyDescent="0.2">
      <c r="A441" s="155"/>
      <c r="B441" s="155"/>
      <c r="C441" s="155"/>
      <c r="D441" s="157"/>
      <c r="E441" s="157"/>
      <c r="F441" s="157"/>
      <c r="G441" s="155"/>
      <c r="H441" s="155"/>
      <c r="I441" s="157"/>
      <c r="J441" s="157"/>
    </row>
    <row r="442" spans="1:10" x14ac:dyDescent="0.2">
      <c r="A442" s="155"/>
      <c r="B442" s="155"/>
      <c r="C442" s="155"/>
      <c r="D442" s="157"/>
      <c r="E442" s="157"/>
      <c r="F442" s="156"/>
      <c r="G442" s="155"/>
      <c r="H442" s="155"/>
      <c r="I442" s="157"/>
      <c r="J442" s="157"/>
    </row>
    <row r="443" spans="1:10" x14ac:dyDescent="0.2">
      <c r="A443" s="155"/>
      <c r="B443" s="155"/>
      <c r="C443" s="155"/>
      <c r="D443" s="157"/>
      <c r="E443" s="157"/>
      <c r="F443" s="156"/>
      <c r="G443" s="155"/>
      <c r="H443" s="155"/>
      <c r="I443" s="157"/>
      <c r="J443" s="157"/>
    </row>
    <row r="444" spans="1:10" x14ac:dyDescent="0.2">
      <c r="A444" s="155"/>
      <c r="B444" s="155"/>
      <c r="C444" s="155"/>
      <c r="D444" s="157"/>
      <c r="E444" s="157"/>
      <c r="F444" s="157"/>
      <c r="G444" s="155"/>
      <c r="H444" s="155"/>
      <c r="I444" s="157"/>
      <c r="J444" s="157"/>
    </row>
    <row r="445" spans="1:10" x14ac:dyDescent="0.2">
      <c r="A445" s="155"/>
      <c r="B445" s="155"/>
      <c r="C445" s="155"/>
      <c r="D445" s="157"/>
      <c r="E445" s="157"/>
      <c r="F445" s="156"/>
      <c r="G445" s="155"/>
      <c r="H445" s="155"/>
      <c r="I445" s="157"/>
      <c r="J445" s="157"/>
    </row>
    <row r="446" spans="1:10" x14ac:dyDescent="0.2">
      <c r="A446" s="155"/>
      <c r="B446" s="155"/>
      <c r="C446" s="155"/>
      <c r="D446" s="157"/>
      <c r="E446" s="157"/>
      <c r="F446" s="156"/>
      <c r="G446" s="155"/>
      <c r="H446" s="155"/>
      <c r="I446" s="157"/>
      <c r="J446" s="157"/>
    </row>
    <row r="447" spans="1:10" ht="12.75" customHeight="1" x14ac:dyDescent="0.2">
      <c r="A447" s="155"/>
      <c r="B447" s="155"/>
      <c r="C447" s="155"/>
      <c r="D447" s="157"/>
      <c r="E447" s="157"/>
      <c r="F447" s="157"/>
      <c r="G447" s="155"/>
      <c r="H447" s="155"/>
      <c r="I447" s="157"/>
      <c r="J447" s="157"/>
    </row>
    <row r="448" spans="1:10" ht="12.75" customHeight="1" x14ac:dyDescent="0.2">
      <c r="A448" s="155"/>
      <c r="B448" s="155"/>
      <c r="C448" s="155"/>
      <c r="D448" s="157"/>
      <c r="E448" s="157"/>
      <c r="F448" s="156"/>
      <c r="G448" s="155"/>
      <c r="H448" s="155"/>
      <c r="I448" s="157"/>
      <c r="J448" s="157"/>
    </row>
    <row r="449" spans="1:10" x14ac:dyDescent="0.2">
      <c r="A449" s="155"/>
      <c r="B449" s="155"/>
      <c r="C449" s="155"/>
      <c r="D449" s="157"/>
      <c r="E449" s="157"/>
      <c r="F449" s="156"/>
      <c r="G449" s="155"/>
      <c r="H449" s="155"/>
      <c r="I449" s="157"/>
      <c r="J449" s="157"/>
    </row>
    <row r="450" spans="1:10" x14ac:dyDescent="0.2">
      <c r="A450" s="155"/>
      <c r="B450" s="155"/>
      <c r="C450" s="155"/>
      <c r="D450" s="157"/>
      <c r="E450" s="157"/>
      <c r="F450" s="157"/>
      <c r="G450" s="155"/>
      <c r="H450" s="155"/>
      <c r="I450" s="157"/>
      <c r="J450" s="157"/>
    </row>
    <row r="451" spans="1:10" x14ac:dyDescent="0.2">
      <c r="A451" s="155"/>
      <c r="B451" s="155"/>
      <c r="C451" s="155"/>
      <c r="D451" s="157"/>
      <c r="E451" s="157"/>
      <c r="F451" s="156"/>
      <c r="G451" s="155"/>
      <c r="H451" s="155"/>
      <c r="I451" s="157"/>
      <c r="J451" s="157"/>
    </row>
    <row r="452" spans="1:10" x14ac:dyDescent="0.2">
      <c r="A452" s="155"/>
      <c r="B452" s="155"/>
      <c r="C452" s="155"/>
      <c r="D452" s="157"/>
      <c r="E452" s="157"/>
      <c r="F452" s="156"/>
      <c r="G452" s="155"/>
      <c r="H452" s="155"/>
      <c r="I452" s="157"/>
      <c r="J452" s="157"/>
    </row>
    <row r="453" spans="1:10" x14ac:dyDescent="0.2">
      <c r="A453" s="155"/>
      <c r="B453" s="155"/>
      <c r="C453" s="155"/>
      <c r="D453" s="157"/>
      <c r="E453" s="157"/>
      <c r="F453" s="157"/>
      <c r="G453" s="155"/>
      <c r="H453" s="155"/>
      <c r="I453" s="157"/>
      <c r="J453" s="157"/>
    </row>
    <row r="454" spans="1:10" ht="12.75" customHeight="1" x14ac:dyDescent="0.2">
      <c r="A454" s="155"/>
      <c r="B454" s="155"/>
      <c r="C454" s="155"/>
      <c r="D454" s="157"/>
      <c r="E454" s="157"/>
      <c r="F454" s="156"/>
      <c r="G454" s="155"/>
      <c r="H454" s="155"/>
      <c r="I454" s="157"/>
      <c r="J454" s="157"/>
    </row>
    <row r="455" spans="1:10" ht="12.75" customHeight="1" x14ac:dyDescent="0.2">
      <c r="A455" s="155"/>
      <c r="B455" s="155"/>
      <c r="C455" s="155"/>
      <c r="D455" s="157"/>
      <c r="E455" s="157"/>
      <c r="F455" s="156"/>
      <c r="G455" s="155"/>
      <c r="H455" s="155"/>
      <c r="I455" s="157"/>
      <c r="J455" s="157"/>
    </row>
    <row r="456" spans="1:10" x14ac:dyDescent="0.2">
      <c r="A456" s="155"/>
      <c r="B456" s="155"/>
      <c r="C456" s="155"/>
      <c r="D456" s="157"/>
      <c r="E456" s="157"/>
      <c r="F456" s="157"/>
      <c r="G456" s="155"/>
      <c r="H456" s="155"/>
      <c r="I456" s="157"/>
      <c r="J456" s="157"/>
    </row>
    <row r="457" spans="1:10" x14ac:dyDescent="0.2">
      <c r="A457" s="155"/>
      <c r="B457" s="155"/>
      <c r="C457" s="155"/>
      <c r="D457" s="157"/>
      <c r="E457" s="157"/>
      <c r="F457" s="156"/>
      <c r="G457" s="155"/>
      <c r="H457" s="155"/>
      <c r="I457" s="157"/>
      <c r="J457" s="157"/>
    </row>
    <row r="458" spans="1:10" x14ac:dyDescent="0.2">
      <c r="A458" s="155"/>
      <c r="B458" s="155"/>
      <c r="C458" s="155"/>
      <c r="D458" s="157"/>
      <c r="E458" s="157"/>
      <c r="F458" s="156"/>
      <c r="G458" s="155"/>
      <c r="H458" s="155"/>
      <c r="I458" s="157"/>
      <c r="J458" s="157"/>
    </row>
    <row r="459" spans="1:10" x14ac:dyDescent="0.2">
      <c r="A459" s="155"/>
      <c r="B459" s="155"/>
      <c r="C459" s="155"/>
      <c r="D459" s="157"/>
      <c r="E459" s="157"/>
      <c r="F459" s="157"/>
      <c r="G459" s="155"/>
      <c r="H459" s="155"/>
      <c r="I459" s="157"/>
      <c r="J459" s="157"/>
    </row>
    <row r="460" spans="1:10" x14ac:dyDescent="0.2">
      <c r="A460" s="155"/>
      <c r="B460" s="155"/>
      <c r="C460" s="155"/>
      <c r="D460" s="157"/>
      <c r="E460" s="157"/>
      <c r="F460" s="156"/>
      <c r="G460" s="155"/>
      <c r="H460" s="155"/>
      <c r="I460" s="157"/>
      <c r="J460" s="157"/>
    </row>
    <row r="461" spans="1:10" ht="12.75" customHeight="1" x14ac:dyDescent="0.2">
      <c r="A461" s="155"/>
      <c r="B461" s="155"/>
      <c r="C461" s="155"/>
      <c r="D461" s="157"/>
      <c r="E461" s="157"/>
      <c r="F461" s="156"/>
      <c r="G461" s="155"/>
      <c r="H461" s="155"/>
      <c r="I461" s="157"/>
      <c r="J461" s="157"/>
    </row>
    <row r="462" spans="1:10" ht="12.75" customHeight="1" x14ac:dyDescent="0.2">
      <c r="A462" s="155"/>
      <c r="B462" s="155"/>
      <c r="C462" s="155"/>
      <c r="D462" s="157"/>
      <c r="E462" s="157"/>
      <c r="F462" s="157"/>
      <c r="G462" s="155"/>
      <c r="H462" s="155"/>
      <c r="I462" s="157"/>
      <c r="J462" s="157"/>
    </row>
    <row r="463" spans="1:10" x14ac:dyDescent="0.2">
      <c r="A463" s="155"/>
      <c r="B463" s="155"/>
      <c r="C463" s="155"/>
      <c r="D463" s="157"/>
      <c r="E463" s="157"/>
      <c r="F463" s="156"/>
      <c r="G463" s="155"/>
      <c r="H463" s="155"/>
      <c r="I463" s="157"/>
      <c r="J463" s="157"/>
    </row>
    <row r="464" spans="1:10" x14ac:dyDescent="0.2">
      <c r="A464" s="155"/>
      <c r="B464" s="155"/>
      <c r="C464" s="155"/>
      <c r="D464" s="157"/>
      <c r="E464" s="157"/>
      <c r="F464" s="156"/>
      <c r="G464" s="155"/>
      <c r="H464" s="155"/>
      <c r="I464" s="157"/>
      <c r="J464" s="157"/>
    </row>
    <row r="465" spans="1:10" x14ac:dyDescent="0.2">
      <c r="A465" s="155"/>
      <c r="B465" s="155"/>
      <c r="C465" s="155"/>
      <c r="D465" s="157"/>
      <c r="E465" s="157"/>
      <c r="F465" s="157"/>
      <c r="G465" s="155"/>
      <c r="H465" s="155"/>
      <c r="I465" s="157"/>
      <c r="J465" s="157"/>
    </row>
    <row r="466" spans="1:10" x14ac:dyDescent="0.2">
      <c r="A466" s="155"/>
      <c r="B466" s="155"/>
      <c r="C466" s="155"/>
      <c r="D466" s="157"/>
      <c r="E466" s="157"/>
      <c r="F466" s="156"/>
      <c r="G466" s="155"/>
      <c r="H466" s="155"/>
      <c r="I466" s="157"/>
      <c r="J466" s="157"/>
    </row>
    <row r="467" spans="1:10" x14ac:dyDescent="0.2">
      <c r="A467" s="155"/>
      <c r="B467" s="155"/>
      <c r="C467" s="155"/>
      <c r="D467" s="157"/>
      <c r="E467" s="157"/>
      <c r="F467" s="156"/>
      <c r="G467" s="155"/>
      <c r="H467" s="155"/>
      <c r="I467" s="157"/>
      <c r="J467" s="157"/>
    </row>
    <row r="468" spans="1:10" ht="12.75" customHeight="1" x14ac:dyDescent="0.2">
      <c r="A468" s="155"/>
      <c r="B468" s="155"/>
      <c r="C468" s="155"/>
      <c r="D468" s="157"/>
      <c r="E468" s="157"/>
      <c r="F468" s="157"/>
      <c r="G468" s="155"/>
      <c r="H468" s="155"/>
      <c r="I468" s="157"/>
      <c r="J468" s="157"/>
    </row>
    <row r="469" spans="1:10" ht="12.75" customHeight="1" x14ac:dyDescent="0.2">
      <c r="A469" s="155"/>
      <c r="B469" s="155"/>
      <c r="C469" s="155"/>
      <c r="D469" s="157"/>
      <c r="E469" s="157"/>
      <c r="F469" s="156"/>
      <c r="G469" s="155"/>
      <c r="H469" s="155"/>
      <c r="I469" s="157"/>
      <c r="J469" s="157"/>
    </row>
    <row r="470" spans="1:10" x14ac:dyDescent="0.2">
      <c r="A470" s="155"/>
      <c r="B470" s="155"/>
      <c r="C470" s="155"/>
      <c r="D470" s="157"/>
      <c r="E470" s="157"/>
      <c r="F470" s="156"/>
      <c r="G470" s="155"/>
      <c r="H470" s="155"/>
      <c r="I470" s="157"/>
      <c r="J470" s="157"/>
    </row>
    <row r="471" spans="1:10" x14ac:dyDescent="0.2">
      <c r="A471" s="155"/>
      <c r="B471" s="155"/>
      <c r="C471" s="155"/>
      <c r="D471" s="157"/>
      <c r="E471" s="157"/>
      <c r="F471" s="157"/>
      <c r="G471" s="155"/>
      <c r="H471" s="155"/>
      <c r="I471" s="157"/>
      <c r="J471" s="157"/>
    </row>
    <row r="472" spans="1:10" x14ac:dyDescent="0.2">
      <c r="A472" s="155"/>
      <c r="B472" s="155"/>
      <c r="C472" s="155"/>
      <c r="D472" s="157"/>
      <c r="E472" s="157"/>
      <c r="F472" s="156"/>
      <c r="G472" s="155"/>
      <c r="H472" s="155"/>
      <c r="I472" s="157"/>
      <c r="J472" s="157"/>
    </row>
    <row r="473" spans="1:10" x14ac:dyDescent="0.2">
      <c r="A473" s="155"/>
      <c r="B473" s="155"/>
      <c r="C473" s="155"/>
      <c r="D473" s="157"/>
      <c r="E473" s="157"/>
      <c r="F473" s="156"/>
      <c r="G473" s="155"/>
      <c r="H473" s="155"/>
      <c r="I473" s="157"/>
      <c r="J473" s="157"/>
    </row>
    <row r="474" spans="1:10" x14ac:dyDescent="0.2">
      <c r="A474" s="155"/>
      <c r="B474" s="155"/>
      <c r="C474" s="155"/>
      <c r="D474" s="157"/>
      <c r="E474" s="157"/>
      <c r="F474" s="157"/>
      <c r="G474" s="155"/>
      <c r="H474" s="155"/>
      <c r="I474" s="157"/>
      <c r="J474" s="157"/>
    </row>
    <row r="475" spans="1:10" ht="12.75" customHeight="1" x14ac:dyDescent="0.2">
      <c r="A475" s="155"/>
      <c r="B475" s="155"/>
      <c r="C475" s="155"/>
      <c r="D475" s="157"/>
      <c r="E475" s="157"/>
      <c r="F475" s="156"/>
      <c r="G475" s="155"/>
      <c r="H475" s="155"/>
      <c r="I475" s="157"/>
      <c r="J475" s="157"/>
    </row>
    <row r="476" spans="1:10" ht="12.75" customHeight="1" x14ac:dyDescent="0.2">
      <c r="A476" s="155"/>
      <c r="B476" s="155"/>
      <c r="C476" s="155"/>
      <c r="D476" s="157"/>
      <c r="E476" s="157"/>
      <c r="F476" s="156"/>
      <c r="G476" s="155"/>
      <c r="H476" s="155"/>
      <c r="I476" s="157"/>
      <c r="J476" s="157"/>
    </row>
    <row r="477" spans="1:10" x14ac:dyDescent="0.2">
      <c r="A477" s="155"/>
      <c r="B477" s="155"/>
      <c r="C477" s="155"/>
      <c r="D477" s="157"/>
      <c r="E477" s="157"/>
      <c r="F477" s="157"/>
      <c r="G477" s="155"/>
      <c r="H477" s="155"/>
      <c r="I477" s="157"/>
      <c r="J477" s="157"/>
    </row>
    <row r="478" spans="1:10" x14ac:dyDescent="0.2">
      <c r="A478" s="155"/>
      <c r="B478" s="155"/>
      <c r="C478" s="155"/>
      <c r="D478" s="157"/>
      <c r="E478" s="157"/>
      <c r="F478" s="156"/>
      <c r="G478" s="155"/>
      <c r="H478" s="155"/>
      <c r="I478" s="157"/>
      <c r="J478" s="157"/>
    </row>
    <row r="479" spans="1:10" x14ac:dyDescent="0.2">
      <c r="A479" s="155"/>
      <c r="B479" s="155"/>
      <c r="C479" s="155"/>
      <c r="D479" s="157"/>
      <c r="E479" s="157"/>
      <c r="F479" s="156"/>
      <c r="G479" s="155"/>
      <c r="H479" s="155"/>
      <c r="I479" s="157"/>
      <c r="J479" s="157"/>
    </row>
    <row r="480" spans="1:10" x14ac:dyDescent="0.2">
      <c r="A480" s="155"/>
      <c r="B480" s="155"/>
      <c r="C480" s="155"/>
      <c r="D480" s="157"/>
      <c r="E480" s="157"/>
      <c r="F480" s="157"/>
      <c r="G480" s="155"/>
      <c r="H480" s="155"/>
      <c r="I480" s="157"/>
      <c r="J480" s="157"/>
    </row>
    <row r="481" spans="1:10" x14ac:dyDescent="0.2">
      <c r="A481" s="155"/>
      <c r="B481" s="155"/>
      <c r="C481" s="155"/>
      <c r="D481" s="157"/>
      <c r="E481" s="157"/>
      <c r="F481" s="156"/>
      <c r="G481" s="155"/>
      <c r="H481" s="155"/>
      <c r="I481" s="157"/>
      <c r="J481" s="157"/>
    </row>
    <row r="482" spans="1:10" ht="12.75" customHeight="1" x14ac:dyDescent="0.2">
      <c r="A482" s="155"/>
      <c r="B482" s="155"/>
      <c r="C482" s="155"/>
      <c r="D482" s="157"/>
      <c r="E482" s="157"/>
      <c r="F482" s="156"/>
      <c r="G482" s="155"/>
      <c r="H482" s="155"/>
      <c r="I482" s="157"/>
      <c r="J482" s="157"/>
    </row>
    <row r="483" spans="1:10" ht="12.75" customHeight="1" x14ac:dyDescent="0.2">
      <c r="A483" s="155"/>
      <c r="B483" s="155"/>
      <c r="C483" s="155"/>
      <c r="D483" s="157"/>
      <c r="E483" s="157"/>
      <c r="F483" s="157"/>
      <c r="G483" s="155"/>
      <c r="H483" s="155"/>
      <c r="I483" s="157"/>
      <c r="J483" s="157"/>
    </row>
    <row r="484" spans="1:10" ht="12.75" customHeight="1" x14ac:dyDescent="0.2">
      <c r="A484" s="155"/>
      <c r="B484" s="155"/>
      <c r="C484" s="155"/>
      <c r="D484" s="157"/>
      <c r="E484" s="157"/>
      <c r="F484" s="156"/>
      <c r="G484" s="155"/>
      <c r="H484" s="155"/>
      <c r="I484" s="157"/>
      <c r="J484" s="157"/>
    </row>
    <row r="485" spans="1:10" x14ac:dyDescent="0.2">
      <c r="A485" s="155"/>
      <c r="B485" s="155"/>
      <c r="C485" s="155"/>
      <c r="D485" s="157"/>
      <c r="E485" s="157"/>
      <c r="F485" s="156"/>
      <c r="G485" s="155"/>
      <c r="H485" s="155"/>
      <c r="I485" s="157"/>
      <c r="J485" s="157"/>
    </row>
    <row r="486" spans="1:10" ht="12.75" customHeight="1" x14ac:dyDescent="0.2">
      <c r="A486" s="155"/>
      <c r="B486" s="155"/>
      <c r="C486" s="155"/>
      <c r="D486" s="157"/>
      <c r="E486" s="157"/>
      <c r="F486" s="157"/>
      <c r="G486" s="155"/>
      <c r="H486" s="155"/>
      <c r="I486" s="157"/>
      <c r="J486" s="157"/>
    </row>
    <row r="487" spans="1:10" x14ac:dyDescent="0.2">
      <c r="A487" s="155"/>
      <c r="B487" s="155"/>
      <c r="C487" s="155"/>
      <c r="D487" s="157"/>
      <c r="E487" s="157"/>
      <c r="F487" s="156"/>
      <c r="G487" s="155"/>
      <c r="H487" s="155"/>
      <c r="I487" s="157"/>
      <c r="J487" s="157"/>
    </row>
    <row r="488" spans="1:10" ht="12.75" customHeight="1" x14ac:dyDescent="0.2">
      <c r="A488" s="155"/>
      <c r="B488" s="155"/>
      <c r="C488" s="155"/>
      <c r="D488" s="157"/>
      <c r="E488" s="157"/>
      <c r="F488" s="156"/>
      <c r="G488" s="155"/>
      <c r="H488" s="155"/>
      <c r="I488" s="157"/>
      <c r="J488" s="157"/>
    </row>
    <row r="489" spans="1:10" x14ac:dyDescent="0.2">
      <c r="A489" s="155"/>
      <c r="B489" s="155"/>
      <c r="C489" s="155"/>
      <c r="D489" s="157"/>
      <c r="E489" s="157"/>
      <c r="F489" s="157"/>
      <c r="G489" s="155"/>
      <c r="H489" s="155"/>
      <c r="I489" s="157"/>
      <c r="J489" s="157"/>
    </row>
    <row r="490" spans="1:10" x14ac:dyDescent="0.2">
      <c r="A490" s="155"/>
      <c r="B490" s="155"/>
      <c r="C490" s="155"/>
      <c r="D490" s="157"/>
      <c r="E490" s="157"/>
      <c r="F490" s="156"/>
      <c r="G490" s="155"/>
      <c r="H490" s="155"/>
      <c r="I490" s="157"/>
      <c r="J490" s="157"/>
    </row>
    <row r="491" spans="1:10" ht="12.75" customHeight="1" x14ac:dyDescent="0.2">
      <c r="A491" s="155"/>
      <c r="B491" s="155"/>
      <c r="C491" s="155"/>
      <c r="D491" s="157"/>
      <c r="E491" s="157"/>
      <c r="F491" s="156"/>
      <c r="G491" s="155"/>
      <c r="H491" s="155"/>
      <c r="I491" s="157"/>
      <c r="J491" s="157"/>
    </row>
    <row r="492" spans="1:10" x14ac:dyDescent="0.2">
      <c r="A492" s="155"/>
      <c r="B492" s="155"/>
      <c r="C492" s="155"/>
      <c r="D492" s="157"/>
      <c r="E492" s="157"/>
      <c r="F492" s="157"/>
      <c r="G492" s="155"/>
      <c r="H492" s="155"/>
      <c r="I492" s="157"/>
      <c r="J492" s="157"/>
    </row>
    <row r="493" spans="1:10" x14ac:dyDescent="0.2">
      <c r="A493" s="155"/>
      <c r="B493" s="155"/>
      <c r="C493" s="155"/>
      <c r="D493" s="157"/>
      <c r="E493" s="157"/>
      <c r="F493" s="156"/>
      <c r="G493" s="155"/>
      <c r="H493" s="155"/>
      <c r="I493" s="157"/>
      <c r="J493" s="157"/>
    </row>
    <row r="494" spans="1:10" x14ac:dyDescent="0.2">
      <c r="A494" s="155"/>
      <c r="B494" s="155"/>
      <c r="C494" s="155"/>
      <c r="D494" s="157"/>
      <c r="E494" s="157"/>
      <c r="F494" s="156"/>
      <c r="G494" s="155"/>
      <c r="H494" s="155"/>
      <c r="I494" s="157"/>
      <c r="J494" s="157"/>
    </row>
    <row r="495" spans="1:10" x14ac:dyDescent="0.2">
      <c r="A495" s="155"/>
      <c r="B495" s="155"/>
      <c r="C495" s="155"/>
      <c r="D495" s="157"/>
      <c r="E495" s="157"/>
      <c r="F495" s="157"/>
      <c r="G495" s="155"/>
      <c r="H495" s="155"/>
      <c r="I495" s="157"/>
      <c r="J495" s="157"/>
    </row>
    <row r="496" spans="1:10" ht="12.75" customHeight="1" x14ac:dyDescent="0.2">
      <c r="A496" s="155"/>
      <c r="B496" s="155"/>
      <c r="C496" s="155"/>
      <c r="D496" s="157"/>
      <c r="E496" s="157"/>
      <c r="F496" s="156"/>
      <c r="G496" s="155"/>
      <c r="H496" s="155"/>
      <c r="I496" s="157"/>
      <c r="J496" s="157"/>
    </row>
    <row r="497" spans="1:10" ht="12.75" customHeight="1" x14ac:dyDescent="0.2">
      <c r="A497" s="155"/>
      <c r="B497" s="155"/>
      <c r="C497" s="155"/>
      <c r="D497" s="157"/>
      <c r="E497" s="157"/>
      <c r="F497" s="156"/>
      <c r="G497" s="155"/>
      <c r="H497" s="155"/>
      <c r="I497" s="157"/>
      <c r="J497" s="157"/>
    </row>
    <row r="498" spans="1:10" x14ac:dyDescent="0.2">
      <c r="A498" s="155"/>
      <c r="B498" s="155"/>
      <c r="C498" s="155"/>
      <c r="D498" s="157"/>
      <c r="E498" s="157"/>
      <c r="F498" s="157"/>
      <c r="G498" s="155"/>
      <c r="H498" s="155"/>
      <c r="I498" s="157"/>
      <c r="J498" s="157"/>
    </row>
    <row r="499" spans="1:10" x14ac:dyDescent="0.2">
      <c r="A499" s="155"/>
      <c r="B499" s="155"/>
      <c r="C499" s="155"/>
      <c r="D499" s="157"/>
      <c r="E499" s="157"/>
      <c r="F499" s="156"/>
      <c r="G499" s="155"/>
      <c r="H499" s="155"/>
      <c r="I499" s="157"/>
      <c r="J499" s="157"/>
    </row>
    <row r="500" spans="1:10" x14ac:dyDescent="0.2">
      <c r="A500" s="155"/>
      <c r="B500" s="155"/>
      <c r="C500" s="155"/>
      <c r="D500" s="157"/>
      <c r="E500" s="157"/>
      <c r="F500" s="156"/>
      <c r="G500" s="155"/>
      <c r="H500" s="155"/>
      <c r="I500" s="157"/>
      <c r="J500" s="157"/>
    </row>
    <row r="501" spans="1:10" x14ac:dyDescent="0.2">
      <c r="A501" s="155"/>
      <c r="B501" s="155"/>
      <c r="C501" s="155"/>
      <c r="D501" s="157"/>
      <c r="E501" s="157"/>
      <c r="F501" s="157"/>
      <c r="G501" s="155"/>
      <c r="H501" s="155"/>
      <c r="I501" s="157"/>
      <c r="J501" s="157"/>
    </row>
    <row r="502" spans="1:10" x14ac:dyDescent="0.2">
      <c r="A502" s="155"/>
      <c r="B502" s="155"/>
      <c r="C502" s="155"/>
      <c r="D502" s="157"/>
      <c r="E502" s="157"/>
      <c r="F502" s="156"/>
      <c r="G502" s="155"/>
      <c r="H502" s="155"/>
      <c r="I502" s="157"/>
      <c r="J502" s="157"/>
    </row>
    <row r="503" spans="1:10" x14ac:dyDescent="0.2">
      <c r="A503" s="155"/>
      <c r="B503" s="155"/>
      <c r="C503" s="155"/>
      <c r="D503" s="157"/>
      <c r="E503" s="157"/>
      <c r="F503" s="156"/>
      <c r="G503" s="155"/>
      <c r="H503" s="155"/>
      <c r="I503" s="157"/>
      <c r="J503" s="157"/>
    </row>
    <row r="504" spans="1:10" x14ac:dyDescent="0.2">
      <c r="A504" s="155"/>
      <c r="B504" s="155"/>
      <c r="C504" s="155"/>
      <c r="D504" s="157"/>
      <c r="E504" s="157"/>
      <c r="F504" s="157"/>
      <c r="G504" s="155"/>
      <c r="H504" s="155"/>
      <c r="I504" s="157"/>
      <c r="J504" s="157"/>
    </row>
    <row r="505" spans="1:10" x14ac:dyDescent="0.2">
      <c r="A505" s="155"/>
      <c r="B505" s="155"/>
      <c r="C505" s="155"/>
      <c r="D505" s="157"/>
      <c r="E505" s="157"/>
      <c r="F505" s="156"/>
      <c r="G505" s="155"/>
      <c r="H505" s="155"/>
      <c r="I505" s="157"/>
      <c r="J505" s="157"/>
    </row>
    <row r="506" spans="1:10" x14ac:dyDescent="0.2">
      <c r="A506" s="155"/>
      <c r="B506" s="155"/>
      <c r="C506" s="155"/>
      <c r="D506" s="157"/>
      <c r="E506" s="157"/>
      <c r="F506" s="156"/>
      <c r="G506" s="155"/>
      <c r="H506" s="155"/>
      <c r="I506" s="157"/>
      <c r="J506" s="157"/>
    </row>
    <row r="507" spans="1:10" x14ac:dyDescent="0.2">
      <c r="A507" s="155"/>
      <c r="B507" s="155"/>
      <c r="C507" s="155"/>
      <c r="D507" s="157"/>
      <c r="E507" s="157"/>
      <c r="F507" s="157"/>
      <c r="G507" s="155"/>
      <c r="H507" s="155"/>
      <c r="I507" s="157"/>
      <c r="J507" s="157"/>
    </row>
    <row r="508" spans="1:10" x14ac:dyDescent="0.2">
      <c r="A508" s="155"/>
      <c r="B508" s="155"/>
      <c r="C508" s="155"/>
      <c r="D508" s="157"/>
      <c r="E508" s="157"/>
      <c r="F508" s="156"/>
      <c r="G508" s="155"/>
      <c r="H508" s="155"/>
      <c r="I508" s="157"/>
      <c r="J508" s="157"/>
    </row>
    <row r="509" spans="1:10" x14ac:dyDescent="0.2">
      <c r="A509" s="155"/>
      <c r="B509" s="155"/>
      <c r="C509" s="155"/>
      <c r="D509" s="157"/>
      <c r="E509" s="157"/>
      <c r="F509" s="156"/>
      <c r="G509" s="155"/>
      <c r="H509" s="155"/>
      <c r="I509" s="157"/>
      <c r="J509" s="157"/>
    </row>
    <row r="510" spans="1:10" x14ac:dyDescent="0.2">
      <c r="A510" s="155"/>
      <c r="B510" s="155"/>
      <c r="C510" s="155"/>
      <c r="D510" s="157"/>
      <c r="E510" s="157"/>
      <c r="F510" s="157"/>
      <c r="G510" s="155"/>
      <c r="H510" s="155"/>
      <c r="I510" s="157"/>
      <c r="J510" s="157"/>
    </row>
    <row r="511" spans="1:10" x14ac:dyDescent="0.2">
      <c r="A511" s="155"/>
      <c r="B511" s="155"/>
      <c r="C511" s="155"/>
      <c r="D511" s="157"/>
      <c r="E511" s="157"/>
      <c r="F511" s="156"/>
      <c r="G511" s="155"/>
      <c r="H511" s="155"/>
      <c r="I511" s="157"/>
      <c r="J511" s="157"/>
    </row>
    <row r="512" spans="1:10" x14ac:dyDescent="0.2">
      <c r="A512" s="155"/>
      <c r="B512" s="155"/>
      <c r="C512" s="155"/>
      <c r="D512" s="157"/>
      <c r="E512" s="157"/>
      <c r="F512" s="156"/>
      <c r="G512" s="155"/>
      <c r="H512" s="155"/>
      <c r="I512" s="157"/>
      <c r="J512" s="157"/>
    </row>
    <row r="513" spans="1:10" x14ac:dyDescent="0.2">
      <c r="A513" s="155"/>
      <c r="B513" s="155"/>
      <c r="C513" s="155"/>
      <c r="D513" s="157"/>
      <c r="E513" s="157"/>
      <c r="F513" s="157"/>
      <c r="G513" s="155"/>
      <c r="H513" s="155"/>
      <c r="I513" s="157"/>
      <c r="J513" s="157"/>
    </row>
    <row r="514" spans="1:10" x14ac:dyDescent="0.2">
      <c r="A514" s="155"/>
      <c r="B514" s="155"/>
      <c r="C514" s="155"/>
      <c r="D514" s="157"/>
      <c r="E514" s="157"/>
      <c r="F514" s="156"/>
      <c r="G514" s="155"/>
      <c r="H514" s="155"/>
      <c r="I514" s="157"/>
      <c r="J514" s="157"/>
    </row>
    <row r="515" spans="1:10" x14ac:dyDescent="0.2">
      <c r="A515" s="155"/>
      <c r="B515" s="155"/>
      <c r="C515" s="155"/>
      <c r="D515" s="157"/>
      <c r="E515" s="157"/>
      <c r="F515" s="157"/>
      <c r="G515" s="155"/>
      <c r="H515" s="155"/>
      <c r="I515" s="157"/>
      <c r="J515" s="157"/>
    </row>
    <row r="516" spans="1:10" x14ac:dyDescent="0.2">
      <c r="A516" s="155"/>
      <c r="B516" s="155"/>
      <c r="C516" s="155"/>
      <c r="D516" s="157"/>
      <c r="E516" s="157"/>
      <c r="F516" s="156"/>
      <c r="G516" s="155"/>
      <c r="H516" s="155"/>
      <c r="I516" s="157"/>
      <c r="J516" s="157"/>
    </row>
    <row r="517" spans="1:10" x14ac:dyDescent="0.2">
      <c r="A517" s="155"/>
      <c r="B517" s="155"/>
      <c r="C517" s="155"/>
      <c r="D517" s="157"/>
      <c r="E517" s="157"/>
      <c r="F517" s="157"/>
      <c r="G517" s="155"/>
      <c r="H517" s="155"/>
      <c r="I517" s="157"/>
      <c r="J517" s="157"/>
    </row>
    <row r="518" spans="1:10" x14ac:dyDescent="0.2">
      <c r="A518" s="155"/>
      <c r="B518" s="155"/>
      <c r="C518" s="155"/>
      <c r="D518" s="157"/>
      <c r="E518" s="157"/>
      <c r="F518" s="156"/>
      <c r="G518" s="155"/>
      <c r="H518" s="155"/>
      <c r="I518" s="157"/>
      <c r="J518" s="157"/>
    </row>
    <row r="519" spans="1:10" x14ac:dyDescent="0.2">
      <c r="A519" s="155"/>
      <c r="B519" s="155"/>
      <c r="C519" s="155"/>
      <c r="D519" s="157"/>
      <c r="E519" s="157"/>
      <c r="F519" s="157"/>
      <c r="G519" s="155"/>
      <c r="H519" s="155"/>
      <c r="I519" s="157"/>
      <c r="J519" s="157"/>
    </row>
    <row r="520" spans="1:10" x14ac:dyDescent="0.2">
      <c r="A520" s="155"/>
      <c r="B520" s="155"/>
      <c r="C520" s="155"/>
      <c r="D520" s="157"/>
      <c r="E520" s="157"/>
      <c r="F520" s="156"/>
      <c r="G520" s="155"/>
      <c r="H520" s="155"/>
      <c r="I520" s="157"/>
      <c r="J520" s="157"/>
    </row>
    <row r="521" spans="1:10" x14ac:dyDescent="0.2">
      <c r="A521" s="155"/>
      <c r="B521" s="155"/>
      <c r="C521" s="155"/>
      <c r="D521" s="157"/>
      <c r="E521" s="157"/>
      <c r="F521" s="157"/>
      <c r="G521" s="155"/>
      <c r="H521" s="155"/>
      <c r="I521" s="157"/>
      <c r="J521" s="157"/>
    </row>
    <row r="522" spans="1:10" x14ac:dyDescent="0.2">
      <c r="A522" s="155"/>
      <c r="B522" s="155"/>
      <c r="C522" s="155"/>
      <c r="D522" s="157"/>
      <c r="E522" s="157"/>
      <c r="F522" s="156"/>
      <c r="G522" s="155"/>
      <c r="H522" s="155"/>
      <c r="I522" s="157"/>
      <c r="J522" s="157"/>
    </row>
    <row r="523" spans="1:10" x14ac:dyDescent="0.2">
      <c r="A523" s="155"/>
      <c r="B523" s="155"/>
      <c r="C523" s="155"/>
      <c r="D523" s="157"/>
      <c r="E523" s="157"/>
      <c r="F523" s="157"/>
      <c r="G523" s="155"/>
      <c r="H523" s="155"/>
      <c r="I523" s="157"/>
      <c r="J523" s="157"/>
    </row>
    <row r="524" spans="1:10" x14ac:dyDescent="0.2">
      <c r="A524" s="155"/>
      <c r="B524" s="155"/>
      <c r="C524" s="155"/>
      <c r="D524" s="157"/>
      <c r="E524" s="157"/>
      <c r="F524" s="156"/>
      <c r="G524" s="155"/>
      <c r="H524" s="155"/>
      <c r="I524" s="157"/>
      <c r="J524" s="157"/>
    </row>
    <row r="525" spans="1:10" x14ac:dyDescent="0.2">
      <c r="A525" s="155"/>
      <c r="B525" s="155"/>
      <c r="C525" s="155"/>
      <c r="D525" s="157"/>
      <c r="E525" s="157"/>
      <c r="F525" s="157"/>
      <c r="G525" s="155"/>
      <c r="H525" s="155"/>
      <c r="I525" s="157"/>
      <c r="J525" s="157"/>
    </row>
    <row r="526" spans="1:10" x14ac:dyDescent="0.2">
      <c r="A526" s="155"/>
      <c r="B526" s="155"/>
      <c r="C526" s="155"/>
      <c r="D526" s="157"/>
      <c r="E526" s="157"/>
      <c r="F526" s="156"/>
      <c r="G526" s="155"/>
      <c r="H526" s="155"/>
      <c r="I526" s="157"/>
      <c r="J526" s="157"/>
    </row>
    <row r="527" spans="1:10" x14ac:dyDescent="0.2">
      <c r="A527" s="155"/>
      <c r="B527" s="155"/>
      <c r="C527" s="155"/>
      <c r="D527" s="157"/>
      <c r="E527" s="157"/>
      <c r="F527" s="157"/>
      <c r="G527" s="155"/>
      <c r="H527" s="155"/>
      <c r="I527" s="157"/>
      <c r="J527" s="157"/>
    </row>
    <row r="528" spans="1:10" x14ac:dyDescent="0.2">
      <c r="A528" s="155"/>
      <c r="B528" s="155"/>
      <c r="C528" s="155"/>
      <c r="D528" s="157"/>
      <c r="E528" s="157"/>
      <c r="F528" s="156"/>
      <c r="G528" s="155"/>
      <c r="H528" s="155"/>
      <c r="I528" s="157"/>
      <c r="J528" s="157"/>
    </row>
    <row r="529" spans="1:10" x14ac:dyDescent="0.2">
      <c r="A529" s="155"/>
      <c r="B529" s="155"/>
      <c r="C529" s="155"/>
      <c r="D529" s="157"/>
      <c r="E529" s="157"/>
      <c r="F529" s="157"/>
      <c r="G529" s="155"/>
      <c r="H529" s="155"/>
      <c r="I529" s="157"/>
      <c r="J529" s="157"/>
    </row>
    <row r="530" spans="1:10" x14ac:dyDescent="0.2">
      <c r="A530" s="155"/>
      <c r="B530" s="155"/>
      <c r="C530" s="155"/>
      <c r="D530" s="157"/>
      <c r="E530" s="157"/>
      <c r="F530" s="156"/>
      <c r="G530" s="155"/>
      <c r="H530" s="155"/>
      <c r="I530" s="157"/>
      <c r="J530" s="157"/>
    </row>
    <row r="531" spans="1:10" x14ac:dyDescent="0.2">
      <c r="A531" s="155"/>
      <c r="B531" s="155"/>
      <c r="C531" s="155"/>
      <c r="D531" s="157"/>
      <c r="E531" s="157"/>
      <c r="F531" s="157"/>
      <c r="G531" s="155"/>
      <c r="H531" s="155"/>
      <c r="I531" s="157"/>
      <c r="J531" s="157"/>
    </row>
    <row r="532" spans="1:10" x14ac:dyDescent="0.2">
      <c r="A532" s="155"/>
      <c r="B532" s="155"/>
      <c r="C532" s="155"/>
      <c r="D532" s="157"/>
      <c r="E532" s="157"/>
      <c r="F532" s="156"/>
      <c r="G532" s="155"/>
      <c r="H532" s="155"/>
      <c r="I532" s="157"/>
      <c r="J532" s="157"/>
    </row>
    <row r="533" spans="1:10" x14ac:dyDescent="0.2">
      <c r="A533" s="155"/>
      <c r="B533" s="155"/>
      <c r="C533" s="155"/>
      <c r="D533" s="157"/>
      <c r="E533" s="157"/>
      <c r="F533" s="157"/>
      <c r="G533" s="155"/>
      <c r="H533" s="155"/>
      <c r="I533" s="157"/>
      <c r="J533" s="157"/>
    </row>
    <row r="534" spans="1:10" x14ac:dyDescent="0.2">
      <c r="A534" s="155"/>
      <c r="B534" s="155"/>
      <c r="C534" s="155"/>
      <c r="D534" s="157"/>
      <c r="E534" s="157"/>
      <c r="F534" s="156"/>
      <c r="G534" s="155"/>
      <c r="H534" s="155"/>
      <c r="I534" s="157"/>
      <c r="J534" s="157"/>
    </row>
    <row r="535" spans="1:10" x14ac:dyDescent="0.2">
      <c r="A535" s="155"/>
      <c r="B535" s="155"/>
      <c r="C535" s="155"/>
      <c r="D535" s="157"/>
      <c r="E535" s="157"/>
      <c r="F535" s="157"/>
      <c r="G535" s="155"/>
      <c r="H535" s="155"/>
      <c r="I535" s="157"/>
      <c r="J535" s="157"/>
    </row>
    <row r="536" spans="1:10" x14ac:dyDescent="0.2">
      <c r="A536" s="155"/>
      <c r="B536" s="155"/>
      <c r="C536" s="155"/>
      <c r="D536" s="157"/>
      <c r="E536" s="157"/>
      <c r="F536" s="156"/>
      <c r="G536" s="155"/>
      <c r="H536" s="155"/>
      <c r="I536" s="157"/>
      <c r="J536" s="157"/>
    </row>
    <row r="537" spans="1:10" x14ac:dyDescent="0.2">
      <c r="A537" s="155"/>
      <c r="B537" s="155"/>
      <c r="C537" s="155"/>
      <c r="D537" s="157"/>
      <c r="E537" s="157"/>
      <c r="F537" s="157"/>
      <c r="G537" s="155"/>
      <c r="H537" s="155"/>
      <c r="I537" s="157"/>
      <c r="J537" s="157"/>
    </row>
    <row r="538" spans="1:10" x14ac:dyDescent="0.2">
      <c r="A538" s="155"/>
      <c r="B538" s="155"/>
      <c r="C538" s="155"/>
      <c r="D538" s="157"/>
      <c r="E538" s="157"/>
      <c r="F538" s="156"/>
      <c r="G538" s="155"/>
      <c r="H538" s="155"/>
      <c r="I538" s="157"/>
      <c r="J538" s="157"/>
    </row>
    <row r="539" spans="1:10" x14ac:dyDescent="0.2">
      <c r="A539" s="155"/>
      <c r="B539" s="155"/>
      <c r="C539" s="155"/>
      <c r="D539" s="157"/>
      <c r="E539" s="157"/>
      <c r="F539" s="157"/>
      <c r="G539" s="155"/>
      <c r="H539" s="155"/>
      <c r="I539" s="157"/>
      <c r="J539" s="157"/>
    </row>
    <row r="540" spans="1:10" x14ac:dyDescent="0.2">
      <c r="A540" s="155"/>
      <c r="B540" s="155"/>
      <c r="C540" s="155"/>
      <c r="D540" s="157"/>
      <c r="E540" s="157"/>
      <c r="F540" s="156"/>
      <c r="G540" s="155"/>
      <c r="H540" s="155"/>
      <c r="I540" s="157"/>
      <c r="J540" s="157"/>
    </row>
    <row r="541" spans="1:10" x14ac:dyDescent="0.2">
      <c r="A541" s="155"/>
      <c r="B541" s="155"/>
      <c r="C541" s="155"/>
      <c r="D541" s="157"/>
      <c r="E541" s="157"/>
      <c r="F541" s="157"/>
      <c r="G541" s="155"/>
      <c r="H541" s="155"/>
      <c r="I541" s="157"/>
      <c r="J541" s="157"/>
    </row>
    <row r="542" spans="1:10" x14ac:dyDescent="0.2">
      <c r="A542" s="155"/>
      <c r="B542" s="155"/>
      <c r="C542" s="155"/>
      <c r="D542" s="157"/>
      <c r="E542" s="157"/>
      <c r="F542" s="156"/>
      <c r="G542" s="155"/>
      <c r="H542" s="155"/>
      <c r="I542" s="157"/>
      <c r="J542" s="157"/>
    </row>
    <row r="543" spans="1:10" ht="12.75" customHeight="1" x14ac:dyDescent="0.2">
      <c r="A543" s="155"/>
      <c r="B543" s="155"/>
      <c r="C543" s="155"/>
      <c r="D543" s="157"/>
      <c r="E543" s="157"/>
      <c r="F543" s="157"/>
      <c r="G543" s="155"/>
      <c r="H543" s="155"/>
      <c r="I543" s="157"/>
      <c r="J543" s="157"/>
    </row>
    <row r="566" spans="1:10" x14ac:dyDescent="0.2">
      <c r="A566" s="160"/>
      <c r="B566" s="160"/>
      <c r="C566" s="161"/>
      <c r="D566" s="135"/>
      <c r="E566" s="135"/>
      <c r="F566" s="162"/>
      <c r="G566" s="162"/>
      <c r="H566" s="162"/>
      <c r="I566" s="162"/>
      <c r="J566" s="162"/>
    </row>
    <row r="567" spans="1:10" x14ac:dyDescent="0.2">
      <c r="A567" s="160"/>
      <c r="B567" s="160"/>
      <c r="C567" s="161"/>
      <c r="D567" s="135"/>
      <c r="E567" s="135"/>
      <c r="F567" s="162"/>
      <c r="G567" s="162"/>
      <c r="H567" s="162"/>
      <c r="I567" s="162"/>
      <c r="J567" s="162"/>
    </row>
    <row r="568" spans="1:10" x14ac:dyDescent="0.2">
      <c r="A568" s="160"/>
      <c r="B568" s="160"/>
      <c r="C568" s="161"/>
      <c r="D568" s="135"/>
      <c r="E568" s="135"/>
      <c r="F568" s="162"/>
      <c r="G568" s="162"/>
      <c r="H568" s="162"/>
      <c r="I568" s="162"/>
      <c r="J568" s="162"/>
    </row>
    <row r="569" spans="1:10" x14ac:dyDescent="0.2">
      <c r="A569" s="160"/>
      <c r="B569" s="160"/>
      <c r="C569" s="161"/>
      <c r="D569" s="135"/>
      <c r="E569" s="135"/>
      <c r="F569" s="162"/>
      <c r="G569" s="162"/>
      <c r="H569" s="162"/>
      <c r="I569" s="162"/>
      <c r="J569" s="162"/>
    </row>
    <row r="570" spans="1:10" x14ac:dyDescent="0.2">
      <c r="A570" s="160"/>
      <c r="B570" s="160"/>
      <c r="C570" s="161"/>
      <c r="D570" s="135"/>
      <c r="E570" s="135"/>
      <c r="F570" s="162"/>
      <c r="G570" s="162"/>
      <c r="H570" s="162"/>
      <c r="I570" s="162"/>
      <c r="J570" s="162"/>
    </row>
    <row r="571" spans="1:10" x14ac:dyDescent="0.2">
      <c r="A571" s="160"/>
      <c r="B571" s="160"/>
      <c r="C571" s="161"/>
      <c r="D571" s="135"/>
      <c r="E571" s="135"/>
      <c r="F571" s="162"/>
      <c r="G571" s="162"/>
      <c r="H571" s="162"/>
      <c r="I571" s="162"/>
      <c r="J571" s="162"/>
    </row>
    <row r="572" spans="1:10" x14ac:dyDescent="0.2">
      <c r="A572" s="160"/>
      <c r="B572" s="160"/>
      <c r="C572" s="161"/>
      <c r="D572" s="135"/>
      <c r="E572" s="135"/>
      <c r="F572" s="162"/>
      <c r="G572" s="162"/>
      <c r="H572" s="162"/>
      <c r="I572" s="162"/>
      <c r="J572" s="162"/>
    </row>
    <row r="573" spans="1:10" x14ac:dyDescent="0.2">
      <c r="A573" s="160"/>
      <c r="B573" s="160"/>
      <c r="C573" s="161"/>
      <c r="D573" s="135"/>
      <c r="E573" s="135"/>
      <c r="F573" s="162"/>
      <c r="G573" s="162"/>
      <c r="H573" s="162"/>
      <c r="I573" s="162"/>
      <c r="J573" s="162"/>
    </row>
    <row r="574" spans="1:10" x14ac:dyDescent="0.2">
      <c r="A574" s="160"/>
      <c r="B574" s="160"/>
      <c r="C574" s="161"/>
      <c r="D574" s="135"/>
      <c r="E574" s="135"/>
      <c r="F574" s="162"/>
      <c r="G574" s="162"/>
      <c r="H574" s="162"/>
      <c r="I574" s="162"/>
      <c r="J574" s="162"/>
    </row>
    <row r="575" spans="1:10" x14ac:dyDescent="0.2">
      <c r="A575" s="160"/>
      <c r="B575" s="160"/>
      <c r="C575" s="161"/>
      <c r="D575" s="135"/>
      <c r="E575" s="135"/>
      <c r="F575" s="162"/>
      <c r="G575" s="162"/>
      <c r="H575" s="162"/>
      <c r="I575" s="162"/>
      <c r="J575" s="162"/>
    </row>
    <row r="576" spans="1:10" x14ac:dyDescent="0.2">
      <c r="A576" s="160"/>
      <c r="B576" s="160"/>
      <c r="C576" s="161"/>
      <c r="D576" s="135"/>
      <c r="E576" s="135"/>
      <c r="F576" s="162"/>
      <c r="G576" s="162"/>
      <c r="H576" s="162"/>
      <c r="I576" s="162"/>
      <c r="J576" s="162"/>
    </row>
    <row r="577" spans="1:10" x14ac:dyDescent="0.2">
      <c r="A577" s="161"/>
      <c r="B577" s="161"/>
      <c r="C577" s="163"/>
      <c r="D577" s="164"/>
      <c r="E577" s="164"/>
      <c r="F577" s="165"/>
      <c r="G577" s="166"/>
      <c r="H577" s="165"/>
      <c r="I577" s="165"/>
      <c r="J577" s="165"/>
    </row>
    <row r="578" spans="1:10" x14ac:dyDescent="0.2">
      <c r="A578" s="161"/>
      <c r="B578" s="161"/>
      <c r="C578" s="163"/>
      <c r="D578" s="164"/>
      <c r="E578" s="164"/>
      <c r="F578" s="165"/>
      <c r="G578" s="166"/>
      <c r="H578" s="165"/>
      <c r="I578" s="165"/>
      <c r="J578" s="165"/>
    </row>
    <row r="579" spans="1:10" x14ac:dyDescent="0.2">
      <c r="A579" s="161"/>
      <c r="B579" s="161"/>
      <c r="C579" s="163"/>
      <c r="D579" s="164"/>
      <c r="E579" s="164"/>
      <c r="F579" s="165"/>
      <c r="G579" s="166"/>
      <c r="H579" s="165"/>
      <c r="I579" s="165"/>
      <c r="J579" s="165"/>
    </row>
    <row r="580" spans="1:10" x14ac:dyDescent="0.2">
      <c r="A580" s="161"/>
      <c r="B580" s="161"/>
      <c r="C580" s="163"/>
      <c r="D580" s="164"/>
      <c r="E580" s="164"/>
      <c r="F580" s="165"/>
      <c r="G580" s="166"/>
      <c r="H580" s="165"/>
      <c r="I580" s="165"/>
      <c r="J580" s="165"/>
    </row>
    <row r="581" spans="1:10" x14ac:dyDescent="0.2">
      <c r="A581" s="161"/>
      <c r="B581" s="161"/>
      <c r="C581" s="163"/>
      <c r="D581" s="164"/>
      <c r="E581" s="164"/>
      <c r="F581" s="165"/>
      <c r="G581" s="166"/>
      <c r="H581" s="165"/>
      <c r="I581" s="165"/>
      <c r="J581" s="165"/>
    </row>
    <row r="582" spans="1:10" x14ac:dyDescent="0.2">
      <c r="A582" s="161"/>
      <c r="B582" s="161"/>
      <c r="C582" s="163"/>
      <c r="D582" s="164"/>
      <c r="E582" s="164"/>
      <c r="F582" s="165"/>
      <c r="G582" s="166"/>
      <c r="H582" s="165"/>
      <c r="I582" s="165"/>
      <c r="J582" s="165"/>
    </row>
    <row r="583" spans="1:10" x14ac:dyDescent="0.2">
      <c r="A583" s="161"/>
      <c r="B583" s="161"/>
      <c r="C583" s="163"/>
      <c r="D583" s="164"/>
      <c r="E583" s="164"/>
      <c r="F583" s="165"/>
      <c r="G583" s="166"/>
      <c r="H583" s="165"/>
      <c r="I583" s="165"/>
      <c r="J583" s="165"/>
    </row>
    <row r="584" spans="1:10" x14ac:dyDescent="0.2">
      <c r="A584" s="161"/>
      <c r="B584" s="161"/>
      <c r="C584" s="163"/>
      <c r="D584" s="164"/>
      <c r="E584" s="164"/>
      <c r="F584" s="165"/>
      <c r="G584" s="166"/>
      <c r="H584" s="165"/>
      <c r="I584" s="165"/>
      <c r="J584" s="165"/>
    </row>
    <row r="585" spans="1:10" x14ac:dyDescent="0.2">
      <c r="A585" s="161"/>
      <c r="B585" s="161"/>
      <c r="C585" s="163"/>
      <c r="D585" s="164"/>
      <c r="E585" s="164"/>
      <c r="F585" s="165"/>
      <c r="G585" s="166"/>
      <c r="H585" s="165"/>
      <c r="I585" s="165"/>
      <c r="J585" s="165"/>
    </row>
    <row r="586" spans="1:10" x14ac:dyDescent="0.2">
      <c r="A586" s="161"/>
      <c r="B586" s="161"/>
      <c r="C586" s="163"/>
      <c r="D586" s="164"/>
      <c r="E586" s="164"/>
      <c r="F586" s="165"/>
      <c r="G586" s="166"/>
      <c r="H586" s="165"/>
      <c r="I586" s="165"/>
      <c r="J586" s="165"/>
    </row>
    <row r="587" spans="1:10" x14ac:dyDescent="0.2">
      <c r="A587" s="161"/>
      <c r="B587" s="161"/>
      <c r="C587" s="163"/>
      <c r="D587" s="164"/>
      <c r="E587" s="164"/>
      <c r="F587" s="165"/>
      <c r="G587" s="166"/>
      <c r="H587" s="165"/>
      <c r="I587" s="165"/>
      <c r="J587" s="165"/>
    </row>
    <row r="588" spans="1:10" x14ac:dyDescent="0.2">
      <c r="A588" s="161"/>
      <c r="B588" s="161"/>
      <c r="C588" s="163"/>
      <c r="D588" s="164"/>
      <c r="E588" s="164"/>
      <c r="F588" s="165"/>
      <c r="G588" s="166"/>
      <c r="H588" s="165"/>
      <c r="I588" s="165"/>
      <c r="J588" s="165"/>
    </row>
    <row r="589" spans="1:10" x14ac:dyDescent="0.2">
      <c r="B589" s="167"/>
    </row>
    <row r="590" spans="1:10" x14ac:dyDescent="0.2">
      <c r="B590" s="167"/>
    </row>
    <row r="591" spans="1:10" x14ac:dyDescent="0.2">
      <c r="B591" s="167"/>
    </row>
  </sheetData>
  <autoFilter ref="A1:J104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customSheetViews>
    <customSheetView guid="{CDE91C1B-E8DA-4970-958C-BB86FE77ABD6}" showPageBreaks="1" printArea="1" showAutoFilter="1" state="hidden">
      <pane xSplit="1" ySplit="4" topLeftCell="D5" activePane="bottomRight" state="frozen"/>
      <selection pane="bottomRight" activeCell="A5" sqref="A5"/>
      <pageMargins left="0.25" right="0.25" top="0.75" bottom="0.75" header="0.5" footer="0.5"/>
      <printOptions horizontalCentered="1"/>
      <pageSetup scale="75" fitToHeight="8" orientation="landscape" r:id="rId1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  <autoFilter ref="A1:J104">
        <filterColumn colId="0" showButton="0"/>
        <filterColumn colId="1" showButton="0"/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</autoFilter>
    </customSheetView>
    <customSheetView guid="{4133ED5E-99F2-4B74-85B8-24C66B4DC868}" showPageBreaks="1" printArea="1" showAutoFilter="1" state="hidden">
      <pane xSplit="1" ySplit="4" topLeftCell="D5" activePane="bottomRight" state="frozen"/>
      <selection pane="bottomRight" activeCell="A5" sqref="A5"/>
      <pageMargins left="0.25" right="0.25" top="0.75" bottom="0.75" header="0.5" footer="0.5"/>
      <printOptions horizontalCentered="1"/>
      <pageSetup scale="75" fitToHeight="8" orientation="landscape" r:id="rId2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  <autoFilter ref="A1:J104">
        <filterColumn colId="0" showButton="0"/>
        <filterColumn colId="1" showButton="0"/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</autoFilter>
    </customSheetView>
    <customSheetView guid="{C44768EB-A6B9-4D4C-A778-B11850F195E2}" showPageBreaks="1" printArea="1" showAutoFilter="1" state="hidden">
      <pane xSplit="1" ySplit="4" topLeftCell="D5" activePane="bottomRight" state="frozen"/>
      <selection pane="bottomRight" activeCell="A5" sqref="A5"/>
      <pageMargins left="0.25" right="0.25" top="0.75" bottom="0.75" header="0.5" footer="0.5"/>
      <printOptions horizontalCentered="1"/>
      <pageSetup scale="75" fitToHeight="8" orientation="landscape" r:id="rId3"/>
      <headerFooter alignWithMargins="0">
        <oddHeader>&amp;CVariable Data Dictionary
(GenII + CEPS Software)</oddHeader>
        <oddFooter>&amp;LESG Group
&amp;F&amp;C&amp;P of &amp;N&amp;Rlast modified: 19AP07
SW rev 3.00.00 (PS3)</oddFooter>
      </headerFooter>
      <autoFilter ref="A1:J104">
        <filterColumn colId="0" showButton="0"/>
        <filterColumn colId="1" showButton="0"/>
        <filterColumn colId="2" showButton="0"/>
        <filterColumn colId="3" showButton="0"/>
        <filterColumn colId="4" showButton="0"/>
        <filterColumn colId="5" showButton="0"/>
        <filterColumn colId="6" showButton="0"/>
        <filterColumn colId="7" showButton="0"/>
        <filterColumn colId="8" showButton="0"/>
      </autoFilter>
    </customSheetView>
  </customSheetViews>
  <mergeCells count="4">
    <mergeCell ref="A1:J1"/>
    <mergeCell ref="A2:D2"/>
    <mergeCell ref="F2:J2"/>
    <mergeCell ref="G3:H3"/>
  </mergeCells>
  <conditionalFormatting sqref="D566:D65536 D2:D4">
    <cfRule type="cellIs" dxfId="1" priority="2" stopIfTrue="1" operator="equal">
      <formula>"Y"</formula>
    </cfRule>
  </conditionalFormatting>
  <conditionalFormatting sqref="E63 E2:E4">
    <cfRule type="cellIs" dxfId="0" priority="1" stopIfTrue="1" operator="equal">
      <formula>"y"</formula>
    </cfRule>
  </conditionalFormatting>
  <printOptions horizontalCentered="1"/>
  <pageMargins left="0.25" right="0.25" top="0.75" bottom="0.75" header="0.5" footer="0.5"/>
  <pageSetup scale="75" fitToHeight="8" orientation="landscape" r:id="rId4"/>
  <headerFooter alignWithMargins="0">
    <oddHeader>&amp;CVariable Data Dictionary
(GenII + CEPS Software)</oddHeader>
    <oddFooter>&amp;LESG Group
&amp;F&amp;C&amp;P of &amp;N&amp;Rlast modified: 19AP07
SW rev 3.00.00 (PS3)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F25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2.75" x14ac:dyDescent="0.2"/>
  <cols>
    <col min="1" max="1" width="32.28515625" bestFit="1" customWidth="1"/>
    <col min="2" max="2" width="7" style="8" bestFit="1" customWidth="1"/>
    <col min="3" max="3" width="37" style="10" bestFit="1" customWidth="1"/>
    <col min="4" max="4" width="5.7109375" style="9" hidden="1" customWidth="1"/>
    <col min="5" max="5" width="29.85546875" bestFit="1" customWidth="1"/>
    <col min="6" max="6" width="26.5703125" bestFit="1" customWidth="1"/>
  </cols>
  <sheetData>
    <row r="1" spans="1:6" ht="26.25" thickBot="1" x14ac:dyDescent="0.25">
      <c r="A1" s="25" t="s">
        <v>15</v>
      </c>
      <c r="B1" s="26" t="s">
        <v>16</v>
      </c>
      <c r="C1" s="27" t="s">
        <v>17</v>
      </c>
      <c r="D1" s="28" t="s">
        <v>131</v>
      </c>
      <c r="E1" s="29" t="s">
        <v>18</v>
      </c>
      <c r="F1" s="30" t="s">
        <v>19</v>
      </c>
    </row>
    <row r="2" spans="1:6" x14ac:dyDescent="0.2">
      <c r="A2" s="122"/>
      <c r="B2" s="21"/>
      <c r="C2" s="22"/>
      <c r="D2" s="123"/>
      <c r="E2" s="23"/>
      <c r="F2" s="24"/>
    </row>
    <row r="3" spans="1:6" x14ac:dyDescent="0.2">
      <c r="A3" s="120"/>
      <c r="B3" s="6"/>
      <c r="C3" s="12"/>
      <c r="D3" s="14"/>
      <c r="E3" s="11"/>
      <c r="F3" s="15"/>
    </row>
    <row r="4" spans="1:6" x14ac:dyDescent="0.2">
      <c r="A4" s="120"/>
      <c r="B4" s="6"/>
      <c r="C4" s="12"/>
      <c r="D4" s="14"/>
      <c r="E4" s="11"/>
      <c r="F4" s="15"/>
    </row>
    <row r="5" spans="1:6" x14ac:dyDescent="0.2">
      <c r="A5" s="120"/>
      <c r="B5" s="6"/>
      <c r="C5" s="12"/>
      <c r="D5" s="14"/>
      <c r="E5" s="11"/>
      <c r="F5" s="15"/>
    </row>
    <row r="6" spans="1:6" x14ac:dyDescent="0.2">
      <c r="A6" s="120"/>
      <c r="B6" s="6"/>
      <c r="C6" s="12"/>
      <c r="D6" s="14"/>
      <c r="E6" s="11"/>
      <c r="F6" s="15"/>
    </row>
    <row r="7" spans="1:6" x14ac:dyDescent="0.2">
      <c r="A7" s="120"/>
      <c r="B7" s="6"/>
      <c r="C7" s="12"/>
      <c r="D7" s="14"/>
      <c r="E7" s="11"/>
      <c r="F7" s="15"/>
    </row>
    <row r="8" spans="1:6" x14ac:dyDescent="0.2">
      <c r="A8" s="120"/>
      <c r="B8" s="6"/>
      <c r="C8" s="12"/>
      <c r="D8" s="14"/>
      <c r="E8" s="11"/>
      <c r="F8" s="15"/>
    </row>
    <row r="9" spans="1:6" x14ac:dyDescent="0.2">
      <c r="A9" s="120"/>
      <c r="B9" s="6"/>
      <c r="C9" s="12"/>
      <c r="D9" s="14"/>
      <c r="E9" s="11"/>
      <c r="F9" s="15"/>
    </row>
    <row r="10" spans="1:6" x14ac:dyDescent="0.2">
      <c r="A10" s="120"/>
      <c r="B10" s="6"/>
      <c r="C10" s="12"/>
      <c r="D10" s="14"/>
      <c r="E10" s="11"/>
      <c r="F10" s="15"/>
    </row>
    <row r="11" spans="1:6" x14ac:dyDescent="0.2">
      <c r="A11" s="120"/>
      <c r="B11" s="6"/>
      <c r="C11" s="12"/>
      <c r="D11" s="14"/>
      <c r="E11" s="11"/>
      <c r="F11" s="15"/>
    </row>
    <row r="12" spans="1:6" x14ac:dyDescent="0.2">
      <c r="A12" s="120"/>
      <c r="B12" s="6"/>
      <c r="C12" s="12"/>
      <c r="D12" s="14"/>
      <c r="E12" s="11"/>
      <c r="F12" s="15"/>
    </row>
    <row r="13" spans="1:6" x14ac:dyDescent="0.2">
      <c r="A13" s="120"/>
      <c r="B13" s="6"/>
      <c r="C13" s="12"/>
      <c r="D13" s="14"/>
      <c r="E13" s="11"/>
      <c r="F13" s="15"/>
    </row>
    <row r="14" spans="1:6" x14ac:dyDescent="0.2">
      <c r="A14" s="120"/>
      <c r="B14" s="6"/>
      <c r="C14" s="12"/>
      <c r="D14" s="13"/>
      <c r="E14" s="11"/>
      <c r="F14" s="15"/>
    </row>
    <row r="15" spans="1:6" x14ac:dyDescent="0.2">
      <c r="A15" s="120"/>
      <c r="B15" s="6"/>
      <c r="C15" s="12"/>
      <c r="D15" s="14"/>
      <c r="E15" s="11"/>
      <c r="F15" s="15"/>
    </row>
    <row r="16" spans="1:6" x14ac:dyDescent="0.2">
      <c r="A16" s="120"/>
      <c r="B16" s="6"/>
      <c r="C16" s="12"/>
      <c r="D16" s="14"/>
      <c r="E16" s="11"/>
      <c r="F16" s="15"/>
    </row>
    <row r="17" spans="1:6" x14ac:dyDescent="0.2">
      <c r="A17" s="120"/>
      <c r="B17" s="6"/>
      <c r="C17" s="12"/>
      <c r="D17" s="14"/>
      <c r="E17" s="11"/>
      <c r="F17" s="15"/>
    </row>
    <row r="18" spans="1:6" x14ac:dyDescent="0.2">
      <c r="A18" s="120"/>
      <c r="B18" s="6"/>
      <c r="C18" s="12"/>
      <c r="D18" s="14"/>
      <c r="E18" s="11"/>
      <c r="F18" s="15"/>
    </row>
    <row r="19" spans="1:6" x14ac:dyDescent="0.2">
      <c r="A19" s="120"/>
      <c r="B19" s="6"/>
      <c r="C19" s="12"/>
      <c r="D19" s="14"/>
      <c r="E19" s="11"/>
      <c r="F19" s="15"/>
    </row>
    <row r="20" spans="1:6" x14ac:dyDescent="0.2">
      <c r="A20" s="120"/>
      <c r="B20" s="6"/>
      <c r="C20" s="12"/>
      <c r="D20" s="14"/>
      <c r="E20" s="11"/>
      <c r="F20" s="15"/>
    </row>
    <row r="21" spans="1:6" x14ac:dyDescent="0.2">
      <c r="A21" s="120"/>
      <c r="B21" s="6"/>
      <c r="C21" s="12"/>
      <c r="D21" s="14"/>
      <c r="E21" s="11"/>
      <c r="F21" s="15"/>
    </row>
    <row r="22" spans="1:6" x14ac:dyDescent="0.2">
      <c r="A22" s="120"/>
      <c r="B22" s="6"/>
      <c r="C22" s="12"/>
      <c r="D22" s="14"/>
      <c r="E22" s="11"/>
      <c r="F22" s="15"/>
    </row>
    <row r="23" spans="1:6" x14ac:dyDescent="0.2">
      <c r="A23" s="120"/>
      <c r="B23" s="6"/>
      <c r="C23" s="12"/>
      <c r="D23" s="14"/>
      <c r="E23" s="11"/>
      <c r="F23" s="15"/>
    </row>
    <row r="24" spans="1:6" x14ac:dyDescent="0.2">
      <c r="A24" s="120"/>
      <c r="B24" s="6"/>
      <c r="C24" s="12"/>
      <c r="D24" s="14"/>
      <c r="E24" s="11"/>
      <c r="F24" s="15"/>
    </row>
    <row r="25" spans="1:6" x14ac:dyDescent="0.2">
      <c r="A25" s="120"/>
      <c r="B25" s="6"/>
      <c r="C25" s="12"/>
      <c r="D25" s="14"/>
      <c r="E25" s="11"/>
      <c r="F25" s="15"/>
    </row>
    <row r="26" spans="1:6" x14ac:dyDescent="0.2">
      <c r="A26" s="120"/>
      <c r="B26" s="6"/>
      <c r="C26" s="12"/>
      <c r="D26" s="14"/>
      <c r="E26" s="11"/>
      <c r="F26" s="15"/>
    </row>
    <row r="27" spans="1:6" x14ac:dyDescent="0.2">
      <c r="A27" s="120"/>
      <c r="B27" s="6"/>
      <c r="C27" s="12"/>
      <c r="D27" s="14"/>
      <c r="E27" s="11"/>
      <c r="F27" s="15"/>
    </row>
    <row r="28" spans="1:6" x14ac:dyDescent="0.2">
      <c r="A28" s="120"/>
      <c r="B28" s="6"/>
      <c r="C28" s="12"/>
      <c r="D28" s="14"/>
      <c r="E28" s="11"/>
      <c r="F28" s="15"/>
    </row>
    <row r="29" spans="1:6" x14ac:dyDescent="0.2">
      <c r="A29" s="120"/>
      <c r="B29" s="6"/>
      <c r="C29" s="12"/>
      <c r="D29" s="14"/>
      <c r="E29" s="11"/>
      <c r="F29" s="15"/>
    </row>
    <row r="30" spans="1:6" x14ac:dyDescent="0.2">
      <c r="A30" s="120"/>
      <c r="B30" s="6"/>
      <c r="C30" s="12"/>
      <c r="D30" s="13"/>
      <c r="E30" s="11"/>
      <c r="F30" s="15"/>
    </row>
    <row r="31" spans="1:6" x14ac:dyDescent="0.2">
      <c r="A31" s="120"/>
      <c r="B31" s="6"/>
      <c r="C31" s="12"/>
      <c r="D31" s="14"/>
      <c r="E31" s="11"/>
      <c r="F31" s="15"/>
    </row>
    <row r="32" spans="1:6" x14ac:dyDescent="0.2">
      <c r="A32" s="120"/>
      <c r="B32" s="6"/>
      <c r="C32" s="12"/>
      <c r="D32" s="14"/>
      <c r="E32" s="11"/>
      <c r="F32" s="15"/>
    </row>
    <row r="33" spans="1:6" x14ac:dyDescent="0.2">
      <c r="A33" s="120"/>
      <c r="B33" s="6"/>
      <c r="C33" s="12"/>
      <c r="D33" s="14"/>
      <c r="E33" s="11"/>
      <c r="F33" s="15"/>
    </row>
    <row r="34" spans="1:6" x14ac:dyDescent="0.2">
      <c r="A34" s="120"/>
      <c r="B34" s="6"/>
      <c r="C34" s="12"/>
      <c r="D34" s="14"/>
      <c r="E34" s="11"/>
      <c r="F34" s="15"/>
    </row>
    <row r="35" spans="1:6" x14ac:dyDescent="0.2">
      <c r="A35" s="120"/>
      <c r="B35" s="6"/>
      <c r="C35" s="12"/>
      <c r="D35" s="14"/>
      <c r="E35" s="11"/>
      <c r="F35" s="15"/>
    </row>
    <row r="36" spans="1:6" x14ac:dyDescent="0.2">
      <c r="A36" s="120"/>
      <c r="B36" s="6"/>
      <c r="C36" s="12"/>
      <c r="D36" s="14"/>
      <c r="E36" s="11"/>
      <c r="F36" s="15"/>
    </row>
    <row r="37" spans="1:6" x14ac:dyDescent="0.2">
      <c r="A37" s="120"/>
      <c r="B37" s="6"/>
      <c r="C37" s="12"/>
      <c r="D37" s="14"/>
      <c r="E37" s="11"/>
      <c r="F37" s="31"/>
    </row>
    <row r="38" spans="1:6" x14ac:dyDescent="0.2">
      <c r="A38" s="120"/>
      <c r="B38" s="6"/>
      <c r="C38" s="12"/>
      <c r="D38" s="14"/>
      <c r="E38" s="11"/>
      <c r="F38" s="15"/>
    </row>
    <row r="39" spans="1:6" x14ac:dyDescent="0.2">
      <c r="A39" s="120"/>
      <c r="B39" s="6"/>
      <c r="C39" s="12"/>
      <c r="D39" s="14"/>
      <c r="E39" s="11"/>
      <c r="F39" s="15"/>
    </row>
    <row r="40" spans="1:6" x14ac:dyDescent="0.2">
      <c r="A40" s="120"/>
      <c r="B40" s="6"/>
      <c r="C40" s="12"/>
      <c r="D40" s="14"/>
      <c r="E40" s="11"/>
      <c r="F40" s="15"/>
    </row>
    <row r="41" spans="1:6" x14ac:dyDescent="0.2">
      <c r="A41" s="120"/>
      <c r="B41" s="6"/>
      <c r="C41" s="12"/>
      <c r="D41" s="14"/>
      <c r="E41" s="11"/>
      <c r="F41" s="15"/>
    </row>
    <row r="42" spans="1:6" x14ac:dyDescent="0.2">
      <c r="A42" s="120"/>
      <c r="B42" s="6"/>
      <c r="C42" s="12"/>
      <c r="D42" s="14"/>
      <c r="E42" s="11"/>
      <c r="F42" s="15"/>
    </row>
    <row r="43" spans="1:6" x14ac:dyDescent="0.2">
      <c r="A43" s="120"/>
      <c r="B43" s="6"/>
      <c r="C43" s="12"/>
      <c r="D43" s="14"/>
      <c r="E43" s="11"/>
      <c r="F43" s="15"/>
    </row>
    <row r="44" spans="1:6" x14ac:dyDescent="0.2">
      <c r="A44" s="120"/>
      <c r="B44" s="6"/>
      <c r="C44" s="12"/>
      <c r="D44" s="14"/>
      <c r="E44" s="11"/>
      <c r="F44" s="15"/>
    </row>
    <row r="45" spans="1:6" x14ac:dyDescent="0.2">
      <c r="A45" s="120"/>
      <c r="B45" s="6"/>
      <c r="C45" s="12"/>
      <c r="D45" s="14"/>
      <c r="E45" s="11"/>
      <c r="F45" s="15"/>
    </row>
    <row r="46" spans="1:6" x14ac:dyDescent="0.2">
      <c r="A46" s="120"/>
      <c r="B46" s="6"/>
      <c r="C46" s="12"/>
      <c r="D46" s="14"/>
      <c r="E46" s="11"/>
      <c r="F46" s="15"/>
    </row>
    <row r="47" spans="1:6" x14ac:dyDescent="0.2">
      <c r="A47" s="120"/>
      <c r="B47" s="6"/>
      <c r="C47" s="12"/>
      <c r="D47" s="14"/>
      <c r="E47" s="11"/>
      <c r="F47" s="15"/>
    </row>
    <row r="48" spans="1:6" x14ac:dyDescent="0.2">
      <c r="A48" s="120"/>
      <c r="B48" s="6"/>
      <c r="C48" s="12"/>
      <c r="D48" s="14"/>
      <c r="E48" s="11"/>
      <c r="F48" s="15"/>
    </row>
    <row r="49" spans="1:6" x14ac:dyDescent="0.2">
      <c r="A49" s="120"/>
      <c r="B49" s="6"/>
      <c r="C49" s="12"/>
      <c r="D49" s="14"/>
      <c r="E49" s="11"/>
      <c r="F49" s="31"/>
    </row>
    <row r="50" spans="1:6" x14ac:dyDescent="0.2">
      <c r="A50" s="120"/>
      <c r="B50" s="6"/>
      <c r="C50" s="12"/>
      <c r="D50" s="14"/>
      <c r="E50" s="11"/>
      <c r="F50" s="15"/>
    </row>
    <row r="51" spans="1:6" x14ac:dyDescent="0.2">
      <c r="A51" s="120"/>
      <c r="B51" s="6"/>
      <c r="C51" s="12"/>
      <c r="D51" s="14"/>
      <c r="E51" s="11"/>
      <c r="F51" s="15"/>
    </row>
    <row r="52" spans="1:6" x14ac:dyDescent="0.2">
      <c r="A52" s="120"/>
      <c r="B52" s="6"/>
      <c r="C52" s="12"/>
      <c r="D52" s="14"/>
      <c r="E52" s="11"/>
      <c r="F52" s="15"/>
    </row>
    <row r="53" spans="1:6" x14ac:dyDescent="0.2">
      <c r="A53" s="120"/>
      <c r="B53" s="6"/>
      <c r="C53" s="12"/>
      <c r="D53" s="14"/>
      <c r="E53" s="11"/>
      <c r="F53" s="15"/>
    </row>
    <row r="54" spans="1:6" x14ac:dyDescent="0.2">
      <c r="A54" s="120"/>
      <c r="B54" s="6"/>
      <c r="C54" s="12"/>
      <c r="D54" s="14"/>
      <c r="E54" s="11"/>
      <c r="F54" s="15"/>
    </row>
    <row r="55" spans="1:6" x14ac:dyDescent="0.2">
      <c r="A55" s="120"/>
      <c r="B55" s="6"/>
      <c r="C55" s="12"/>
      <c r="D55" s="14"/>
      <c r="E55" s="11"/>
      <c r="F55" s="15"/>
    </row>
    <row r="56" spans="1:6" x14ac:dyDescent="0.2">
      <c r="A56" s="120"/>
      <c r="B56" s="6"/>
      <c r="C56" s="12"/>
      <c r="D56" s="14"/>
      <c r="E56" s="11"/>
      <c r="F56" s="15"/>
    </row>
    <row r="57" spans="1:6" x14ac:dyDescent="0.2">
      <c r="A57" s="120"/>
      <c r="B57" s="6"/>
      <c r="C57" s="12"/>
      <c r="D57" s="14"/>
      <c r="E57" s="11"/>
      <c r="F57" s="15"/>
    </row>
    <row r="58" spans="1:6" x14ac:dyDescent="0.2">
      <c r="A58" s="120"/>
      <c r="B58" s="6"/>
      <c r="C58" s="12"/>
      <c r="D58" s="14"/>
      <c r="E58" s="11"/>
      <c r="F58" s="15"/>
    </row>
    <row r="59" spans="1:6" x14ac:dyDescent="0.2">
      <c r="A59" s="120"/>
      <c r="B59" s="6"/>
      <c r="C59" s="12"/>
      <c r="D59" s="14"/>
      <c r="E59" s="11"/>
      <c r="F59" s="15"/>
    </row>
    <row r="60" spans="1:6" x14ac:dyDescent="0.2">
      <c r="A60" s="120"/>
      <c r="B60" s="6"/>
      <c r="C60" s="12"/>
      <c r="D60" s="14"/>
      <c r="E60" s="11"/>
      <c r="F60" s="15"/>
    </row>
    <row r="61" spans="1:6" x14ac:dyDescent="0.2">
      <c r="A61" s="120"/>
      <c r="B61" s="6"/>
      <c r="C61" s="12"/>
      <c r="D61" s="14"/>
      <c r="E61" s="11"/>
      <c r="F61" s="15"/>
    </row>
    <row r="62" spans="1:6" x14ac:dyDescent="0.2">
      <c r="A62" s="120"/>
      <c r="B62" s="6"/>
      <c r="C62" s="12"/>
      <c r="D62" s="14"/>
      <c r="E62" s="11"/>
      <c r="F62" s="15"/>
    </row>
    <row r="63" spans="1:6" x14ac:dyDescent="0.2">
      <c r="A63" s="120"/>
      <c r="B63" s="6"/>
      <c r="C63" s="12"/>
      <c r="D63" s="14"/>
      <c r="E63" s="11"/>
      <c r="F63" s="15"/>
    </row>
    <row r="64" spans="1:6" x14ac:dyDescent="0.2">
      <c r="A64" s="120"/>
      <c r="B64" s="6"/>
      <c r="C64" s="12"/>
      <c r="D64" s="14"/>
      <c r="E64" s="11"/>
      <c r="F64" s="15"/>
    </row>
    <row r="65" spans="1:6" x14ac:dyDescent="0.2">
      <c r="A65" s="120"/>
      <c r="B65" s="6"/>
      <c r="C65" s="12"/>
      <c r="D65" s="14"/>
      <c r="E65" s="11"/>
      <c r="F65" s="15"/>
    </row>
    <row r="66" spans="1:6" x14ac:dyDescent="0.2">
      <c r="A66" s="120"/>
      <c r="B66" s="6"/>
      <c r="C66" s="12"/>
      <c r="D66" s="14"/>
      <c r="E66" s="11"/>
      <c r="F66" s="15"/>
    </row>
    <row r="67" spans="1:6" x14ac:dyDescent="0.2">
      <c r="A67" s="120"/>
      <c r="B67" s="6"/>
      <c r="C67" s="12"/>
      <c r="D67" s="14"/>
      <c r="E67" s="11"/>
      <c r="F67" s="15"/>
    </row>
    <row r="68" spans="1:6" x14ac:dyDescent="0.2">
      <c r="A68" s="120"/>
      <c r="B68" s="6"/>
      <c r="C68" s="12"/>
      <c r="D68" s="14"/>
      <c r="E68" s="11"/>
      <c r="F68" s="15"/>
    </row>
    <row r="69" spans="1:6" x14ac:dyDescent="0.2">
      <c r="A69" s="120"/>
      <c r="B69" s="6"/>
      <c r="C69" s="12"/>
      <c r="D69" s="14"/>
      <c r="E69" s="11"/>
      <c r="F69" s="15"/>
    </row>
    <row r="70" spans="1:6" x14ac:dyDescent="0.2">
      <c r="A70" s="120"/>
      <c r="B70" s="6"/>
      <c r="C70" s="12"/>
      <c r="D70" s="14"/>
      <c r="E70" s="11"/>
      <c r="F70" s="15"/>
    </row>
    <row r="71" spans="1:6" x14ac:dyDescent="0.2">
      <c r="A71" s="120"/>
      <c r="B71" s="6"/>
      <c r="C71" s="12"/>
      <c r="D71" s="14"/>
      <c r="E71" s="11"/>
      <c r="F71" s="15"/>
    </row>
    <row r="72" spans="1:6" x14ac:dyDescent="0.2">
      <c r="A72" s="120"/>
      <c r="B72" s="6"/>
      <c r="C72" s="12"/>
      <c r="D72" s="14"/>
      <c r="E72" s="11"/>
      <c r="F72" s="15"/>
    </row>
    <row r="73" spans="1:6" ht="13.5" thickBot="1" x14ac:dyDescent="0.25">
      <c r="A73" s="121"/>
      <c r="B73" s="16"/>
      <c r="C73" s="17"/>
      <c r="D73" s="18"/>
      <c r="E73" s="19"/>
      <c r="F73" s="20"/>
    </row>
    <row r="74" spans="1:6" x14ac:dyDescent="0.2">
      <c r="A74" s="124"/>
      <c r="B74" s="117"/>
      <c r="C74" s="118"/>
      <c r="D74" s="119"/>
      <c r="E74" s="116"/>
      <c r="F74" s="116"/>
    </row>
    <row r="75" spans="1:6" x14ac:dyDescent="0.2">
      <c r="A75" s="116"/>
      <c r="B75" s="117"/>
      <c r="C75" s="118"/>
      <c r="D75" s="119"/>
      <c r="E75" s="116"/>
      <c r="F75" s="116"/>
    </row>
    <row r="76" spans="1:6" x14ac:dyDescent="0.2">
      <c r="A76" s="116"/>
      <c r="B76" s="117"/>
      <c r="C76" s="118"/>
      <c r="D76" s="119"/>
      <c r="E76" s="116"/>
      <c r="F76" s="116"/>
    </row>
    <row r="77" spans="1:6" x14ac:dyDescent="0.2">
      <c r="A77" s="116"/>
      <c r="B77" s="117"/>
      <c r="C77" s="118"/>
      <c r="D77" s="119"/>
      <c r="E77" s="116"/>
      <c r="F77" s="116"/>
    </row>
    <row r="78" spans="1:6" x14ac:dyDescent="0.2">
      <c r="A78" s="116"/>
      <c r="B78" s="117"/>
      <c r="C78" s="118"/>
      <c r="D78" s="119"/>
      <c r="E78" s="116"/>
      <c r="F78" s="116"/>
    </row>
    <row r="79" spans="1:6" x14ac:dyDescent="0.2">
      <c r="A79" s="116"/>
      <c r="B79" s="117"/>
      <c r="C79" s="118"/>
      <c r="D79" s="119"/>
      <c r="E79" s="116"/>
      <c r="F79" s="116"/>
    </row>
    <row r="80" spans="1:6" x14ac:dyDescent="0.2">
      <c r="A80" s="116"/>
      <c r="B80" s="117"/>
      <c r="C80" s="118"/>
      <c r="D80" s="119"/>
      <c r="E80" s="116"/>
      <c r="F80" s="116"/>
    </row>
    <row r="81" spans="1:6" x14ac:dyDescent="0.2">
      <c r="A81" s="116"/>
      <c r="B81" s="117"/>
      <c r="C81" s="118"/>
      <c r="D81" s="119"/>
      <c r="E81" s="116"/>
      <c r="F81" s="116"/>
    </row>
    <row r="82" spans="1:6" x14ac:dyDescent="0.2">
      <c r="A82" s="116"/>
      <c r="B82" s="117"/>
      <c r="C82" s="118"/>
      <c r="D82" s="119"/>
      <c r="E82" s="116"/>
      <c r="F82" s="116"/>
    </row>
    <row r="83" spans="1:6" x14ac:dyDescent="0.2">
      <c r="A83" s="116"/>
      <c r="B83" s="117"/>
      <c r="C83" s="118"/>
      <c r="D83" s="119"/>
      <c r="E83" s="116"/>
      <c r="F83" s="116"/>
    </row>
    <row r="84" spans="1:6" x14ac:dyDescent="0.2">
      <c r="A84" s="116"/>
      <c r="B84" s="117"/>
      <c r="C84" s="118"/>
      <c r="D84" s="119"/>
      <c r="E84" s="116"/>
      <c r="F84" s="116"/>
    </row>
    <row r="85" spans="1:6" x14ac:dyDescent="0.2">
      <c r="A85" s="116"/>
      <c r="B85" s="117"/>
      <c r="C85" s="118"/>
      <c r="D85" s="119"/>
      <c r="E85" s="116"/>
      <c r="F85" s="116"/>
    </row>
    <row r="86" spans="1:6" x14ac:dyDescent="0.2">
      <c r="A86" s="116"/>
      <c r="B86" s="117"/>
      <c r="C86" s="118"/>
      <c r="D86" s="119"/>
      <c r="E86" s="116"/>
      <c r="F86" s="116"/>
    </row>
    <row r="87" spans="1:6" x14ac:dyDescent="0.2">
      <c r="A87" s="116"/>
      <c r="B87" s="117"/>
      <c r="C87" s="118"/>
      <c r="D87" s="119"/>
      <c r="E87" s="116"/>
      <c r="F87" s="116"/>
    </row>
    <row r="88" spans="1:6" x14ac:dyDescent="0.2">
      <c r="A88" s="116"/>
      <c r="B88" s="117"/>
      <c r="C88" s="118"/>
      <c r="D88" s="119"/>
      <c r="E88" s="116"/>
      <c r="F88" s="116"/>
    </row>
    <row r="89" spans="1:6" x14ac:dyDescent="0.2">
      <c r="A89" s="116"/>
      <c r="B89" s="117"/>
      <c r="C89" s="118"/>
      <c r="D89" s="119"/>
      <c r="E89" s="116"/>
      <c r="F89" s="116"/>
    </row>
    <row r="90" spans="1:6" x14ac:dyDescent="0.2">
      <c r="A90" s="116"/>
      <c r="B90" s="117"/>
      <c r="C90" s="118"/>
      <c r="D90" s="119"/>
      <c r="E90" s="116"/>
      <c r="F90" s="116"/>
    </row>
    <row r="91" spans="1:6" x14ac:dyDescent="0.2">
      <c r="A91" s="116"/>
      <c r="B91" s="117"/>
      <c r="C91" s="118"/>
      <c r="D91" s="119"/>
      <c r="E91" s="116"/>
      <c r="F91" s="116"/>
    </row>
    <row r="92" spans="1:6" x14ac:dyDescent="0.2">
      <c r="A92" s="116"/>
      <c r="B92" s="117"/>
      <c r="C92" s="118"/>
      <c r="D92" s="119"/>
      <c r="E92" s="116"/>
      <c r="F92" s="116"/>
    </row>
    <row r="93" spans="1:6" x14ac:dyDescent="0.2">
      <c r="A93" s="116"/>
      <c r="B93" s="117"/>
      <c r="C93" s="118"/>
      <c r="D93" s="119"/>
      <c r="E93" s="116"/>
      <c r="F93" s="116"/>
    </row>
    <row r="94" spans="1:6" x14ac:dyDescent="0.2">
      <c r="A94" s="116"/>
      <c r="B94" s="117"/>
      <c r="C94" s="118"/>
      <c r="D94" s="119"/>
      <c r="E94" s="116"/>
      <c r="F94" s="116"/>
    </row>
    <row r="95" spans="1:6" x14ac:dyDescent="0.2">
      <c r="A95" s="116"/>
      <c r="B95" s="117"/>
      <c r="C95" s="118"/>
      <c r="D95" s="119"/>
      <c r="E95" s="116"/>
      <c r="F95" s="116"/>
    </row>
    <row r="96" spans="1:6" x14ac:dyDescent="0.2">
      <c r="A96" s="116"/>
      <c r="B96" s="117"/>
      <c r="C96" s="118"/>
      <c r="D96" s="119"/>
      <c r="E96" s="116"/>
      <c r="F96" s="116"/>
    </row>
    <row r="97" spans="1:6" x14ac:dyDescent="0.2">
      <c r="A97" s="116"/>
      <c r="B97" s="117"/>
      <c r="C97" s="118"/>
      <c r="D97" s="119"/>
      <c r="E97" s="116"/>
      <c r="F97" s="116"/>
    </row>
    <row r="98" spans="1:6" x14ac:dyDescent="0.2">
      <c r="A98" s="116"/>
      <c r="B98" s="117"/>
      <c r="C98" s="118"/>
      <c r="D98" s="119"/>
      <c r="E98" s="116"/>
      <c r="F98" s="116"/>
    </row>
    <row r="99" spans="1:6" x14ac:dyDescent="0.2">
      <c r="A99" s="116"/>
      <c r="B99" s="117"/>
      <c r="C99" s="118"/>
      <c r="D99" s="119"/>
      <c r="E99" s="116"/>
      <c r="F99" s="116"/>
    </row>
    <row r="100" spans="1:6" x14ac:dyDescent="0.2">
      <c r="A100" s="116"/>
      <c r="B100" s="117"/>
      <c r="C100" s="118"/>
      <c r="D100" s="119"/>
      <c r="E100" s="116"/>
      <c r="F100" s="116"/>
    </row>
    <row r="101" spans="1:6" x14ac:dyDescent="0.2">
      <c r="A101" s="116"/>
      <c r="B101" s="117"/>
      <c r="C101" s="118"/>
      <c r="D101" s="119"/>
      <c r="E101" s="116"/>
      <c r="F101" s="116"/>
    </row>
    <row r="102" spans="1:6" x14ac:dyDescent="0.2">
      <c r="A102" s="116"/>
      <c r="B102" s="117"/>
      <c r="C102" s="118"/>
      <c r="D102" s="119"/>
      <c r="E102" s="116"/>
      <c r="F102" s="116"/>
    </row>
    <row r="103" spans="1:6" x14ac:dyDescent="0.2">
      <c r="A103" s="116"/>
      <c r="B103" s="117"/>
      <c r="C103" s="118"/>
      <c r="D103" s="119"/>
      <c r="E103" s="116"/>
      <c r="F103" s="116"/>
    </row>
    <row r="104" spans="1:6" x14ac:dyDescent="0.2">
      <c r="A104" s="116"/>
      <c r="B104" s="117"/>
      <c r="C104" s="118"/>
      <c r="D104" s="119"/>
      <c r="E104" s="116"/>
      <c r="F104" s="116"/>
    </row>
    <row r="105" spans="1:6" x14ac:dyDescent="0.2">
      <c r="A105" s="116"/>
      <c r="B105" s="117"/>
      <c r="C105" s="118"/>
      <c r="D105" s="119"/>
      <c r="E105" s="116"/>
      <c r="F105" s="116"/>
    </row>
    <row r="106" spans="1:6" x14ac:dyDescent="0.2">
      <c r="A106" s="116"/>
      <c r="B106" s="117"/>
      <c r="C106" s="118"/>
      <c r="D106" s="119"/>
      <c r="E106" s="116"/>
      <c r="F106" s="116"/>
    </row>
    <row r="107" spans="1:6" x14ac:dyDescent="0.2">
      <c r="A107" s="116"/>
      <c r="B107" s="117"/>
      <c r="C107" s="118"/>
      <c r="D107" s="119"/>
      <c r="E107" s="116"/>
      <c r="F107" s="116"/>
    </row>
    <row r="108" spans="1:6" x14ac:dyDescent="0.2">
      <c r="A108" s="116"/>
      <c r="B108" s="117"/>
      <c r="C108" s="118"/>
      <c r="D108" s="119"/>
      <c r="E108" s="116"/>
      <c r="F108" s="116"/>
    </row>
    <row r="109" spans="1:6" x14ac:dyDescent="0.2">
      <c r="A109" s="116"/>
      <c r="B109" s="117"/>
      <c r="C109" s="118"/>
      <c r="D109" s="119"/>
      <c r="E109" s="116"/>
      <c r="F109" s="116"/>
    </row>
    <row r="110" spans="1:6" x14ac:dyDescent="0.2">
      <c r="A110" s="116"/>
      <c r="B110" s="117"/>
      <c r="C110" s="118"/>
      <c r="D110" s="119"/>
      <c r="E110" s="116"/>
      <c r="F110" s="116"/>
    </row>
    <row r="111" spans="1:6" x14ac:dyDescent="0.2">
      <c r="A111" s="116"/>
      <c r="B111" s="117"/>
      <c r="C111" s="118"/>
      <c r="D111" s="119"/>
      <c r="E111" s="116"/>
      <c r="F111" s="116"/>
    </row>
    <row r="112" spans="1:6" x14ac:dyDescent="0.2">
      <c r="A112" s="116"/>
      <c r="B112" s="117"/>
      <c r="C112" s="118"/>
      <c r="D112" s="119"/>
      <c r="E112" s="116"/>
      <c r="F112" s="116"/>
    </row>
    <row r="113" spans="1:6" x14ac:dyDescent="0.2">
      <c r="A113" s="116"/>
      <c r="B113" s="117"/>
      <c r="C113" s="118"/>
      <c r="D113" s="119"/>
      <c r="E113" s="116"/>
      <c r="F113" s="116"/>
    </row>
    <row r="114" spans="1:6" x14ac:dyDescent="0.2">
      <c r="A114" s="116"/>
      <c r="B114" s="117"/>
      <c r="C114" s="118"/>
      <c r="D114" s="119"/>
      <c r="E114" s="116"/>
      <c r="F114" s="116"/>
    </row>
    <row r="115" spans="1:6" x14ac:dyDescent="0.2">
      <c r="A115" s="116"/>
      <c r="B115" s="117"/>
      <c r="C115" s="118"/>
      <c r="D115" s="119"/>
      <c r="E115" s="116"/>
      <c r="F115" s="116"/>
    </row>
    <row r="116" spans="1:6" x14ac:dyDescent="0.2">
      <c r="A116" s="116"/>
      <c r="B116" s="117"/>
      <c r="C116" s="118"/>
      <c r="D116" s="119"/>
      <c r="E116" s="116"/>
      <c r="F116" s="116"/>
    </row>
    <row r="117" spans="1:6" x14ac:dyDescent="0.2">
      <c r="A117" s="116"/>
      <c r="B117" s="117"/>
      <c r="C117" s="118"/>
      <c r="D117" s="119"/>
      <c r="E117" s="116"/>
      <c r="F117" s="116"/>
    </row>
    <row r="118" spans="1:6" x14ac:dyDescent="0.2">
      <c r="A118" s="116"/>
      <c r="B118" s="117"/>
      <c r="C118" s="118"/>
      <c r="D118" s="119"/>
      <c r="E118" s="116"/>
      <c r="F118" s="116"/>
    </row>
    <row r="119" spans="1:6" x14ac:dyDescent="0.2">
      <c r="A119" s="116"/>
      <c r="B119" s="117"/>
      <c r="C119" s="118"/>
      <c r="D119" s="119"/>
      <c r="E119" s="116"/>
      <c r="F119" s="116"/>
    </row>
    <row r="120" spans="1:6" x14ac:dyDescent="0.2">
      <c r="A120" s="116"/>
      <c r="B120" s="117"/>
      <c r="C120" s="118"/>
      <c r="D120" s="119"/>
      <c r="E120" s="116"/>
      <c r="F120" s="116"/>
    </row>
    <row r="121" spans="1:6" x14ac:dyDescent="0.2">
      <c r="A121" s="116"/>
      <c r="B121" s="117"/>
      <c r="C121" s="118"/>
      <c r="D121" s="119"/>
      <c r="E121" s="116"/>
      <c r="F121" s="116"/>
    </row>
    <row r="122" spans="1:6" x14ac:dyDescent="0.2">
      <c r="A122" s="116"/>
      <c r="B122" s="117"/>
      <c r="C122" s="118"/>
      <c r="D122" s="119"/>
      <c r="E122" s="116"/>
      <c r="F122" s="116"/>
    </row>
    <row r="123" spans="1:6" x14ac:dyDescent="0.2">
      <c r="A123" s="116"/>
      <c r="B123" s="117"/>
      <c r="C123" s="118"/>
      <c r="D123" s="119"/>
      <c r="E123" s="116"/>
      <c r="F123" s="116"/>
    </row>
    <row r="124" spans="1:6" x14ac:dyDescent="0.2">
      <c r="A124" s="116"/>
      <c r="B124" s="117"/>
      <c r="C124" s="118"/>
      <c r="D124" s="119"/>
      <c r="E124" s="116"/>
      <c r="F124" s="116"/>
    </row>
    <row r="125" spans="1:6" x14ac:dyDescent="0.2">
      <c r="A125" s="116"/>
      <c r="B125" s="117"/>
      <c r="C125" s="118"/>
      <c r="D125" s="119"/>
      <c r="E125" s="116"/>
      <c r="F125" s="116"/>
    </row>
    <row r="126" spans="1:6" x14ac:dyDescent="0.2">
      <c r="A126" s="116"/>
      <c r="B126" s="117"/>
      <c r="C126" s="118"/>
      <c r="D126" s="119"/>
      <c r="E126" s="116"/>
      <c r="F126" s="116"/>
    </row>
    <row r="127" spans="1:6" x14ac:dyDescent="0.2">
      <c r="A127" s="116"/>
      <c r="B127" s="117"/>
      <c r="C127" s="118"/>
      <c r="D127" s="119"/>
      <c r="E127" s="116"/>
      <c r="F127" s="116"/>
    </row>
    <row r="128" spans="1:6" x14ac:dyDescent="0.2">
      <c r="A128" s="116"/>
      <c r="B128" s="117"/>
      <c r="C128" s="118"/>
      <c r="D128" s="119"/>
      <c r="E128" s="116"/>
      <c r="F128" s="116"/>
    </row>
    <row r="129" spans="1:6" x14ac:dyDescent="0.2">
      <c r="A129" s="116"/>
      <c r="B129" s="117"/>
      <c r="C129" s="118"/>
      <c r="D129" s="119"/>
      <c r="E129" s="116"/>
      <c r="F129" s="116"/>
    </row>
    <row r="130" spans="1:6" x14ac:dyDescent="0.2">
      <c r="A130" s="116"/>
      <c r="B130" s="117"/>
      <c r="C130" s="118"/>
      <c r="D130" s="119"/>
      <c r="E130" s="116"/>
      <c r="F130" s="116"/>
    </row>
    <row r="131" spans="1:6" x14ac:dyDescent="0.2">
      <c r="A131" s="116"/>
      <c r="B131" s="117"/>
      <c r="C131" s="118"/>
      <c r="D131" s="119"/>
      <c r="E131" s="116"/>
      <c r="F131" s="116"/>
    </row>
    <row r="132" spans="1:6" x14ac:dyDescent="0.2">
      <c r="A132" s="116"/>
      <c r="B132" s="117"/>
      <c r="C132" s="118"/>
      <c r="D132" s="119"/>
      <c r="E132" s="116"/>
      <c r="F132" s="116"/>
    </row>
    <row r="133" spans="1:6" x14ac:dyDescent="0.2">
      <c r="A133" s="116"/>
      <c r="B133" s="117"/>
      <c r="C133" s="118"/>
      <c r="D133" s="119"/>
      <c r="E133" s="116"/>
      <c r="F133" s="116"/>
    </row>
    <row r="134" spans="1:6" x14ac:dyDescent="0.2">
      <c r="A134" s="116"/>
      <c r="B134" s="117"/>
      <c r="C134" s="118"/>
      <c r="D134" s="119"/>
      <c r="E134" s="116"/>
      <c r="F134" s="116"/>
    </row>
    <row r="135" spans="1:6" x14ac:dyDescent="0.2">
      <c r="A135" s="116"/>
      <c r="B135" s="117"/>
      <c r="C135" s="118"/>
      <c r="D135" s="119"/>
      <c r="E135" s="116"/>
      <c r="F135" s="116"/>
    </row>
    <row r="136" spans="1:6" x14ac:dyDescent="0.2">
      <c r="A136" s="116"/>
      <c r="B136" s="117"/>
      <c r="C136" s="118"/>
      <c r="D136" s="119"/>
      <c r="E136" s="116"/>
      <c r="F136" s="116"/>
    </row>
    <row r="137" spans="1:6" x14ac:dyDescent="0.2">
      <c r="A137" s="116"/>
      <c r="B137" s="117"/>
      <c r="C137" s="118"/>
      <c r="D137" s="119"/>
      <c r="E137" s="116"/>
      <c r="F137" s="116"/>
    </row>
    <row r="138" spans="1:6" x14ac:dyDescent="0.2">
      <c r="A138" s="116"/>
      <c r="B138" s="117"/>
      <c r="C138" s="118"/>
      <c r="D138" s="119"/>
      <c r="E138" s="116"/>
      <c r="F138" s="116"/>
    </row>
    <row r="139" spans="1:6" x14ac:dyDescent="0.2">
      <c r="A139" s="116"/>
      <c r="B139" s="117"/>
      <c r="C139" s="118"/>
      <c r="D139" s="119"/>
      <c r="E139" s="116"/>
      <c r="F139" s="116"/>
    </row>
    <row r="140" spans="1:6" x14ac:dyDescent="0.2">
      <c r="A140" s="116"/>
      <c r="B140" s="117"/>
      <c r="C140" s="118"/>
      <c r="D140" s="119"/>
      <c r="E140" s="116"/>
      <c r="F140" s="116"/>
    </row>
    <row r="141" spans="1:6" x14ac:dyDescent="0.2">
      <c r="A141" s="116"/>
      <c r="B141" s="117"/>
      <c r="C141" s="118"/>
      <c r="D141" s="119"/>
      <c r="E141" s="116"/>
      <c r="F141" s="116"/>
    </row>
    <row r="142" spans="1:6" x14ac:dyDescent="0.2">
      <c r="A142" s="116"/>
      <c r="B142" s="117"/>
      <c r="C142" s="118"/>
      <c r="D142" s="119"/>
      <c r="E142" s="116"/>
      <c r="F142" s="116"/>
    </row>
    <row r="143" spans="1:6" x14ac:dyDescent="0.2">
      <c r="A143" s="116"/>
      <c r="B143" s="117"/>
      <c r="C143" s="118"/>
      <c r="D143" s="119"/>
      <c r="E143" s="116"/>
      <c r="F143" s="116"/>
    </row>
    <row r="144" spans="1:6" x14ac:dyDescent="0.2">
      <c r="A144" s="116"/>
      <c r="B144" s="117"/>
      <c r="C144" s="118"/>
      <c r="D144" s="119"/>
      <c r="E144" s="116"/>
      <c r="F144" s="116"/>
    </row>
    <row r="145" spans="1:6" x14ac:dyDescent="0.2">
      <c r="A145" s="116"/>
      <c r="B145" s="117"/>
      <c r="C145" s="118"/>
      <c r="D145" s="119"/>
      <c r="E145" s="116"/>
      <c r="F145" s="116"/>
    </row>
    <row r="146" spans="1:6" x14ac:dyDescent="0.2">
      <c r="A146" s="116"/>
      <c r="B146" s="117"/>
      <c r="C146" s="118"/>
      <c r="D146" s="119"/>
      <c r="E146" s="116"/>
      <c r="F146" s="116"/>
    </row>
    <row r="147" spans="1:6" x14ac:dyDescent="0.2">
      <c r="A147" s="116"/>
      <c r="B147" s="117"/>
      <c r="C147" s="118"/>
      <c r="D147" s="119"/>
      <c r="E147" s="116"/>
      <c r="F147" s="116"/>
    </row>
    <row r="148" spans="1:6" x14ac:dyDescent="0.2">
      <c r="A148" s="116"/>
      <c r="B148" s="117"/>
      <c r="C148" s="118"/>
      <c r="D148" s="119"/>
      <c r="E148" s="116"/>
      <c r="F148" s="116"/>
    </row>
    <row r="149" spans="1:6" x14ac:dyDescent="0.2">
      <c r="A149" s="116"/>
      <c r="B149" s="117"/>
      <c r="C149" s="118"/>
      <c r="D149" s="119"/>
      <c r="E149" s="116"/>
      <c r="F149" s="116"/>
    </row>
    <row r="150" spans="1:6" x14ac:dyDescent="0.2">
      <c r="A150" s="116"/>
      <c r="B150" s="117"/>
      <c r="C150" s="118"/>
      <c r="D150" s="119"/>
      <c r="E150" s="116"/>
      <c r="F150" s="116"/>
    </row>
    <row r="151" spans="1:6" x14ac:dyDescent="0.2">
      <c r="A151" s="116"/>
      <c r="B151" s="117"/>
      <c r="C151" s="118"/>
      <c r="D151" s="119"/>
      <c r="E151" s="116"/>
      <c r="F151" s="116"/>
    </row>
    <row r="152" spans="1:6" x14ac:dyDescent="0.2">
      <c r="A152" s="116"/>
      <c r="B152" s="117"/>
      <c r="C152" s="118"/>
      <c r="D152" s="119"/>
      <c r="E152" s="116"/>
      <c r="F152" s="116"/>
    </row>
    <row r="153" spans="1:6" x14ac:dyDescent="0.2">
      <c r="A153" s="116"/>
      <c r="B153" s="117"/>
      <c r="C153" s="118"/>
      <c r="D153" s="119"/>
      <c r="E153" s="116"/>
      <c r="F153" s="116"/>
    </row>
    <row r="154" spans="1:6" x14ac:dyDescent="0.2">
      <c r="A154" s="116"/>
      <c r="B154" s="117"/>
      <c r="C154" s="118"/>
      <c r="D154" s="119"/>
      <c r="E154" s="116"/>
      <c r="F154" s="116"/>
    </row>
    <row r="155" spans="1:6" x14ac:dyDescent="0.2">
      <c r="A155" s="116"/>
      <c r="B155" s="117"/>
      <c r="C155" s="118"/>
      <c r="D155" s="119"/>
      <c r="E155" s="116"/>
      <c r="F155" s="116"/>
    </row>
    <row r="156" spans="1:6" x14ac:dyDescent="0.2">
      <c r="A156" s="116"/>
      <c r="B156" s="117"/>
      <c r="C156" s="118"/>
      <c r="D156" s="119"/>
      <c r="E156" s="116"/>
      <c r="F156" s="116"/>
    </row>
    <row r="157" spans="1:6" x14ac:dyDescent="0.2">
      <c r="A157" s="116"/>
      <c r="B157" s="117"/>
      <c r="C157" s="118"/>
      <c r="D157" s="119"/>
      <c r="E157" s="116"/>
      <c r="F157" s="116"/>
    </row>
    <row r="158" spans="1:6" x14ac:dyDescent="0.2">
      <c r="A158" s="116"/>
      <c r="B158" s="117"/>
      <c r="C158" s="118"/>
      <c r="D158" s="119"/>
      <c r="E158" s="116"/>
      <c r="F158" s="116"/>
    </row>
    <row r="159" spans="1:6" x14ac:dyDescent="0.2">
      <c r="A159" s="116"/>
      <c r="B159" s="117"/>
      <c r="C159" s="118"/>
      <c r="D159" s="119"/>
      <c r="E159" s="116"/>
      <c r="F159" s="116"/>
    </row>
    <row r="160" spans="1:6" x14ac:dyDescent="0.2">
      <c r="A160" s="116"/>
      <c r="B160" s="117"/>
      <c r="C160" s="118"/>
      <c r="D160" s="119"/>
      <c r="E160" s="116"/>
      <c r="F160" s="116"/>
    </row>
    <row r="161" spans="1:6" x14ac:dyDescent="0.2">
      <c r="A161" s="116"/>
      <c r="B161" s="117"/>
      <c r="C161" s="118"/>
      <c r="D161" s="119"/>
      <c r="E161" s="116"/>
      <c r="F161" s="116"/>
    </row>
    <row r="162" spans="1:6" x14ac:dyDescent="0.2">
      <c r="A162" s="116"/>
      <c r="B162" s="117"/>
      <c r="C162" s="118"/>
      <c r="D162" s="119"/>
      <c r="E162" s="116"/>
      <c r="F162" s="116"/>
    </row>
    <row r="163" spans="1:6" x14ac:dyDescent="0.2">
      <c r="A163" s="116"/>
      <c r="B163" s="117"/>
      <c r="C163" s="118"/>
      <c r="D163" s="119"/>
      <c r="E163" s="116"/>
      <c r="F163" s="116"/>
    </row>
    <row r="164" spans="1:6" x14ac:dyDescent="0.2">
      <c r="A164" s="116"/>
      <c r="B164" s="117"/>
      <c r="C164" s="118"/>
      <c r="D164" s="119"/>
      <c r="E164" s="116"/>
      <c r="F164" s="116"/>
    </row>
    <row r="165" spans="1:6" x14ac:dyDescent="0.2">
      <c r="A165" s="116"/>
      <c r="B165" s="117"/>
      <c r="C165" s="118"/>
      <c r="D165" s="119"/>
      <c r="E165" s="116"/>
      <c r="F165" s="116"/>
    </row>
    <row r="166" spans="1:6" x14ac:dyDescent="0.2">
      <c r="A166" s="116"/>
      <c r="B166" s="117"/>
      <c r="C166" s="118"/>
      <c r="D166" s="119"/>
      <c r="E166" s="116"/>
      <c r="F166" s="116"/>
    </row>
    <row r="167" spans="1:6" x14ac:dyDescent="0.2">
      <c r="A167" s="116"/>
      <c r="B167" s="117"/>
      <c r="C167" s="118"/>
      <c r="D167" s="119"/>
      <c r="E167" s="116"/>
      <c r="F167" s="116"/>
    </row>
    <row r="168" spans="1:6" x14ac:dyDescent="0.2">
      <c r="A168" s="116"/>
      <c r="B168" s="117"/>
      <c r="C168" s="118"/>
      <c r="D168" s="119"/>
      <c r="E168" s="116"/>
      <c r="F168" s="116"/>
    </row>
    <row r="169" spans="1:6" x14ac:dyDescent="0.2">
      <c r="A169" s="116"/>
      <c r="B169" s="117"/>
      <c r="C169" s="118"/>
      <c r="D169" s="119"/>
      <c r="E169" s="116"/>
      <c r="F169" s="116"/>
    </row>
    <row r="170" spans="1:6" x14ac:dyDescent="0.2">
      <c r="A170" s="116"/>
      <c r="B170" s="117"/>
      <c r="C170" s="118"/>
      <c r="D170" s="119"/>
      <c r="E170" s="116"/>
      <c r="F170" s="116"/>
    </row>
    <row r="171" spans="1:6" x14ac:dyDescent="0.2">
      <c r="A171" s="116"/>
      <c r="B171" s="117"/>
      <c r="C171" s="118"/>
      <c r="D171" s="119"/>
      <c r="E171" s="116"/>
      <c r="F171" s="116"/>
    </row>
    <row r="172" spans="1:6" x14ac:dyDescent="0.2">
      <c r="A172" s="116"/>
      <c r="B172" s="117"/>
      <c r="C172" s="118"/>
      <c r="D172" s="119"/>
      <c r="E172" s="116"/>
      <c r="F172" s="116"/>
    </row>
    <row r="173" spans="1:6" x14ac:dyDescent="0.2">
      <c r="A173" s="116"/>
      <c r="B173" s="117"/>
      <c r="C173" s="118"/>
      <c r="D173" s="119"/>
      <c r="E173" s="116"/>
      <c r="F173" s="116"/>
    </row>
    <row r="174" spans="1:6" x14ac:dyDescent="0.2">
      <c r="A174" s="116"/>
      <c r="B174" s="117"/>
      <c r="C174" s="118"/>
      <c r="D174" s="119"/>
      <c r="E174" s="116"/>
      <c r="F174" s="116"/>
    </row>
    <row r="175" spans="1:6" x14ac:dyDescent="0.2">
      <c r="A175" s="116"/>
      <c r="B175" s="117"/>
      <c r="C175" s="118"/>
      <c r="D175" s="119"/>
      <c r="E175" s="116"/>
      <c r="F175" s="116"/>
    </row>
    <row r="176" spans="1:6" x14ac:dyDescent="0.2">
      <c r="A176" s="116"/>
      <c r="B176" s="117"/>
      <c r="C176" s="118"/>
      <c r="D176" s="119"/>
      <c r="E176" s="116"/>
      <c r="F176" s="116"/>
    </row>
    <row r="177" spans="1:6" x14ac:dyDescent="0.2">
      <c r="A177" s="116"/>
      <c r="B177" s="117"/>
      <c r="C177" s="118"/>
      <c r="D177" s="119"/>
      <c r="E177" s="116"/>
      <c r="F177" s="116"/>
    </row>
    <row r="178" spans="1:6" x14ac:dyDescent="0.2">
      <c r="A178" s="116"/>
      <c r="B178" s="117"/>
      <c r="C178" s="118"/>
      <c r="D178" s="119"/>
      <c r="E178" s="116"/>
      <c r="F178" s="116"/>
    </row>
    <row r="179" spans="1:6" x14ac:dyDescent="0.2">
      <c r="A179" s="116"/>
      <c r="B179" s="117"/>
      <c r="C179" s="118"/>
      <c r="D179" s="119"/>
      <c r="E179" s="116"/>
      <c r="F179" s="116"/>
    </row>
    <row r="180" spans="1:6" x14ac:dyDescent="0.2">
      <c r="A180" s="116"/>
      <c r="B180" s="117"/>
      <c r="C180" s="118"/>
      <c r="D180" s="119"/>
      <c r="E180" s="116"/>
      <c r="F180" s="116"/>
    </row>
    <row r="181" spans="1:6" x14ac:dyDescent="0.2">
      <c r="A181" s="116"/>
      <c r="B181" s="117"/>
      <c r="C181" s="118"/>
      <c r="D181" s="119"/>
      <c r="E181" s="116"/>
      <c r="F181" s="116"/>
    </row>
    <row r="182" spans="1:6" x14ac:dyDescent="0.2">
      <c r="A182" s="116"/>
      <c r="B182" s="117"/>
      <c r="C182" s="118"/>
      <c r="D182" s="119"/>
      <c r="E182" s="116"/>
      <c r="F182" s="116"/>
    </row>
    <row r="183" spans="1:6" x14ac:dyDescent="0.2">
      <c r="A183" s="116"/>
      <c r="B183" s="117"/>
      <c r="C183" s="118"/>
      <c r="D183" s="119"/>
      <c r="E183" s="116"/>
      <c r="F183" s="116"/>
    </row>
    <row r="184" spans="1:6" x14ac:dyDescent="0.2">
      <c r="A184" s="116"/>
      <c r="B184" s="117"/>
      <c r="C184" s="118"/>
      <c r="D184" s="119"/>
      <c r="E184" s="116"/>
      <c r="F184" s="116"/>
    </row>
    <row r="185" spans="1:6" x14ac:dyDescent="0.2">
      <c r="A185" s="116"/>
      <c r="B185" s="117"/>
      <c r="C185" s="118"/>
      <c r="D185" s="119"/>
      <c r="E185" s="116"/>
      <c r="F185" s="116"/>
    </row>
    <row r="186" spans="1:6" x14ac:dyDescent="0.2">
      <c r="A186" s="116"/>
      <c r="B186" s="117"/>
      <c r="C186" s="118"/>
      <c r="D186" s="119"/>
      <c r="E186" s="116"/>
      <c r="F186" s="116"/>
    </row>
    <row r="187" spans="1:6" x14ac:dyDescent="0.2">
      <c r="A187" s="116"/>
      <c r="B187" s="117"/>
      <c r="C187" s="118"/>
      <c r="D187" s="119"/>
      <c r="E187" s="116"/>
      <c r="F187" s="116"/>
    </row>
    <row r="188" spans="1:6" x14ac:dyDescent="0.2">
      <c r="A188" s="116"/>
      <c r="B188" s="117"/>
      <c r="C188" s="118"/>
      <c r="D188" s="119"/>
      <c r="E188" s="116"/>
      <c r="F188" s="116"/>
    </row>
    <row r="189" spans="1:6" x14ac:dyDescent="0.2">
      <c r="A189" s="116"/>
      <c r="B189" s="117"/>
      <c r="C189" s="118"/>
      <c r="D189" s="119"/>
      <c r="E189" s="116"/>
      <c r="F189" s="116"/>
    </row>
    <row r="190" spans="1:6" x14ac:dyDescent="0.2">
      <c r="A190" s="116"/>
      <c r="B190" s="117"/>
      <c r="C190" s="118"/>
      <c r="D190" s="119"/>
      <c r="E190" s="116"/>
      <c r="F190" s="116"/>
    </row>
    <row r="191" spans="1:6" x14ac:dyDescent="0.2">
      <c r="A191" s="116"/>
      <c r="B191" s="117"/>
      <c r="C191" s="118"/>
      <c r="D191" s="119"/>
      <c r="E191" s="116"/>
      <c r="F191" s="116"/>
    </row>
    <row r="192" spans="1:6" x14ac:dyDescent="0.2">
      <c r="A192" s="116"/>
      <c r="B192" s="117"/>
      <c r="C192" s="118"/>
      <c r="D192" s="119"/>
      <c r="E192" s="116"/>
      <c r="F192" s="116"/>
    </row>
    <row r="193" spans="1:6" x14ac:dyDescent="0.2">
      <c r="A193" s="116"/>
      <c r="B193" s="117"/>
      <c r="C193" s="118"/>
      <c r="D193" s="119"/>
      <c r="E193" s="116"/>
      <c r="F193" s="116"/>
    </row>
    <row r="194" spans="1:6" x14ac:dyDescent="0.2">
      <c r="A194" s="116"/>
      <c r="B194" s="117"/>
      <c r="C194" s="118"/>
      <c r="D194" s="119"/>
      <c r="E194" s="116"/>
      <c r="F194" s="116"/>
    </row>
    <row r="195" spans="1:6" x14ac:dyDescent="0.2">
      <c r="A195" s="116"/>
      <c r="B195" s="117"/>
      <c r="C195" s="118"/>
      <c r="D195" s="119"/>
      <c r="E195" s="116"/>
      <c r="F195" s="116"/>
    </row>
    <row r="196" spans="1:6" x14ac:dyDescent="0.2">
      <c r="A196" s="116"/>
      <c r="B196" s="117"/>
      <c r="C196" s="118"/>
      <c r="D196" s="119"/>
      <c r="E196" s="116"/>
      <c r="F196" s="116"/>
    </row>
    <row r="197" spans="1:6" x14ac:dyDescent="0.2">
      <c r="A197" s="116"/>
      <c r="B197" s="117"/>
      <c r="C197" s="118"/>
      <c r="D197" s="119"/>
      <c r="E197" s="116"/>
      <c r="F197" s="116"/>
    </row>
    <row r="198" spans="1:6" x14ac:dyDescent="0.2">
      <c r="A198" s="116"/>
      <c r="B198" s="117"/>
      <c r="C198" s="118"/>
      <c r="D198" s="119"/>
      <c r="E198" s="116"/>
      <c r="F198" s="116"/>
    </row>
    <row r="199" spans="1:6" x14ac:dyDescent="0.2">
      <c r="A199" s="116"/>
      <c r="B199" s="117"/>
      <c r="C199" s="118"/>
      <c r="D199" s="119"/>
      <c r="E199" s="116"/>
      <c r="F199" s="116"/>
    </row>
    <row r="200" spans="1:6" x14ac:dyDescent="0.2">
      <c r="A200" s="116"/>
      <c r="B200" s="117"/>
      <c r="C200" s="118"/>
      <c r="D200" s="119"/>
      <c r="E200" s="116"/>
      <c r="F200" s="116"/>
    </row>
    <row r="201" spans="1:6" x14ac:dyDescent="0.2">
      <c r="A201" s="116"/>
      <c r="B201" s="117"/>
      <c r="C201" s="118"/>
      <c r="D201" s="119"/>
      <c r="E201" s="116"/>
      <c r="F201" s="116"/>
    </row>
    <row r="202" spans="1:6" x14ac:dyDescent="0.2">
      <c r="A202" s="116"/>
      <c r="B202" s="117"/>
      <c r="C202" s="118"/>
      <c r="D202" s="119"/>
      <c r="E202" s="116"/>
      <c r="F202" s="116"/>
    </row>
    <row r="203" spans="1:6" x14ac:dyDescent="0.2">
      <c r="A203" s="116"/>
      <c r="B203" s="117"/>
      <c r="C203" s="118"/>
      <c r="D203" s="119"/>
      <c r="E203" s="116"/>
      <c r="F203" s="116"/>
    </row>
    <row r="204" spans="1:6" x14ac:dyDescent="0.2">
      <c r="A204" s="116"/>
      <c r="B204" s="117"/>
      <c r="C204" s="118"/>
      <c r="D204" s="119"/>
      <c r="E204" s="116"/>
      <c r="F204" s="116"/>
    </row>
    <row r="205" spans="1:6" x14ac:dyDescent="0.2">
      <c r="A205" s="116"/>
      <c r="B205" s="117"/>
      <c r="C205" s="118"/>
      <c r="D205" s="119"/>
      <c r="E205" s="116"/>
      <c r="F205" s="116"/>
    </row>
    <row r="206" spans="1:6" x14ac:dyDescent="0.2">
      <c r="A206" s="116"/>
      <c r="B206" s="117"/>
      <c r="C206" s="118"/>
      <c r="D206" s="119"/>
      <c r="E206" s="116"/>
      <c r="F206" s="116"/>
    </row>
    <row r="207" spans="1:6" x14ac:dyDescent="0.2">
      <c r="A207" s="116"/>
      <c r="B207" s="117"/>
      <c r="C207" s="118"/>
      <c r="D207" s="119"/>
      <c r="E207" s="116"/>
      <c r="F207" s="116"/>
    </row>
    <row r="208" spans="1:6" x14ac:dyDescent="0.2">
      <c r="A208" s="116"/>
      <c r="B208" s="117"/>
      <c r="C208" s="118"/>
      <c r="D208" s="119"/>
      <c r="E208" s="116"/>
      <c r="F208" s="116"/>
    </row>
    <row r="209" spans="1:6" x14ac:dyDescent="0.2">
      <c r="A209" s="116"/>
      <c r="B209" s="117"/>
      <c r="C209" s="118"/>
      <c r="D209" s="119"/>
      <c r="E209" s="116"/>
      <c r="F209" s="116"/>
    </row>
    <row r="210" spans="1:6" x14ac:dyDescent="0.2">
      <c r="A210" s="116"/>
      <c r="B210" s="117"/>
      <c r="C210" s="118"/>
      <c r="D210" s="119"/>
      <c r="E210" s="116"/>
      <c r="F210" s="116"/>
    </row>
    <row r="211" spans="1:6" x14ac:dyDescent="0.2">
      <c r="A211" s="116"/>
      <c r="B211" s="117"/>
      <c r="C211" s="118"/>
      <c r="D211" s="119"/>
      <c r="E211" s="116"/>
      <c r="F211" s="116"/>
    </row>
    <row r="212" spans="1:6" x14ac:dyDescent="0.2">
      <c r="A212" s="116"/>
      <c r="B212" s="117"/>
      <c r="C212" s="118"/>
      <c r="D212" s="119"/>
      <c r="E212" s="116"/>
      <c r="F212" s="116"/>
    </row>
    <row r="213" spans="1:6" x14ac:dyDescent="0.2">
      <c r="A213" s="116"/>
      <c r="B213" s="117"/>
      <c r="C213" s="118"/>
      <c r="D213" s="119"/>
      <c r="E213" s="116"/>
      <c r="F213" s="116"/>
    </row>
    <row r="214" spans="1:6" x14ac:dyDescent="0.2">
      <c r="A214" s="116"/>
      <c r="B214" s="117"/>
      <c r="C214" s="118"/>
      <c r="D214" s="119"/>
      <c r="E214" s="116"/>
      <c r="F214" s="116"/>
    </row>
    <row r="215" spans="1:6" x14ac:dyDescent="0.2">
      <c r="A215" s="116"/>
      <c r="B215" s="117"/>
      <c r="C215" s="118"/>
      <c r="D215" s="119"/>
      <c r="E215" s="116"/>
      <c r="F215" s="116"/>
    </row>
    <row r="216" spans="1:6" x14ac:dyDescent="0.2">
      <c r="A216" s="116"/>
      <c r="B216" s="117"/>
      <c r="C216" s="118"/>
      <c r="D216" s="119"/>
      <c r="E216" s="116"/>
      <c r="F216" s="116"/>
    </row>
    <row r="217" spans="1:6" x14ac:dyDescent="0.2">
      <c r="A217" s="116"/>
      <c r="B217" s="117"/>
      <c r="C217" s="118"/>
      <c r="D217" s="119"/>
      <c r="E217" s="116"/>
      <c r="F217" s="116"/>
    </row>
    <row r="218" spans="1:6" x14ac:dyDescent="0.2">
      <c r="A218" s="116"/>
      <c r="B218" s="117"/>
      <c r="C218" s="118"/>
      <c r="D218" s="119"/>
      <c r="E218" s="116"/>
      <c r="F218" s="116"/>
    </row>
    <row r="219" spans="1:6" x14ac:dyDescent="0.2">
      <c r="A219" s="116"/>
      <c r="B219" s="117"/>
      <c r="C219" s="118"/>
      <c r="D219" s="119"/>
      <c r="E219" s="116"/>
      <c r="F219" s="116"/>
    </row>
    <row r="220" spans="1:6" x14ac:dyDescent="0.2">
      <c r="A220" s="116"/>
      <c r="B220" s="117"/>
      <c r="C220" s="118"/>
      <c r="D220" s="119"/>
      <c r="E220" s="116"/>
      <c r="F220" s="116"/>
    </row>
    <row r="221" spans="1:6" x14ac:dyDescent="0.2">
      <c r="A221" s="116"/>
      <c r="B221" s="117"/>
      <c r="C221" s="118"/>
      <c r="D221" s="119"/>
      <c r="E221" s="116"/>
      <c r="F221" s="116"/>
    </row>
    <row r="222" spans="1:6" x14ac:dyDescent="0.2">
      <c r="A222" s="116"/>
      <c r="B222" s="117"/>
      <c r="C222" s="118"/>
      <c r="D222" s="119"/>
      <c r="E222" s="116"/>
      <c r="F222" s="116"/>
    </row>
    <row r="223" spans="1:6" x14ac:dyDescent="0.2">
      <c r="A223" s="116"/>
      <c r="B223" s="117"/>
      <c r="C223" s="118"/>
      <c r="D223" s="119"/>
      <c r="E223" s="116"/>
      <c r="F223" s="116"/>
    </row>
    <row r="224" spans="1:6" x14ac:dyDescent="0.2">
      <c r="A224" s="116"/>
      <c r="B224" s="117"/>
      <c r="C224" s="118"/>
      <c r="D224" s="119"/>
      <c r="E224" s="116"/>
      <c r="F224" s="116"/>
    </row>
    <row r="225" spans="1:6" x14ac:dyDescent="0.2">
      <c r="A225" s="116"/>
      <c r="B225" s="117"/>
      <c r="C225" s="118"/>
      <c r="D225" s="119"/>
      <c r="E225" s="116"/>
      <c r="F225" s="116"/>
    </row>
    <row r="226" spans="1:6" x14ac:dyDescent="0.2">
      <c r="A226" s="116"/>
      <c r="B226" s="117"/>
      <c r="C226" s="118"/>
      <c r="D226" s="119"/>
      <c r="E226" s="116"/>
      <c r="F226" s="116"/>
    </row>
    <row r="227" spans="1:6" x14ac:dyDescent="0.2">
      <c r="A227" s="116"/>
      <c r="B227" s="117"/>
      <c r="C227" s="118"/>
      <c r="D227" s="119"/>
      <c r="E227" s="116"/>
      <c r="F227" s="116"/>
    </row>
    <row r="228" spans="1:6" x14ac:dyDescent="0.2">
      <c r="A228" s="116"/>
      <c r="B228" s="117"/>
      <c r="C228" s="118"/>
      <c r="D228" s="119"/>
      <c r="E228" s="116"/>
      <c r="F228" s="116"/>
    </row>
    <row r="229" spans="1:6" x14ac:dyDescent="0.2">
      <c r="A229" s="116"/>
      <c r="B229" s="117"/>
      <c r="C229" s="118"/>
      <c r="D229" s="119"/>
      <c r="E229" s="116"/>
      <c r="F229" s="116"/>
    </row>
    <row r="230" spans="1:6" x14ac:dyDescent="0.2">
      <c r="A230" s="116"/>
      <c r="B230" s="117"/>
      <c r="C230" s="118"/>
      <c r="D230" s="119"/>
      <c r="E230" s="116"/>
      <c r="F230" s="116"/>
    </row>
    <row r="231" spans="1:6" x14ac:dyDescent="0.2">
      <c r="A231" s="116"/>
      <c r="B231" s="117"/>
      <c r="C231" s="118"/>
      <c r="D231" s="119"/>
      <c r="E231" s="116"/>
      <c r="F231" s="116"/>
    </row>
    <row r="232" spans="1:6" x14ac:dyDescent="0.2">
      <c r="A232" s="116"/>
      <c r="B232" s="117"/>
      <c r="C232" s="118"/>
      <c r="D232" s="119"/>
      <c r="E232" s="116"/>
      <c r="F232" s="116"/>
    </row>
    <row r="233" spans="1:6" x14ac:dyDescent="0.2">
      <c r="A233" s="116"/>
      <c r="B233" s="117"/>
      <c r="C233" s="118"/>
      <c r="D233" s="119"/>
      <c r="E233" s="116"/>
      <c r="F233" s="116"/>
    </row>
    <row r="234" spans="1:6" x14ac:dyDescent="0.2">
      <c r="A234" s="116"/>
      <c r="B234" s="117"/>
      <c r="C234" s="118"/>
      <c r="D234" s="119"/>
      <c r="E234" s="116"/>
      <c r="F234" s="116"/>
    </row>
    <row r="235" spans="1:6" x14ac:dyDescent="0.2">
      <c r="A235" s="116"/>
      <c r="B235" s="117"/>
      <c r="C235" s="118"/>
      <c r="D235" s="119"/>
      <c r="E235" s="116"/>
      <c r="F235" s="116"/>
    </row>
    <row r="236" spans="1:6" x14ac:dyDescent="0.2">
      <c r="A236" s="116"/>
      <c r="B236" s="117"/>
      <c r="C236" s="118"/>
      <c r="D236" s="119"/>
      <c r="E236" s="116"/>
      <c r="F236" s="116"/>
    </row>
    <row r="237" spans="1:6" x14ac:dyDescent="0.2">
      <c r="A237" s="116"/>
      <c r="B237" s="117"/>
      <c r="C237" s="118"/>
      <c r="D237" s="119"/>
      <c r="E237" s="116"/>
      <c r="F237" s="116"/>
    </row>
    <row r="238" spans="1:6" x14ac:dyDescent="0.2">
      <c r="A238" s="116"/>
      <c r="B238" s="117"/>
      <c r="C238" s="118"/>
      <c r="D238" s="119"/>
      <c r="E238" s="116"/>
      <c r="F238" s="116"/>
    </row>
    <row r="239" spans="1:6" x14ac:dyDescent="0.2">
      <c r="A239" s="116"/>
      <c r="B239" s="117"/>
      <c r="C239" s="118"/>
      <c r="D239" s="119"/>
      <c r="E239" s="116"/>
      <c r="F239" s="116"/>
    </row>
    <row r="240" spans="1:6" x14ac:dyDescent="0.2">
      <c r="A240" s="116"/>
      <c r="B240" s="117"/>
      <c r="C240" s="118"/>
      <c r="D240" s="119"/>
      <c r="E240" s="116"/>
      <c r="F240" s="116"/>
    </row>
    <row r="241" spans="1:6" x14ac:dyDescent="0.2">
      <c r="A241" s="116"/>
      <c r="B241" s="117"/>
      <c r="C241" s="118"/>
      <c r="D241" s="119"/>
      <c r="E241" s="116"/>
      <c r="F241" s="116"/>
    </row>
    <row r="242" spans="1:6" x14ac:dyDescent="0.2">
      <c r="A242" s="116"/>
      <c r="B242" s="117"/>
      <c r="C242" s="118"/>
      <c r="D242" s="119"/>
      <c r="E242" s="116"/>
      <c r="F242" s="116"/>
    </row>
    <row r="243" spans="1:6" x14ac:dyDescent="0.2">
      <c r="A243" s="116"/>
      <c r="B243" s="117"/>
      <c r="C243" s="118"/>
      <c r="D243" s="119"/>
      <c r="E243" s="116"/>
      <c r="F243" s="116"/>
    </row>
    <row r="244" spans="1:6" x14ac:dyDescent="0.2">
      <c r="A244" s="116"/>
      <c r="B244" s="117"/>
      <c r="C244" s="118"/>
      <c r="D244" s="119"/>
      <c r="E244" s="116"/>
      <c r="F244" s="116"/>
    </row>
    <row r="245" spans="1:6" x14ac:dyDescent="0.2">
      <c r="A245" s="116"/>
      <c r="B245" s="117"/>
      <c r="C245" s="118"/>
      <c r="D245" s="119"/>
      <c r="E245" s="116"/>
      <c r="F245" s="116"/>
    </row>
    <row r="246" spans="1:6" x14ac:dyDescent="0.2">
      <c r="A246" s="116"/>
      <c r="B246" s="117"/>
      <c r="C246" s="118"/>
      <c r="D246" s="119"/>
      <c r="E246" s="116"/>
      <c r="F246" s="116"/>
    </row>
    <row r="247" spans="1:6" x14ac:dyDescent="0.2">
      <c r="A247" s="116"/>
      <c r="B247" s="117"/>
      <c r="C247" s="118"/>
      <c r="D247" s="119"/>
      <c r="E247" s="116"/>
      <c r="F247" s="116"/>
    </row>
    <row r="248" spans="1:6" x14ac:dyDescent="0.2">
      <c r="A248" s="116"/>
      <c r="B248" s="117"/>
      <c r="C248" s="118"/>
      <c r="D248" s="119"/>
      <c r="E248" s="116"/>
      <c r="F248" s="116"/>
    </row>
    <row r="249" spans="1:6" x14ac:dyDescent="0.2">
      <c r="A249" s="116"/>
      <c r="B249" s="117"/>
      <c r="C249" s="118"/>
      <c r="D249" s="119"/>
      <c r="E249" s="116"/>
      <c r="F249" s="116"/>
    </row>
    <row r="250" spans="1:6" x14ac:dyDescent="0.2">
      <c r="A250" s="116"/>
      <c r="B250" s="117"/>
      <c r="C250" s="118"/>
      <c r="D250" s="119"/>
      <c r="E250" s="116"/>
      <c r="F250" s="116"/>
    </row>
    <row r="251" spans="1:6" x14ac:dyDescent="0.2">
      <c r="A251" s="116"/>
      <c r="B251" s="117"/>
      <c r="C251" s="118"/>
      <c r="D251" s="119"/>
      <c r="E251" s="116"/>
      <c r="F251" s="116"/>
    </row>
  </sheetData>
  <dataConsolidate/>
  <customSheetViews>
    <customSheetView guid="{CDE91C1B-E8DA-4970-958C-BB86FE77ABD6}" showPageBreaks="1" fitToPage="1" hiddenColumns="1" state="hidden">
      <pane xSplit="1" ySplit="1" topLeftCell="B2" activePane="bottomRight" state="frozen"/>
      <selection pane="bottomRight" activeCell="A2" sqref="A2"/>
      <pageMargins left="0.25" right="0.25" top="0.25" bottom="0.25" header="0.25" footer="0.25"/>
      <printOptions horizontalCentered="1" verticalCentered="1"/>
      <pageSetup scale="77" orientation="portrait" r:id="rId1"/>
      <headerFooter alignWithMargins="0"/>
    </customSheetView>
    <customSheetView guid="{4133ED5E-99F2-4B74-85B8-24C66B4DC868}" showPageBreaks="1" fitToPage="1" hiddenColumns="1" state="hidden">
      <pane xSplit="1" ySplit="1" topLeftCell="B2" activePane="bottomRight" state="frozen"/>
      <selection pane="bottomRight" activeCell="A2" sqref="A2"/>
      <pageMargins left="0.25" right="0.25" top="0.25" bottom="0.25" header="0.25" footer="0.25"/>
      <printOptions horizontalCentered="1" verticalCentered="1"/>
      <pageSetup scale="77" orientation="portrait" r:id="rId2"/>
      <headerFooter alignWithMargins="0"/>
    </customSheetView>
    <customSheetView guid="{C44768EB-A6B9-4D4C-A778-B11850F195E2}" showPageBreaks="1" fitToPage="1" hiddenColumns="1" state="hidden">
      <pane xSplit="1" ySplit="1" topLeftCell="B2" activePane="bottomRight" state="frozen"/>
      <selection pane="bottomRight" activeCell="A2" sqref="A2"/>
      <pageMargins left="0.25" right="0.25" top="0.25" bottom="0.25" header="0.25" footer="0.25"/>
      <printOptions horizontalCentered="1" verticalCentered="1"/>
      <pageSetup scale="77" orientation="portrait" r:id="rId3"/>
      <headerFooter alignWithMargins="0"/>
    </customSheetView>
  </customSheetViews>
  <phoneticPr fontId="0" type="noConversion"/>
  <printOptions horizontalCentered="1" verticalCentered="1"/>
  <pageMargins left="0.25" right="0.25" top="0.25" bottom="0.25" header="0.25" footer="0.25"/>
  <pageSetup scale="77" orientation="portrait" r:id="rId4"/>
  <headerFooter alignWithMargins="0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4"/>
  <sheetViews>
    <sheetView workbookViewId="0">
      <selection activeCell="C30" sqref="C30:E30"/>
    </sheetView>
  </sheetViews>
  <sheetFormatPr defaultRowHeight="12.75" x14ac:dyDescent="0.2"/>
  <cols>
    <col min="1" max="1" width="2.7109375" style="99" customWidth="1"/>
    <col min="2" max="2" width="12.42578125" style="108" customWidth="1"/>
    <col min="3" max="3" width="50.7109375" style="108" customWidth="1"/>
    <col min="4" max="5" width="25.7109375" style="108" customWidth="1"/>
    <col min="6" max="6" width="0.85546875" style="99" customWidth="1"/>
    <col min="7" max="7" width="2.7109375" style="99" customWidth="1"/>
    <col min="8" max="16384" width="9.140625" style="99"/>
  </cols>
  <sheetData>
    <row r="1" spans="1:7" x14ac:dyDescent="0.2">
      <c r="A1" s="214" t="s">
        <v>153</v>
      </c>
      <c r="B1" s="92" t="s">
        <v>9</v>
      </c>
      <c r="C1" s="92"/>
      <c r="D1" s="92"/>
      <c r="E1" s="92"/>
      <c r="F1" s="91"/>
      <c r="G1" s="91"/>
    </row>
    <row r="2" spans="1:7" ht="6" customHeight="1" x14ac:dyDescent="0.2">
      <c r="A2" s="91"/>
      <c r="B2" s="92"/>
      <c r="C2" s="92"/>
      <c r="D2" s="92"/>
      <c r="E2" s="92"/>
      <c r="F2" s="91"/>
      <c r="G2" s="91"/>
    </row>
    <row r="3" spans="1:7" x14ac:dyDescent="0.2">
      <c r="A3" s="91"/>
      <c r="B3" s="92" t="s">
        <v>6</v>
      </c>
      <c r="C3" s="299" t="s">
        <v>1</v>
      </c>
      <c r="D3" s="299"/>
      <c r="E3" s="299"/>
      <c r="F3" s="91"/>
      <c r="G3" s="91"/>
    </row>
    <row r="4" spans="1:7" ht="6" customHeight="1" x14ac:dyDescent="0.2">
      <c r="A4" s="91"/>
      <c r="B4" s="92"/>
      <c r="C4" s="92"/>
      <c r="D4" s="92"/>
      <c r="E4" s="92"/>
      <c r="F4" s="91"/>
      <c r="G4" s="91"/>
    </row>
    <row r="5" spans="1:7" ht="27" customHeight="1" x14ac:dyDescent="0.2">
      <c r="A5" s="91"/>
      <c r="B5" s="92" t="s">
        <v>7</v>
      </c>
      <c r="C5" s="300" t="s">
        <v>2</v>
      </c>
      <c r="D5" s="299"/>
      <c r="E5" s="299"/>
      <c r="F5" s="91"/>
      <c r="G5" s="91"/>
    </row>
    <row r="6" spans="1:7" x14ac:dyDescent="0.2">
      <c r="A6" s="91"/>
      <c r="B6" s="92"/>
      <c r="C6" s="92"/>
      <c r="D6" s="92"/>
      <c r="E6" s="92"/>
      <c r="F6" s="91"/>
      <c r="G6" s="91"/>
    </row>
    <row r="7" spans="1:7" x14ac:dyDescent="0.2">
      <c r="A7" s="95"/>
      <c r="B7" s="96" t="s">
        <v>4</v>
      </c>
      <c r="C7" s="96"/>
      <c r="D7" s="96"/>
      <c r="E7" s="96"/>
      <c r="F7" s="95"/>
      <c r="G7" s="95"/>
    </row>
    <row r="8" spans="1:7" ht="6" customHeight="1" x14ac:dyDescent="0.2">
      <c r="A8" s="95"/>
      <c r="B8" s="96"/>
      <c r="C8" s="96"/>
      <c r="D8" s="96"/>
      <c r="E8" s="96"/>
      <c r="F8" s="95"/>
      <c r="G8" s="95"/>
    </row>
    <row r="9" spans="1:7" x14ac:dyDescent="0.2">
      <c r="A9" s="95"/>
      <c r="B9" s="96" t="s">
        <v>6</v>
      </c>
      <c r="C9" s="299" t="s">
        <v>1</v>
      </c>
      <c r="D9" s="299"/>
      <c r="E9" s="299"/>
      <c r="F9" s="95"/>
      <c r="G9" s="95"/>
    </row>
    <row r="10" spans="1:7" ht="6" customHeight="1" x14ac:dyDescent="0.2">
      <c r="A10" s="95"/>
      <c r="B10" s="96"/>
      <c r="C10" s="96"/>
      <c r="D10" s="96"/>
      <c r="E10" s="96"/>
      <c r="F10" s="95"/>
      <c r="G10" s="95"/>
    </row>
    <row r="11" spans="1:7" ht="26.25" customHeight="1" x14ac:dyDescent="0.2">
      <c r="A11" s="95"/>
      <c r="B11" s="96" t="s">
        <v>7</v>
      </c>
      <c r="C11" s="300" t="s">
        <v>2</v>
      </c>
      <c r="D11" s="299"/>
      <c r="E11" s="299"/>
      <c r="F11" s="95"/>
      <c r="G11" s="95"/>
    </row>
    <row r="12" spans="1:7" x14ac:dyDescent="0.2">
      <c r="A12" s="95"/>
      <c r="B12" s="96"/>
      <c r="C12" s="96"/>
      <c r="D12" s="96"/>
      <c r="E12" s="96"/>
      <c r="F12" s="95"/>
      <c r="G12" s="95"/>
    </row>
    <row r="13" spans="1:7" x14ac:dyDescent="0.2">
      <c r="A13" s="97"/>
      <c r="B13" s="98" t="s">
        <v>5</v>
      </c>
      <c r="C13" s="98"/>
      <c r="D13" s="98"/>
      <c r="E13" s="98"/>
      <c r="F13" s="97"/>
      <c r="G13" s="97"/>
    </row>
    <row r="14" spans="1:7" ht="6" customHeight="1" x14ac:dyDescent="0.2">
      <c r="A14" s="97"/>
      <c r="B14" s="98"/>
      <c r="C14" s="98"/>
      <c r="D14" s="98"/>
      <c r="E14" s="98"/>
      <c r="F14" s="97"/>
      <c r="G14" s="97"/>
    </row>
    <row r="15" spans="1:7" x14ac:dyDescent="0.2">
      <c r="A15" s="97"/>
      <c r="B15" s="98" t="s">
        <v>6</v>
      </c>
      <c r="C15" s="299" t="s">
        <v>130</v>
      </c>
      <c r="D15" s="299"/>
      <c r="E15" s="299"/>
      <c r="F15" s="97"/>
      <c r="G15" s="97"/>
    </row>
    <row r="16" spans="1:7" x14ac:dyDescent="0.2">
      <c r="A16" s="97"/>
      <c r="B16" s="98"/>
      <c r="C16" s="98"/>
      <c r="D16" s="98"/>
      <c r="E16" s="98"/>
      <c r="F16" s="97"/>
      <c r="G16" s="97"/>
    </row>
    <row r="17" spans="1:7" x14ac:dyDescent="0.2">
      <c r="A17" s="216"/>
      <c r="B17" s="218" t="s">
        <v>159</v>
      </c>
      <c r="C17" s="217"/>
      <c r="D17" s="217"/>
      <c r="E17" s="217"/>
      <c r="F17" s="216"/>
      <c r="G17" s="216"/>
    </row>
    <row r="18" spans="1:7" ht="6" customHeight="1" x14ac:dyDescent="0.2">
      <c r="A18" s="216"/>
      <c r="B18" s="217"/>
      <c r="C18" s="217"/>
      <c r="D18" s="217"/>
      <c r="E18" s="217"/>
      <c r="F18" s="216"/>
      <c r="G18" s="216"/>
    </row>
    <row r="19" spans="1:7" x14ac:dyDescent="0.2">
      <c r="A19" s="216"/>
      <c r="B19" s="219" t="s">
        <v>160</v>
      </c>
      <c r="C19" s="302" t="s">
        <v>161</v>
      </c>
      <c r="D19" s="303"/>
      <c r="E19" s="303"/>
      <c r="F19" s="216"/>
      <c r="G19" s="216"/>
    </row>
    <row r="20" spans="1:7" x14ac:dyDescent="0.2">
      <c r="A20" s="216"/>
      <c r="B20" s="217"/>
      <c r="C20" s="217"/>
      <c r="D20" s="217"/>
      <c r="E20" s="217"/>
      <c r="F20" s="216"/>
      <c r="G20" s="216"/>
    </row>
    <row r="21" spans="1:7" x14ac:dyDescent="0.2">
      <c r="A21" s="93"/>
      <c r="B21" s="94" t="s">
        <v>3</v>
      </c>
      <c r="C21" s="94"/>
      <c r="D21" s="94"/>
      <c r="E21" s="94"/>
      <c r="F21" s="93"/>
      <c r="G21" s="93"/>
    </row>
    <row r="22" spans="1:7" ht="6" customHeight="1" x14ac:dyDescent="0.2">
      <c r="A22" s="93"/>
      <c r="B22" s="94"/>
      <c r="C22" s="94"/>
      <c r="D22" s="94"/>
      <c r="E22" s="94"/>
      <c r="F22" s="93"/>
      <c r="G22" s="93"/>
    </row>
    <row r="23" spans="1:7" x14ac:dyDescent="0.2">
      <c r="A23" s="93"/>
      <c r="B23" s="94" t="s">
        <v>154</v>
      </c>
      <c r="C23" s="109"/>
      <c r="D23" s="94"/>
      <c r="E23" s="94"/>
      <c r="F23" s="93"/>
      <c r="G23" s="93"/>
    </row>
    <row r="24" spans="1:7" ht="6" customHeight="1" x14ac:dyDescent="0.2">
      <c r="A24" s="93"/>
      <c r="B24" s="94"/>
      <c r="C24" s="94"/>
      <c r="D24" s="94"/>
      <c r="E24" s="94"/>
      <c r="F24" s="93"/>
      <c r="G24" s="93"/>
    </row>
    <row r="25" spans="1:7" ht="6" customHeight="1" x14ac:dyDescent="0.2">
      <c r="A25" s="93"/>
      <c r="B25" s="107"/>
      <c r="C25" s="111"/>
      <c r="D25" s="111"/>
      <c r="E25" s="111"/>
      <c r="F25" s="105"/>
      <c r="G25" s="93"/>
    </row>
    <row r="26" spans="1:7" x14ac:dyDescent="0.2">
      <c r="A26" s="93"/>
      <c r="B26" s="101" t="s">
        <v>8</v>
      </c>
      <c r="C26" s="110" t="s">
        <v>82</v>
      </c>
      <c r="D26" s="215" t="s">
        <v>155</v>
      </c>
      <c r="E26" s="110"/>
      <c r="F26" s="100"/>
      <c r="G26" s="93"/>
    </row>
    <row r="27" spans="1:7" ht="6" customHeight="1" x14ac:dyDescent="0.2">
      <c r="A27" s="93"/>
      <c r="B27" s="101"/>
      <c r="C27" s="103"/>
      <c r="D27" s="103"/>
      <c r="E27" s="103"/>
      <c r="F27" s="100"/>
      <c r="G27" s="93"/>
    </row>
    <row r="28" spans="1:7" x14ac:dyDescent="0.2">
      <c r="A28" s="93"/>
      <c r="B28" s="101" t="s">
        <v>6</v>
      </c>
      <c r="C28" s="301" t="s">
        <v>156</v>
      </c>
      <c r="D28" s="301"/>
      <c r="E28" s="301"/>
      <c r="F28" s="100"/>
      <c r="G28" s="93"/>
    </row>
    <row r="29" spans="1:7" ht="6" customHeight="1" x14ac:dyDescent="0.2">
      <c r="A29" s="93"/>
      <c r="B29" s="101"/>
      <c r="C29" s="103"/>
      <c r="D29" s="103"/>
      <c r="E29" s="103"/>
      <c r="F29" s="100"/>
      <c r="G29" s="93"/>
    </row>
    <row r="30" spans="1:7" ht="27" customHeight="1" x14ac:dyDescent="0.2">
      <c r="A30" s="93"/>
      <c r="B30" s="101" t="s">
        <v>7</v>
      </c>
      <c r="C30" s="304" t="s">
        <v>157</v>
      </c>
      <c r="D30" s="301"/>
      <c r="E30" s="301"/>
      <c r="F30" s="100"/>
      <c r="G30" s="93"/>
    </row>
    <row r="31" spans="1:7" ht="6" customHeight="1" x14ac:dyDescent="0.2">
      <c r="A31" s="93"/>
      <c r="B31" s="101"/>
      <c r="C31" s="103"/>
      <c r="D31" s="103"/>
      <c r="E31" s="103"/>
      <c r="F31" s="100"/>
      <c r="G31" s="93"/>
    </row>
    <row r="32" spans="1:7" x14ac:dyDescent="0.2">
      <c r="A32" s="93"/>
      <c r="B32" s="101" t="s">
        <v>105</v>
      </c>
      <c r="C32" s="301" t="s">
        <v>158</v>
      </c>
      <c r="D32" s="301"/>
      <c r="E32" s="301"/>
      <c r="F32" s="100"/>
      <c r="G32" s="93"/>
    </row>
    <row r="33" spans="1:7" ht="6" customHeight="1" x14ac:dyDescent="0.2">
      <c r="A33" s="93"/>
      <c r="B33" s="102"/>
      <c r="C33" s="104"/>
      <c r="D33" s="104"/>
      <c r="E33" s="104"/>
      <c r="F33" s="106"/>
      <c r="G33" s="93"/>
    </row>
    <row r="34" spans="1:7" ht="6" customHeight="1" x14ac:dyDescent="0.2">
      <c r="A34" s="93"/>
      <c r="B34" s="94"/>
      <c r="C34" s="94"/>
      <c r="D34" s="94"/>
      <c r="E34" s="94"/>
      <c r="F34" s="93"/>
      <c r="G34" s="93"/>
    </row>
    <row r="35" spans="1:7" ht="6" customHeight="1" x14ac:dyDescent="0.2">
      <c r="A35" s="93"/>
      <c r="B35" s="107"/>
      <c r="C35" s="111"/>
      <c r="D35" s="111"/>
      <c r="E35" s="111"/>
      <c r="F35" s="105"/>
      <c r="G35" s="93"/>
    </row>
    <row r="36" spans="1:7" x14ac:dyDescent="0.2">
      <c r="A36" s="93"/>
      <c r="B36" s="101" t="s">
        <v>8</v>
      </c>
      <c r="C36" s="110" t="s">
        <v>81</v>
      </c>
      <c r="D36" s="215" t="s">
        <v>155</v>
      </c>
      <c r="E36" s="110"/>
      <c r="F36" s="100"/>
      <c r="G36" s="93"/>
    </row>
    <row r="37" spans="1:7" ht="6" customHeight="1" x14ac:dyDescent="0.2">
      <c r="A37" s="93"/>
      <c r="B37" s="101"/>
      <c r="C37" s="103"/>
      <c r="D37" s="103"/>
      <c r="E37" s="103"/>
      <c r="F37" s="100"/>
      <c r="G37" s="93"/>
    </row>
    <row r="38" spans="1:7" x14ac:dyDescent="0.2">
      <c r="A38" s="93"/>
      <c r="B38" s="101" t="s">
        <v>6</v>
      </c>
      <c r="C38" s="304"/>
      <c r="D38" s="301"/>
      <c r="E38" s="301"/>
      <c r="F38" s="100"/>
      <c r="G38" s="93"/>
    </row>
    <row r="39" spans="1:7" ht="6" customHeight="1" x14ac:dyDescent="0.2">
      <c r="A39" s="93"/>
      <c r="B39" s="101"/>
      <c r="C39" s="103"/>
      <c r="D39" s="103"/>
      <c r="E39" s="103"/>
      <c r="F39" s="100"/>
      <c r="G39" s="93"/>
    </row>
    <row r="40" spans="1:7" x14ac:dyDescent="0.2">
      <c r="A40" s="93"/>
      <c r="B40" s="101" t="s">
        <v>7</v>
      </c>
      <c r="C40" s="301"/>
      <c r="D40" s="301"/>
      <c r="E40" s="301"/>
      <c r="F40" s="100"/>
      <c r="G40" s="93"/>
    </row>
    <row r="41" spans="1:7" ht="6" customHeight="1" x14ac:dyDescent="0.2">
      <c r="A41" s="93"/>
      <c r="B41" s="101"/>
      <c r="C41" s="103"/>
      <c r="D41" s="103"/>
      <c r="E41" s="103"/>
      <c r="F41" s="100"/>
      <c r="G41" s="93"/>
    </row>
    <row r="42" spans="1:7" x14ac:dyDescent="0.2">
      <c r="A42" s="93"/>
      <c r="B42" s="101" t="s">
        <v>105</v>
      </c>
      <c r="C42" s="304"/>
      <c r="D42" s="301"/>
      <c r="E42" s="301"/>
      <c r="F42" s="100"/>
      <c r="G42" s="93"/>
    </row>
    <row r="43" spans="1:7" ht="6" customHeight="1" x14ac:dyDescent="0.2">
      <c r="A43" s="93"/>
      <c r="B43" s="102"/>
      <c r="C43" s="104"/>
      <c r="D43" s="104"/>
      <c r="E43" s="104"/>
      <c r="F43" s="106"/>
      <c r="G43" s="93"/>
    </row>
    <row r="44" spans="1:7" ht="6" customHeight="1" x14ac:dyDescent="0.2">
      <c r="A44" s="93"/>
      <c r="B44" s="94"/>
      <c r="C44" s="94"/>
      <c r="D44" s="94"/>
      <c r="E44" s="94"/>
      <c r="F44" s="93"/>
      <c r="G44" s="93"/>
    </row>
    <row r="45" spans="1:7" ht="6" customHeight="1" x14ac:dyDescent="0.2">
      <c r="A45" s="93"/>
      <c r="B45" s="107"/>
      <c r="C45" s="111"/>
      <c r="D45" s="111"/>
      <c r="E45" s="111"/>
      <c r="F45" s="105"/>
      <c r="G45" s="93"/>
    </row>
    <row r="46" spans="1:7" x14ac:dyDescent="0.2">
      <c r="A46" s="93"/>
      <c r="B46" s="101" t="s">
        <v>8</v>
      </c>
      <c r="C46" s="110" t="s">
        <v>0</v>
      </c>
      <c r="D46" s="215" t="s">
        <v>155</v>
      </c>
      <c r="E46" s="110"/>
      <c r="F46" s="100"/>
      <c r="G46" s="93"/>
    </row>
    <row r="47" spans="1:7" ht="6" customHeight="1" x14ac:dyDescent="0.2">
      <c r="A47" s="93"/>
      <c r="B47" s="101"/>
      <c r="C47" s="103"/>
      <c r="D47" s="103"/>
      <c r="E47" s="103"/>
      <c r="F47" s="100"/>
      <c r="G47" s="93"/>
    </row>
    <row r="48" spans="1:7" x14ac:dyDescent="0.2">
      <c r="A48" s="93"/>
      <c r="B48" s="101" t="s">
        <v>6</v>
      </c>
      <c r="C48" s="304"/>
      <c r="D48" s="301"/>
      <c r="E48" s="301"/>
      <c r="F48" s="100"/>
      <c r="G48" s="93"/>
    </row>
    <row r="49" spans="1:7" ht="6" customHeight="1" x14ac:dyDescent="0.2">
      <c r="A49" s="93"/>
      <c r="B49" s="101"/>
      <c r="C49" s="103"/>
      <c r="D49" s="103"/>
      <c r="E49" s="103"/>
      <c r="F49" s="100"/>
      <c r="G49" s="93"/>
    </row>
    <row r="50" spans="1:7" x14ac:dyDescent="0.2">
      <c r="A50" s="93"/>
      <c r="B50" s="101" t="s">
        <v>7</v>
      </c>
      <c r="C50" s="301"/>
      <c r="D50" s="301"/>
      <c r="E50" s="301"/>
      <c r="F50" s="100"/>
      <c r="G50" s="93"/>
    </row>
    <row r="51" spans="1:7" ht="6" customHeight="1" x14ac:dyDescent="0.2">
      <c r="A51" s="93"/>
      <c r="B51" s="101"/>
      <c r="C51" s="103"/>
      <c r="D51" s="103"/>
      <c r="E51" s="103"/>
      <c r="F51" s="100"/>
      <c r="G51" s="93"/>
    </row>
    <row r="52" spans="1:7" x14ac:dyDescent="0.2">
      <c r="A52" s="93"/>
      <c r="B52" s="101" t="s">
        <v>105</v>
      </c>
      <c r="C52" s="304"/>
      <c r="D52" s="301"/>
      <c r="E52" s="301"/>
      <c r="F52" s="100"/>
      <c r="G52" s="93"/>
    </row>
    <row r="53" spans="1:7" ht="6" customHeight="1" x14ac:dyDescent="0.2">
      <c r="A53" s="93"/>
      <c r="B53" s="102"/>
      <c r="C53" s="104"/>
      <c r="D53" s="104"/>
      <c r="E53" s="104"/>
      <c r="F53" s="106"/>
      <c r="G53" s="93"/>
    </row>
    <row r="54" spans="1:7" ht="6" customHeight="1" x14ac:dyDescent="0.2">
      <c r="A54" s="93"/>
      <c r="B54" s="94"/>
      <c r="C54" s="94"/>
      <c r="D54" s="94"/>
      <c r="E54" s="94"/>
      <c r="F54" s="93"/>
      <c r="G54" s="93"/>
    </row>
  </sheetData>
  <customSheetViews>
    <customSheetView guid="{CDE91C1B-E8DA-4970-958C-BB86FE77ABD6}">
      <selection activeCell="C30" sqref="C30:E30"/>
      <pageMargins left="0.75" right="0.75" top="1" bottom="1" header="0.5" footer="0.5"/>
      <pageSetup orientation="portrait" verticalDpi="0" r:id="rId1"/>
      <headerFooter alignWithMargins="0"/>
    </customSheetView>
    <customSheetView guid="{4133ED5E-99F2-4B74-85B8-24C66B4DC868}">
      <selection activeCell="M11" sqref="M11"/>
      <pageMargins left="0.75" right="0.75" top="1" bottom="1" header="0.5" footer="0.5"/>
      <pageSetup orientation="portrait" verticalDpi="0" r:id="rId2"/>
      <headerFooter alignWithMargins="0"/>
    </customSheetView>
    <customSheetView guid="{C44768EB-A6B9-4D4C-A778-B11850F195E2}">
      <selection activeCell="C30" sqref="C30:E30"/>
      <pageMargins left="0.75" right="0.75" top="1" bottom="1" header="0.5" footer="0.5"/>
      <pageSetup orientation="portrait" verticalDpi="0" r:id="rId3"/>
      <headerFooter alignWithMargins="0"/>
    </customSheetView>
  </customSheetViews>
  <mergeCells count="15">
    <mergeCell ref="C28:E28"/>
    <mergeCell ref="C19:E19"/>
    <mergeCell ref="C50:E50"/>
    <mergeCell ref="C52:E52"/>
    <mergeCell ref="C30:E30"/>
    <mergeCell ref="C32:E32"/>
    <mergeCell ref="C38:E38"/>
    <mergeCell ref="C40:E40"/>
    <mergeCell ref="C42:E42"/>
    <mergeCell ref="C48:E48"/>
    <mergeCell ref="C3:E3"/>
    <mergeCell ref="C5:E5"/>
    <mergeCell ref="C9:E9"/>
    <mergeCell ref="C11:E11"/>
    <mergeCell ref="C15:E15"/>
  </mergeCells>
  <pageMargins left="0.75" right="0.75" top="1" bottom="1" header="0.5" footer="0.5"/>
  <pageSetup orientation="portrait" verticalDpi="0" r:id="rId4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6"/>
  <sheetViews>
    <sheetView workbookViewId="0">
      <selection activeCell="A15" sqref="A15"/>
    </sheetView>
  </sheetViews>
  <sheetFormatPr defaultRowHeight="12.75" x14ac:dyDescent="0.2"/>
  <cols>
    <col min="2" max="2" width="11.28515625" bestFit="1" customWidth="1"/>
    <col min="3" max="3" width="22.140625" bestFit="1" customWidth="1"/>
    <col min="4" max="4" width="66.85546875" customWidth="1"/>
  </cols>
  <sheetData>
    <row r="1" spans="2:4" ht="15.75" x14ac:dyDescent="0.25">
      <c r="B1" s="70" t="s">
        <v>121</v>
      </c>
      <c r="C1" s="70" t="s">
        <v>120</v>
      </c>
      <c r="D1" s="70" t="s">
        <v>122</v>
      </c>
    </row>
    <row r="2" spans="2:4" ht="15.75" x14ac:dyDescent="0.2">
      <c r="B2" s="71" t="s">
        <v>118</v>
      </c>
      <c r="C2" s="71" t="s">
        <v>123</v>
      </c>
      <c r="D2" s="72" t="s">
        <v>78</v>
      </c>
    </row>
    <row r="3" spans="2:4" ht="15.75" x14ac:dyDescent="0.2">
      <c r="B3" s="71"/>
      <c r="C3" s="71"/>
      <c r="D3" s="72"/>
    </row>
    <row r="4" spans="2:4" ht="47.25" x14ac:dyDescent="0.2">
      <c r="B4" s="71"/>
      <c r="C4" s="71" t="s">
        <v>125</v>
      </c>
      <c r="D4" s="72" t="s">
        <v>126</v>
      </c>
    </row>
    <row r="5" spans="2:4" ht="31.5" x14ac:dyDescent="0.2">
      <c r="B5" s="71"/>
      <c r="C5" s="71" t="s">
        <v>124</v>
      </c>
      <c r="D5" s="72" t="s">
        <v>119</v>
      </c>
    </row>
    <row r="6" spans="2:4" ht="31.5" x14ac:dyDescent="0.2">
      <c r="B6" s="71"/>
      <c r="C6" s="71" t="s">
        <v>127</v>
      </c>
      <c r="D6" s="72" t="s">
        <v>103</v>
      </c>
    </row>
  </sheetData>
  <autoFilter ref="B1:D2"/>
  <customSheetViews>
    <customSheetView guid="{CDE91C1B-E8DA-4970-958C-BB86FE77ABD6}" showAutoFilter="1">
      <selection activeCell="A15" sqref="A15"/>
      <pageMargins left="0.75" right="0.75" top="1" bottom="1" header="0.5" footer="0.5"/>
      <pageSetup orientation="portrait" verticalDpi="0" r:id="rId1"/>
      <headerFooter alignWithMargins="0"/>
      <autoFilter ref="B1:D2"/>
    </customSheetView>
    <customSheetView guid="{4133ED5E-99F2-4B74-85B8-24C66B4DC868}" showAutoFilter="1">
      <selection activeCell="A15" sqref="A15"/>
      <pageMargins left="0.75" right="0.75" top="1" bottom="1" header="0.5" footer="0.5"/>
      <pageSetup orientation="portrait" verticalDpi="0" r:id="rId2"/>
      <headerFooter alignWithMargins="0"/>
      <autoFilter ref="B1:D2"/>
    </customSheetView>
    <customSheetView guid="{C44768EB-A6B9-4D4C-A778-B11850F195E2}" showAutoFilter="1">
      <selection activeCell="A15" sqref="A15"/>
      <pageMargins left="0.75" right="0.75" top="1" bottom="1" header="0.5" footer="0.5"/>
      <pageSetup orientation="portrait" verticalDpi="0" r:id="rId3"/>
      <headerFooter alignWithMargins="0"/>
      <autoFilter ref="B1:D2"/>
    </customSheetView>
  </customSheetViews>
  <phoneticPr fontId="0" type="noConversion"/>
  <pageMargins left="0.75" right="0.75" top="1" bottom="1" header="0.5" footer="0.5"/>
  <pageSetup orientation="portrait" verticalDpi="0" r:id="rId4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60"/>
  <sheetViews>
    <sheetView workbookViewId="0"/>
  </sheetViews>
  <sheetFormatPr defaultRowHeight="12.75" x14ac:dyDescent="0.2"/>
  <cols>
    <col min="1" max="1" width="51.140625" bestFit="1" customWidth="1"/>
  </cols>
  <sheetData>
    <row r="1" spans="1:1" x14ac:dyDescent="0.2">
      <c r="A1" t="s">
        <v>165</v>
      </c>
    </row>
    <row r="2" spans="1:1" x14ac:dyDescent="0.2">
      <c r="A2" t="s">
        <v>166</v>
      </c>
    </row>
    <row r="3" spans="1:1" x14ac:dyDescent="0.2">
      <c r="A3" t="s">
        <v>167</v>
      </c>
    </row>
    <row r="4" spans="1:1" x14ac:dyDescent="0.2">
      <c r="A4" t="s">
        <v>168</v>
      </c>
    </row>
    <row r="5" spans="1:1" x14ac:dyDescent="0.2">
      <c r="A5" t="s">
        <v>169</v>
      </c>
    </row>
    <row r="6" spans="1:1" x14ac:dyDescent="0.2">
      <c r="A6" t="s">
        <v>170</v>
      </c>
    </row>
    <row r="7" spans="1:1" x14ac:dyDescent="0.2">
      <c r="A7" t="s">
        <v>171</v>
      </c>
    </row>
    <row r="8" spans="1:1" x14ac:dyDescent="0.2">
      <c r="A8" t="s">
        <v>172</v>
      </c>
    </row>
    <row r="9" spans="1:1" x14ac:dyDescent="0.2">
      <c r="A9" t="s">
        <v>173</v>
      </c>
    </row>
    <row r="10" spans="1:1" x14ac:dyDescent="0.2">
      <c r="A10" t="s">
        <v>174</v>
      </c>
    </row>
    <row r="11" spans="1:1" x14ac:dyDescent="0.2">
      <c r="A11" t="s">
        <v>175</v>
      </c>
    </row>
    <row r="12" spans="1:1" x14ac:dyDescent="0.2">
      <c r="A12" t="s">
        <v>176</v>
      </c>
    </row>
    <row r="13" spans="1:1" x14ac:dyDescent="0.2">
      <c r="A13" t="s">
        <v>177</v>
      </c>
    </row>
    <row r="14" spans="1:1" x14ac:dyDescent="0.2">
      <c r="A14" t="s">
        <v>178</v>
      </c>
    </row>
    <row r="15" spans="1:1" x14ac:dyDescent="0.2">
      <c r="A15" t="s">
        <v>179</v>
      </c>
    </row>
    <row r="16" spans="1:1" x14ac:dyDescent="0.2">
      <c r="A16" t="s">
        <v>180</v>
      </c>
    </row>
    <row r="17" spans="1:1" x14ac:dyDescent="0.2">
      <c r="A17" t="s">
        <v>181</v>
      </c>
    </row>
    <row r="18" spans="1:1" x14ac:dyDescent="0.2">
      <c r="A18" t="s">
        <v>182</v>
      </c>
    </row>
    <row r="19" spans="1:1" x14ac:dyDescent="0.2">
      <c r="A19" t="s">
        <v>183</v>
      </c>
    </row>
    <row r="20" spans="1:1" x14ac:dyDescent="0.2">
      <c r="A20" t="s">
        <v>184</v>
      </c>
    </row>
    <row r="21" spans="1:1" x14ac:dyDescent="0.2">
      <c r="A21" t="s">
        <v>185</v>
      </c>
    </row>
    <row r="22" spans="1:1" x14ac:dyDescent="0.2">
      <c r="A22" t="s">
        <v>186</v>
      </c>
    </row>
    <row r="23" spans="1:1" x14ac:dyDescent="0.2">
      <c r="A23" t="s">
        <v>187</v>
      </c>
    </row>
    <row r="24" spans="1:1" x14ac:dyDescent="0.2">
      <c r="A24" t="s">
        <v>188</v>
      </c>
    </row>
    <row r="25" spans="1:1" x14ac:dyDescent="0.2">
      <c r="A25" t="s">
        <v>189</v>
      </c>
    </row>
    <row r="26" spans="1:1" x14ac:dyDescent="0.2">
      <c r="A26" t="s">
        <v>190</v>
      </c>
    </row>
    <row r="27" spans="1:1" x14ac:dyDescent="0.2">
      <c r="A27" t="s">
        <v>191</v>
      </c>
    </row>
    <row r="28" spans="1:1" x14ac:dyDescent="0.2">
      <c r="A28" t="s">
        <v>192</v>
      </c>
    </row>
    <row r="29" spans="1:1" x14ac:dyDescent="0.2">
      <c r="A29" t="s">
        <v>193</v>
      </c>
    </row>
    <row r="30" spans="1:1" x14ac:dyDescent="0.2">
      <c r="A30" t="s">
        <v>194</v>
      </c>
    </row>
    <row r="31" spans="1:1" x14ac:dyDescent="0.2">
      <c r="A31" t="s">
        <v>195</v>
      </c>
    </row>
    <row r="32" spans="1:1" x14ac:dyDescent="0.2">
      <c r="A32" t="s">
        <v>196</v>
      </c>
    </row>
    <row r="33" spans="1:1" x14ac:dyDescent="0.2">
      <c r="A33" t="s">
        <v>197</v>
      </c>
    </row>
    <row r="34" spans="1:1" x14ac:dyDescent="0.2">
      <c r="A34" t="s">
        <v>198</v>
      </c>
    </row>
    <row r="35" spans="1:1" x14ac:dyDescent="0.2">
      <c r="A35" t="s">
        <v>199</v>
      </c>
    </row>
    <row r="36" spans="1:1" x14ac:dyDescent="0.2">
      <c r="A36" t="s">
        <v>200</v>
      </c>
    </row>
    <row r="37" spans="1:1" x14ac:dyDescent="0.2">
      <c r="A37" t="s">
        <v>201</v>
      </c>
    </row>
    <row r="38" spans="1:1" x14ac:dyDescent="0.2">
      <c r="A38" t="s">
        <v>202</v>
      </c>
    </row>
    <row r="39" spans="1:1" x14ac:dyDescent="0.2">
      <c r="A39" t="s">
        <v>203</v>
      </c>
    </row>
    <row r="40" spans="1:1" x14ac:dyDescent="0.2">
      <c r="A40" t="s">
        <v>204</v>
      </c>
    </row>
    <row r="41" spans="1:1" x14ac:dyDescent="0.2">
      <c r="A41" t="s">
        <v>205</v>
      </c>
    </row>
    <row r="42" spans="1:1" x14ac:dyDescent="0.2">
      <c r="A42" t="s">
        <v>206</v>
      </c>
    </row>
    <row r="43" spans="1:1" x14ac:dyDescent="0.2">
      <c r="A43" t="s">
        <v>207</v>
      </c>
    </row>
    <row r="44" spans="1:1" x14ac:dyDescent="0.2">
      <c r="A44" t="s">
        <v>208</v>
      </c>
    </row>
    <row r="45" spans="1:1" x14ac:dyDescent="0.2">
      <c r="A45" t="s">
        <v>209</v>
      </c>
    </row>
    <row r="46" spans="1:1" x14ac:dyDescent="0.2">
      <c r="A46" t="s">
        <v>210</v>
      </c>
    </row>
    <row r="47" spans="1:1" x14ac:dyDescent="0.2">
      <c r="A47" t="s">
        <v>211</v>
      </c>
    </row>
    <row r="48" spans="1:1" x14ac:dyDescent="0.2">
      <c r="A48" t="s">
        <v>212</v>
      </c>
    </row>
    <row r="49" spans="1:1" x14ac:dyDescent="0.2">
      <c r="A49" t="s">
        <v>213</v>
      </c>
    </row>
    <row r="50" spans="1:1" x14ac:dyDescent="0.2">
      <c r="A50" t="s">
        <v>214</v>
      </c>
    </row>
    <row r="51" spans="1:1" x14ac:dyDescent="0.2">
      <c r="A51" t="s">
        <v>215</v>
      </c>
    </row>
    <row r="52" spans="1:1" x14ac:dyDescent="0.2">
      <c r="A52" t="s">
        <v>216</v>
      </c>
    </row>
    <row r="53" spans="1:1" x14ac:dyDescent="0.2">
      <c r="A53" t="s">
        <v>217</v>
      </c>
    </row>
    <row r="54" spans="1:1" x14ac:dyDescent="0.2">
      <c r="A54" t="s">
        <v>218</v>
      </c>
    </row>
    <row r="55" spans="1:1" x14ac:dyDescent="0.2">
      <c r="A55" t="s">
        <v>219</v>
      </c>
    </row>
    <row r="56" spans="1:1" x14ac:dyDescent="0.2">
      <c r="A56" t="s">
        <v>220</v>
      </c>
    </row>
    <row r="57" spans="1:1" x14ac:dyDescent="0.2">
      <c r="A57" t="s">
        <v>221</v>
      </c>
    </row>
    <row r="58" spans="1:1" x14ac:dyDescent="0.2">
      <c r="A58" t="s">
        <v>222</v>
      </c>
    </row>
    <row r="59" spans="1:1" x14ac:dyDescent="0.2">
      <c r="A59" t="s">
        <v>223</v>
      </c>
    </row>
    <row r="60" spans="1:1" x14ac:dyDescent="0.2">
      <c r="A60" t="s">
        <v>224</v>
      </c>
    </row>
  </sheetData>
  <customSheetViews>
    <customSheetView guid="{CDE91C1B-E8DA-4970-958C-BB86FE77ABD6}" state="hidden">
      <pageMargins left="0.7" right="0.7" top="0.75" bottom="0.75" header="0.3" footer="0.3"/>
    </customSheetView>
    <customSheetView guid="{4133ED5E-99F2-4B74-85B8-24C66B4DC868}" state="hidden">
      <pageMargins left="0.7" right="0.7" top="0.75" bottom="0.75" header="0.3" footer="0.3"/>
    </customSheetView>
    <customSheetView guid="{C44768EB-A6B9-4D4C-A778-B11850F195E2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10</vt:i4>
      </vt:variant>
    </vt:vector>
  </HeadingPairs>
  <TitlesOfParts>
    <vt:vector size="19" baseType="lpstr">
      <vt:lpstr>Change Log</vt:lpstr>
      <vt:lpstr>Variable Dictionary</vt:lpstr>
      <vt:lpstr>Calibration Dictionary</vt:lpstr>
      <vt:lpstr>Global Constants</vt:lpstr>
      <vt:lpstr>NVM</vt:lpstr>
      <vt:lpstr>Layered Module List</vt:lpstr>
      <vt:lpstr>Template</vt:lpstr>
      <vt:lpstr>Help</vt:lpstr>
      <vt:lpstr>DataValidationLists</vt:lpstr>
      <vt:lpstr>'Global Constants'!DataFlow</vt:lpstr>
      <vt:lpstr>FDDValList</vt:lpstr>
      <vt:lpstr>DataValidationLists!masterFddList</vt:lpstr>
      <vt:lpstr>'Calibration Dictionary'!Print_Area</vt:lpstr>
      <vt:lpstr>NVM!Print_Area</vt:lpstr>
      <vt:lpstr>'Variable Dictionary'!Print_Area</vt:lpstr>
      <vt:lpstr>'Calibration Dictionary'!Print_Titles</vt:lpstr>
      <vt:lpstr>'Layered Module List'!Print_Titles</vt:lpstr>
      <vt:lpstr>NVM!Print_Titles</vt:lpstr>
      <vt:lpstr>'Variable Dictionary'!Print_Titles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Smith</dc:creator>
  <cp:lastModifiedBy>Reddy, Srikanth</cp:lastModifiedBy>
  <cp:lastPrinted>2008-07-30T16:56:41Z</cp:lastPrinted>
  <dcterms:created xsi:type="dcterms:W3CDTF">1996-10-14T23:33:28Z</dcterms:created>
  <dcterms:modified xsi:type="dcterms:W3CDTF">2014-02-05T15:25:49Z</dcterms:modified>
</cp:coreProperties>
</file>